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Matalan\Report\Q3_26\"/>
    </mc:Choice>
  </mc:AlternateContent>
  <xr:revisionPtr revIDLastSave="0" documentId="13_ncr:1_{83E3EED3-06DD-45B7-B718-FAD4B7BB40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CK_STD" sheetId="18" r:id="rId1"/>
    <sheet name="TRACK_CUS" sheetId="17" r:id="rId2"/>
    <sheet name="RFQ_Matalan Carton" sheetId="5" r:id="rId3"/>
    <sheet name="Carton Sizes Chart" sheetId="9" r:id="rId4"/>
    <sheet name="Sheet1" sheetId="19" r:id="rId5"/>
    <sheet name="Matalan Curstom CTN Price Cal" sheetId="12" state="hidden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1" hidden="1">TRACK_CUS!$A$2:$Y$570</definedName>
    <definedName name="_xlnm._FilterDatabase" localSheetId="0" hidden="1">TRACK_STD!$A$2:$X$509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4" i="18" l="1"/>
  <c r="S53" i="18"/>
  <c r="S52" i="18"/>
  <c r="S55" i="18"/>
  <c r="S35" i="18"/>
  <c r="S34" i="18"/>
  <c r="S33" i="18"/>
  <c r="S39" i="18"/>
  <c r="S41" i="18"/>
  <c r="S40" i="18"/>
  <c r="S85" i="18"/>
  <c r="S86" i="18"/>
  <c r="S87" i="18"/>
  <c r="S15" i="18"/>
  <c r="S69" i="18"/>
  <c r="S89" i="18"/>
  <c r="S84" i="18"/>
  <c r="S83" i="18"/>
  <c r="S82" i="18"/>
  <c r="S81" i="18"/>
  <c r="S80" i="18"/>
  <c r="S79" i="18"/>
  <c r="S78" i="18"/>
  <c r="S77" i="18"/>
  <c r="S76" i="18"/>
  <c r="S75" i="18"/>
  <c r="S74" i="18"/>
  <c r="S68" i="18"/>
  <c r="S67" i="18"/>
  <c r="S66" i="18"/>
  <c r="S64" i="18"/>
  <c r="S63" i="18"/>
  <c r="S37" i="18"/>
  <c r="S36" i="18"/>
  <c r="S28" i="18"/>
  <c r="S27" i="18"/>
  <c r="S6" i="18"/>
  <c r="S5" i="18"/>
  <c r="S88" i="18"/>
  <c r="S71" i="18"/>
  <c r="S70" i="18"/>
  <c r="S73" i="18"/>
  <c r="S51" i="18"/>
  <c r="S7" i="18"/>
  <c r="S26" i="18"/>
  <c r="S23" i="18"/>
  <c r="S45" i="18"/>
  <c r="S8" i="18"/>
  <c r="S3" i="18"/>
  <c r="S4" i="18"/>
  <c r="S9" i="18"/>
  <c r="S11" i="18"/>
  <c r="S13" i="18"/>
  <c r="S17" i="18"/>
  <c r="S16" i="18"/>
  <c r="S18" i="18"/>
  <c r="S19" i="18"/>
  <c r="S20" i="18"/>
  <c r="S21" i="18"/>
  <c r="S22" i="18"/>
  <c r="S29" i="18"/>
  <c r="S30" i="18"/>
  <c r="S31" i="18"/>
  <c r="S42" i="18"/>
  <c r="S43" i="18"/>
  <c r="S44" i="18"/>
  <c r="S47" i="18"/>
  <c r="S48" i="18"/>
  <c r="S50" i="18"/>
  <c r="S49" i="18"/>
  <c r="S56" i="18"/>
  <c r="S57" i="18"/>
  <c r="S72" i="18"/>
  <c r="S25" i="18" l="1"/>
  <c r="S46" i="18"/>
  <c r="M58" i="17" a="1"/>
  <c r="M58" i="17" s="1"/>
  <c r="N58" i="17" a="1"/>
  <c r="N58" i="17" s="1"/>
  <c r="M47" i="17" l="1" a="1"/>
  <c r="M47" i="17" s="1"/>
  <c r="N47" i="17" a="1"/>
  <c r="N47" i="17" s="1"/>
  <c r="M46" i="17" a="1"/>
  <c r="M46" i="17" s="1"/>
  <c r="N46" i="17" a="1"/>
  <c r="N46" i="17" s="1"/>
  <c r="M65" i="17" a="1"/>
  <c r="M65" i="17" s="1"/>
  <c r="N65" i="17" a="1"/>
  <c r="N65" i="17" s="1"/>
  <c r="M3" i="17" a="1"/>
  <c r="M3" i="17" s="1"/>
  <c r="N3" i="17" a="1"/>
  <c r="N3" i="17" s="1"/>
  <c r="M4" i="17" a="1"/>
  <c r="M4" i="17" s="1"/>
  <c r="N4" i="17" a="1"/>
  <c r="N4" i="17" s="1"/>
  <c r="M5" i="17" a="1"/>
  <c r="M5" i="17" s="1"/>
  <c r="N5" i="17" a="1"/>
  <c r="N5" i="17" s="1"/>
  <c r="M19" i="17" a="1"/>
  <c r="M19" i="17" s="1"/>
  <c r="N19" i="17" a="1"/>
  <c r="N19" i="17" s="1"/>
  <c r="M20" i="17" a="1"/>
  <c r="M20" i="17" s="1"/>
  <c r="N20" i="17" a="1"/>
  <c r="N20" i="17" s="1"/>
  <c r="M21" i="17" a="1"/>
  <c r="M21" i="17" s="1"/>
  <c r="N21" i="17" a="1"/>
  <c r="N21" i="17" s="1"/>
  <c r="M39" i="17" a="1"/>
  <c r="M39" i="17" s="1"/>
  <c r="N39" i="17" a="1"/>
  <c r="N39" i="17" s="1"/>
  <c r="M40" i="17" a="1"/>
  <c r="M40" i="17" s="1"/>
  <c r="N40" i="17" a="1"/>
  <c r="N40" i="17" s="1"/>
  <c r="M37" i="17" a="1"/>
  <c r="M37" i="17" s="1"/>
  <c r="N37" i="17" a="1"/>
  <c r="N37" i="17" s="1"/>
  <c r="M38" i="17" a="1"/>
  <c r="M38" i="17" s="1"/>
  <c r="N38" i="17" a="1"/>
  <c r="N38" i="17" s="1"/>
  <c r="M41" i="17" a="1"/>
  <c r="M41" i="17" s="1"/>
  <c r="N41" i="17" a="1"/>
  <c r="N41" i="17" s="1"/>
  <c r="M42" i="17" a="1"/>
  <c r="M42" i="17" s="1"/>
  <c r="N42" i="17" a="1"/>
  <c r="N42" i="17" s="1"/>
  <c r="M43" i="17" a="1"/>
  <c r="M43" i="17" s="1"/>
  <c r="N43" i="17" a="1"/>
  <c r="N43" i="17" s="1"/>
  <c r="M54" i="17" a="1"/>
  <c r="M54" i="17" s="1"/>
  <c r="N54" i="17" a="1"/>
  <c r="N54" i="17" s="1"/>
  <c r="M55" i="17" a="1"/>
  <c r="M55" i="17" s="1"/>
  <c r="N55" i="17" a="1"/>
  <c r="N55" i="17" s="1"/>
  <c r="M56" i="17" a="1"/>
  <c r="M56" i="17" s="1"/>
  <c r="N56" i="17" a="1"/>
  <c r="N56" i="17" s="1"/>
  <c r="M57" i="17" a="1"/>
  <c r="M57" i="17" s="1"/>
  <c r="N57" i="17" a="1"/>
  <c r="N57" i="17" s="1"/>
  <c r="M68" i="17" a="1"/>
  <c r="M68" i="17" s="1"/>
  <c r="N68" i="17" a="1"/>
  <c r="N68" i="17" s="1"/>
  <c r="M69" i="17" a="1"/>
  <c r="M69" i="17" s="1"/>
  <c r="N69" i="17" a="1"/>
  <c r="N69" i="17" s="1"/>
  <c r="M70" i="17" a="1"/>
  <c r="M70" i="17" s="1"/>
  <c r="N70" i="17" a="1"/>
  <c r="N70" i="17" s="1"/>
  <c r="M71" i="17" a="1"/>
  <c r="M71" i="17" s="1"/>
  <c r="N71" i="17" a="1"/>
  <c r="N71" i="17" s="1"/>
  <c r="M72" i="17" a="1"/>
  <c r="M72" i="17" s="1"/>
  <c r="N72" i="17" a="1"/>
  <c r="N72" i="17" s="1"/>
  <c r="M76" i="17" a="1"/>
  <c r="M76" i="17" s="1"/>
  <c r="N76" i="17" a="1"/>
  <c r="N76" i="17" s="1"/>
  <c r="M77" i="17" a="1"/>
  <c r="M77" i="17" s="1"/>
  <c r="N77" i="17" a="1"/>
  <c r="N77" i="17" s="1"/>
  <c r="M78" i="17" a="1"/>
  <c r="M78" i="17" s="1"/>
  <c r="N78" i="17" a="1"/>
  <c r="N78" i="17" s="1"/>
  <c r="M85" i="17" a="1"/>
  <c r="M85" i="17" s="1"/>
  <c r="N85" i="17" a="1"/>
  <c r="N85" i="17" s="1"/>
  <c r="M83" i="17" a="1"/>
  <c r="M83" i="17" s="1"/>
  <c r="N83" i="17" a="1"/>
  <c r="N83" i="17" s="1"/>
  <c r="M84" i="17" a="1"/>
  <c r="M84" i="17" s="1"/>
  <c r="N84" i="17" a="1"/>
  <c r="N84" i="17" s="1"/>
  <c r="M90" i="17" a="1"/>
  <c r="M90" i="17" s="1"/>
  <c r="N90" i="17" a="1"/>
  <c r="N90" i="17" s="1"/>
  <c r="M91" i="17" a="1"/>
  <c r="M91" i="17" s="1"/>
  <c r="N91" i="17" a="1"/>
  <c r="N91" i="17" s="1"/>
  <c r="M92" i="17" a="1"/>
  <c r="M92" i="17" s="1"/>
  <c r="N92" i="17" a="1"/>
  <c r="N92" i="17" s="1"/>
  <c r="M93" i="17" a="1"/>
  <c r="M93" i="17" s="1"/>
  <c r="N93" i="17" a="1"/>
  <c r="N93" i="17" s="1"/>
  <c r="M103" i="17" a="1"/>
  <c r="M103" i="17" s="1"/>
  <c r="N103" i="17" a="1"/>
  <c r="N103" i="17" s="1"/>
  <c r="M104" i="17" a="1"/>
  <c r="M104" i="17" s="1"/>
  <c r="N104" i="17" a="1"/>
  <c r="N104" i="17" s="1"/>
  <c r="M101" i="17" a="1"/>
  <c r="M101" i="17" s="1"/>
  <c r="N101" i="17" a="1"/>
  <c r="N101" i="17" s="1"/>
  <c r="M102" i="17" a="1"/>
  <c r="M102" i="17" s="1"/>
  <c r="N102" i="17" a="1"/>
  <c r="N102" i="17" s="1"/>
  <c r="M118" i="17" a="1"/>
  <c r="M118" i="17" s="1"/>
  <c r="N118" i="17" a="1"/>
  <c r="N118" i="17" s="1"/>
  <c r="M100" i="17" a="1"/>
  <c r="M100" i="17" s="1"/>
  <c r="N100" i="17" a="1"/>
  <c r="N100" i="17" s="1"/>
  <c r="M117" i="17" a="1"/>
  <c r="M117" i="17" s="1"/>
  <c r="N117" i="17" a="1"/>
  <c r="N117" i="17" s="1"/>
  <c r="M116" i="17" a="1"/>
  <c r="M116" i="17" s="1"/>
  <c r="N116" i="17" a="1"/>
  <c r="N116" i="17" s="1"/>
  <c r="M115" i="17" a="1"/>
  <c r="M115" i="17" s="1"/>
  <c r="N115" i="17" a="1"/>
  <c r="N115" i="17" s="1"/>
  <c r="M67" i="17" a="1"/>
  <c r="M67" i="17" s="1"/>
  <c r="N67" i="17" a="1"/>
  <c r="N67" i="17" s="1"/>
  <c r="M121" i="17" a="1"/>
  <c r="M121" i="17" s="1"/>
  <c r="N121" i="17" a="1"/>
  <c r="N121" i="17" s="1"/>
  <c r="M122" i="17" a="1"/>
  <c r="M122" i="17" s="1"/>
  <c r="N122" i="17" a="1"/>
  <c r="N122" i="17" s="1"/>
  <c r="M123" i="17" a="1"/>
  <c r="M123" i="17" s="1"/>
  <c r="N123" i="17" a="1"/>
  <c r="N123" i="17" s="1"/>
  <c r="M124" i="17" a="1"/>
  <c r="M124" i="17" s="1"/>
  <c r="N124" i="17" a="1"/>
  <c r="N124" i="17" s="1"/>
  <c r="M125" i="17" a="1"/>
  <c r="M125" i="17" s="1"/>
  <c r="N125" i="17" a="1"/>
  <c r="N125" i="17" s="1"/>
  <c r="M126" i="17" a="1"/>
  <c r="M126" i="17" s="1"/>
  <c r="N126" i="17" a="1"/>
  <c r="N126" i="17" s="1"/>
  <c r="M127" i="17" a="1"/>
  <c r="M127" i="17" s="1"/>
  <c r="N127" i="17" a="1"/>
  <c r="N127" i="17" s="1"/>
  <c r="M128" i="17" a="1"/>
  <c r="M128" i="17" s="1"/>
  <c r="N128" i="17" a="1"/>
  <c r="N128" i="17" s="1"/>
  <c r="M129" i="17" a="1"/>
  <c r="M129" i="17" s="1"/>
  <c r="N129" i="17" a="1"/>
  <c r="N129" i="17" s="1"/>
  <c r="M130" i="17" a="1"/>
  <c r="M130" i="17" s="1"/>
  <c r="N130" i="17" a="1"/>
  <c r="N130" i="17" s="1"/>
  <c r="M131" i="17" a="1"/>
  <c r="M131" i="17" s="1"/>
  <c r="N131" i="17" a="1"/>
  <c r="N131" i="17" s="1"/>
  <c r="M132" i="17" a="1"/>
  <c r="M132" i="17" s="1"/>
  <c r="N132" i="17" a="1"/>
  <c r="N132" i="17" s="1"/>
  <c r="M133" i="17" a="1"/>
  <c r="M133" i="17" s="1"/>
  <c r="N133" i="17" a="1"/>
  <c r="N133" i="17" s="1"/>
  <c r="M134" i="17" a="1"/>
  <c r="M134" i="17" s="1"/>
  <c r="N134" i="17" a="1"/>
  <c r="N134" i="17" s="1"/>
  <c r="M135" i="17" a="1"/>
  <c r="M135" i="17" s="1"/>
  <c r="N135" i="17" a="1"/>
  <c r="N135" i="17" s="1"/>
  <c r="M136" i="17" a="1"/>
  <c r="M136" i="17" s="1"/>
  <c r="N136" i="17" a="1"/>
  <c r="N136" i="17" s="1"/>
  <c r="M137" i="17" a="1"/>
  <c r="M137" i="17" s="1"/>
  <c r="N137" i="17" a="1"/>
  <c r="N137" i="17" s="1"/>
  <c r="M138" i="17" a="1"/>
  <c r="M138" i="17" s="1"/>
  <c r="N138" i="17" a="1"/>
  <c r="N138" i="17" s="1"/>
  <c r="M139" i="17" a="1"/>
  <c r="M139" i="17" s="1"/>
  <c r="N139" i="17" a="1"/>
  <c r="N139" i="17" s="1"/>
  <c r="M140" i="17" a="1"/>
  <c r="M140" i="17" s="1"/>
  <c r="N140" i="17" a="1"/>
  <c r="N140" i="17" s="1"/>
  <c r="M141" i="17" a="1"/>
  <c r="M141" i="17" s="1"/>
  <c r="N141" i="17" a="1"/>
  <c r="N141" i="17" s="1"/>
  <c r="M142" i="17" a="1"/>
  <c r="M142" i="17" s="1"/>
  <c r="N142" i="17" a="1"/>
  <c r="N142" i="17" s="1"/>
  <c r="M143" i="17" a="1"/>
  <c r="M143" i="17" s="1"/>
  <c r="N143" i="17" a="1"/>
  <c r="N143" i="17" s="1"/>
  <c r="M144" i="17" a="1"/>
  <c r="M144" i="17" s="1"/>
  <c r="N144" i="17" a="1"/>
  <c r="N144" i="17" s="1"/>
  <c r="M145" i="17" a="1"/>
  <c r="M145" i="17" s="1"/>
  <c r="N145" i="17" a="1"/>
  <c r="N145" i="17" s="1"/>
  <c r="M146" i="17" a="1"/>
  <c r="M146" i="17" s="1"/>
  <c r="N146" i="17" a="1"/>
  <c r="N146" i="17" s="1"/>
  <c r="M147" i="17" a="1"/>
  <c r="M147" i="17" s="1"/>
  <c r="N147" i="17" a="1"/>
  <c r="N147" i="17" s="1"/>
  <c r="M148" i="17" a="1"/>
  <c r="M148" i="17" s="1"/>
  <c r="N148" i="17" a="1"/>
  <c r="N148" i="17" s="1"/>
  <c r="M149" i="17" a="1"/>
  <c r="M149" i="17" s="1"/>
  <c r="N149" i="17" a="1"/>
  <c r="N149" i="17" s="1"/>
  <c r="M150" i="17" a="1"/>
  <c r="M150" i="17" s="1"/>
  <c r="N150" i="17" a="1"/>
  <c r="N150" i="17" s="1"/>
  <c r="M151" i="17" a="1"/>
  <c r="M151" i="17" s="1"/>
  <c r="N151" i="17" a="1"/>
  <c r="N151" i="17" s="1"/>
  <c r="M152" i="17" a="1"/>
  <c r="M152" i="17" s="1"/>
  <c r="N152" i="17" a="1"/>
  <c r="N152" i="17" s="1"/>
  <c r="M153" i="17" a="1"/>
  <c r="M153" i="17" s="1"/>
  <c r="N153" i="17" a="1"/>
  <c r="N153" i="17" s="1"/>
  <c r="M154" i="17" a="1"/>
  <c r="M154" i="17" s="1"/>
  <c r="N154" i="17" a="1"/>
  <c r="N154" i="17" s="1"/>
  <c r="M155" i="17" a="1"/>
  <c r="M155" i="17" s="1"/>
  <c r="N155" i="17" a="1"/>
  <c r="N155" i="17" s="1"/>
  <c r="M156" i="17" a="1"/>
  <c r="M156" i="17" s="1"/>
  <c r="N156" i="17" a="1"/>
  <c r="N156" i="17" s="1"/>
  <c r="M157" i="17" a="1"/>
  <c r="M157" i="17" s="1"/>
  <c r="N157" i="17" a="1"/>
  <c r="N157" i="17" s="1"/>
  <c r="M158" i="17" a="1"/>
  <c r="M158" i="17" s="1"/>
  <c r="N158" i="17" a="1"/>
  <c r="N158" i="17" s="1"/>
  <c r="M159" i="17" a="1"/>
  <c r="M159" i="17" s="1"/>
  <c r="N159" i="17" a="1"/>
  <c r="N159" i="17" s="1"/>
  <c r="M160" i="17" a="1"/>
  <c r="M160" i="17" s="1"/>
  <c r="N160" i="17" a="1"/>
  <c r="N160" i="17" s="1"/>
  <c r="M161" i="17" a="1"/>
  <c r="M161" i="17" s="1"/>
  <c r="N161" i="17" a="1"/>
  <c r="N161" i="17" s="1"/>
  <c r="M162" i="17" a="1"/>
  <c r="M162" i="17" s="1"/>
  <c r="N162" i="17" a="1"/>
  <c r="N162" i="17" s="1"/>
  <c r="M163" i="17" a="1"/>
  <c r="M163" i="17" s="1"/>
  <c r="N163" i="17" a="1"/>
  <c r="N163" i="17" s="1"/>
  <c r="M164" i="17" a="1"/>
  <c r="M164" i="17" s="1"/>
  <c r="N164" i="17" a="1"/>
  <c r="N164" i="17" s="1"/>
  <c r="M165" i="17" a="1"/>
  <c r="M165" i="17" s="1"/>
  <c r="N165" i="17" a="1"/>
  <c r="N165" i="17" s="1"/>
  <c r="M166" i="17" a="1"/>
  <c r="M166" i="17" s="1"/>
  <c r="N166" i="17" a="1"/>
  <c r="N166" i="17" s="1"/>
  <c r="M167" i="17" a="1"/>
  <c r="M167" i="17" s="1"/>
  <c r="N167" i="17" a="1"/>
  <c r="N167" i="17" s="1"/>
  <c r="M168" i="17" a="1"/>
  <c r="M168" i="17" s="1"/>
  <c r="N168" i="17" a="1"/>
  <c r="N168" i="17" s="1"/>
  <c r="M169" i="17" a="1"/>
  <c r="M169" i="17" s="1"/>
  <c r="N169" i="17" a="1"/>
  <c r="N169" i="17" s="1"/>
  <c r="M170" i="17" a="1"/>
  <c r="M170" i="17" s="1"/>
  <c r="N170" i="17" a="1"/>
  <c r="N170" i="17" s="1"/>
  <c r="M171" i="17" a="1"/>
  <c r="M171" i="17" s="1"/>
  <c r="N171" i="17" a="1"/>
  <c r="N171" i="17" s="1"/>
  <c r="M172" i="17" a="1"/>
  <c r="M172" i="17" s="1"/>
  <c r="N172" i="17" a="1"/>
  <c r="N172" i="17" s="1"/>
  <c r="M173" i="17" a="1"/>
  <c r="M173" i="17" s="1"/>
  <c r="N173" i="17" a="1"/>
  <c r="N173" i="17" s="1"/>
  <c r="M174" i="17" a="1"/>
  <c r="M174" i="17" s="1"/>
  <c r="N174" i="17" a="1"/>
  <c r="N174" i="17" s="1"/>
  <c r="M175" i="17" a="1"/>
  <c r="M175" i="17" s="1"/>
  <c r="N175" i="17" a="1"/>
  <c r="N175" i="17" s="1"/>
  <c r="M176" i="17" a="1"/>
  <c r="M176" i="17" s="1"/>
  <c r="N176" i="17" a="1"/>
  <c r="N176" i="17" s="1"/>
  <c r="M177" i="17" a="1"/>
  <c r="M177" i="17" s="1"/>
  <c r="N177" i="17" a="1"/>
  <c r="N177" i="17" s="1"/>
  <c r="M178" i="17" a="1"/>
  <c r="M178" i="17" s="1"/>
  <c r="N178" i="17" a="1"/>
  <c r="N178" i="17" s="1"/>
  <c r="M179" i="17" a="1"/>
  <c r="M179" i="17" s="1"/>
  <c r="N179" i="17" a="1"/>
  <c r="N179" i="17" s="1"/>
  <c r="M180" i="17" a="1"/>
  <c r="M180" i="17" s="1"/>
  <c r="N180" i="17" a="1"/>
  <c r="N180" i="17" s="1"/>
  <c r="M181" i="17" a="1"/>
  <c r="M181" i="17" s="1"/>
  <c r="N181" i="17" a="1"/>
  <c r="N181" i="17" s="1"/>
  <c r="M182" i="17" a="1"/>
  <c r="M182" i="17" s="1"/>
  <c r="N182" i="17" a="1"/>
  <c r="N182" i="17" s="1"/>
  <c r="M183" i="17" a="1"/>
  <c r="M183" i="17" s="1"/>
  <c r="N183" i="17" a="1"/>
  <c r="N183" i="17" s="1"/>
  <c r="M184" i="17" a="1"/>
  <c r="M184" i="17" s="1"/>
  <c r="N184" i="17" a="1"/>
  <c r="N184" i="17" s="1"/>
  <c r="M185" i="17" a="1"/>
  <c r="M185" i="17" s="1"/>
  <c r="N185" i="17" a="1"/>
  <c r="N185" i="17" s="1"/>
  <c r="M186" i="17" a="1"/>
  <c r="M186" i="17" s="1"/>
  <c r="N186" i="17" a="1"/>
  <c r="N186" i="17" s="1"/>
  <c r="M187" i="17" a="1"/>
  <c r="M187" i="17" s="1"/>
  <c r="N187" i="17" a="1"/>
  <c r="N187" i="17" s="1"/>
  <c r="M188" i="17" a="1"/>
  <c r="M188" i="17" s="1"/>
  <c r="N188" i="17" a="1"/>
  <c r="N188" i="17" s="1"/>
  <c r="M189" i="17" a="1"/>
  <c r="M189" i="17" s="1"/>
  <c r="N189" i="17" a="1"/>
  <c r="N189" i="17" s="1"/>
  <c r="M190" i="17" a="1"/>
  <c r="M190" i="17" s="1"/>
  <c r="N190" i="17" a="1"/>
  <c r="N190" i="17" s="1"/>
  <c r="M191" i="17" a="1"/>
  <c r="M191" i="17" s="1"/>
  <c r="N191" i="17" a="1"/>
  <c r="N191" i="17" s="1"/>
  <c r="M192" i="17" a="1"/>
  <c r="M192" i="17" s="1"/>
  <c r="N192" i="17" a="1"/>
  <c r="N192" i="17" s="1"/>
  <c r="M193" i="17" a="1"/>
  <c r="M193" i="17" s="1"/>
  <c r="N193" i="17" a="1"/>
  <c r="N193" i="17" s="1"/>
  <c r="M194" i="17" a="1"/>
  <c r="M194" i="17" s="1"/>
  <c r="N194" i="17" a="1"/>
  <c r="N194" i="17" s="1"/>
  <c r="M195" i="17" a="1"/>
  <c r="M195" i="17" s="1"/>
  <c r="N195" i="17" a="1"/>
  <c r="N195" i="17" s="1"/>
  <c r="M196" i="17" a="1"/>
  <c r="M196" i="17" s="1"/>
  <c r="N196" i="17" a="1"/>
  <c r="N196" i="17" s="1"/>
  <c r="M197" i="17" a="1"/>
  <c r="M197" i="17" s="1"/>
  <c r="N197" i="17" a="1"/>
  <c r="N197" i="17" s="1"/>
  <c r="M198" i="17" a="1"/>
  <c r="M198" i="17" s="1"/>
  <c r="N198" i="17" a="1"/>
  <c r="N198" i="17" s="1"/>
  <c r="M199" i="17" a="1"/>
  <c r="M199" i="17" s="1"/>
  <c r="N199" i="17" a="1"/>
  <c r="N199" i="17" s="1"/>
  <c r="M200" i="17" a="1"/>
  <c r="M200" i="17" s="1"/>
  <c r="N200" i="17" a="1"/>
  <c r="N200" i="17" s="1"/>
  <c r="M201" i="17" a="1"/>
  <c r="M201" i="17" s="1"/>
  <c r="N201" i="17" a="1"/>
  <c r="N201" i="17" s="1"/>
  <c r="M202" i="17" a="1"/>
  <c r="M202" i="17" s="1"/>
  <c r="N202" i="17" a="1"/>
  <c r="N202" i="17" s="1"/>
  <c r="M203" i="17" a="1"/>
  <c r="M203" i="17" s="1"/>
  <c r="N203" i="17" a="1"/>
  <c r="N203" i="17" s="1"/>
  <c r="M204" i="17" a="1"/>
  <c r="M204" i="17" s="1"/>
  <c r="N204" i="17" a="1"/>
  <c r="N204" i="17" s="1"/>
  <c r="M205" i="17" a="1"/>
  <c r="M205" i="17" s="1"/>
  <c r="N205" i="17" a="1"/>
  <c r="N205" i="17" s="1"/>
  <c r="M206" i="17" a="1"/>
  <c r="M206" i="17" s="1"/>
  <c r="N206" i="17" a="1"/>
  <c r="N206" i="17" s="1"/>
  <c r="M207" i="17" a="1"/>
  <c r="M207" i="17" s="1"/>
  <c r="N207" i="17" a="1"/>
  <c r="N207" i="17" s="1"/>
  <c r="M208" i="17" a="1"/>
  <c r="M208" i="17" s="1"/>
  <c r="N208" i="17" a="1"/>
  <c r="N208" i="17" s="1"/>
  <c r="M209" i="17" a="1"/>
  <c r="M209" i="17" s="1"/>
  <c r="N209" i="17" a="1"/>
  <c r="N209" i="17" s="1"/>
  <c r="M210" i="17" a="1"/>
  <c r="M210" i="17" s="1"/>
  <c r="N210" i="17" a="1"/>
  <c r="N210" i="17" s="1"/>
  <c r="M211" i="17" a="1"/>
  <c r="M211" i="17" s="1"/>
  <c r="N211" i="17" a="1"/>
  <c r="N211" i="17" s="1"/>
  <c r="M212" i="17" a="1"/>
  <c r="M212" i="17" s="1"/>
  <c r="N212" i="17" a="1"/>
  <c r="N212" i="17" s="1"/>
  <c r="M213" i="17" a="1"/>
  <c r="M213" i="17" s="1"/>
  <c r="N213" i="17" a="1"/>
  <c r="N213" i="17" s="1"/>
  <c r="M214" i="17" a="1"/>
  <c r="M214" i="17" s="1"/>
  <c r="N214" i="17" a="1"/>
  <c r="N214" i="17" s="1"/>
  <c r="M215" i="17" a="1"/>
  <c r="M215" i="17" s="1"/>
  <c r="N215" i="17" a="1"/>
  <c r="N215" i="17" s="1"/>
  <c r="M216" i="17" a="1"/>
  <c r="M216" i="17" s="1"/>
  <c r="N216" i="17" a="1"/>
  <c r="N216" i="17" s="1"/>
  <c r="M217" i="17" a="1"/>
  <c r="M217" i="17" s="1"/>
  <c r="N217" i="17" a="1"/>
  <c r="N217" i="17" s="1"/>
  <c r="M218" i="17" a="1"/>
  <c r="M218" i="17" s="1"/>
  <c r="N218" i="17" a="1"/>
  <c r="N218" i="17" s="1"/>
  <c r="M219" i="17" a="1"/>
  <c r="M219" i="17" s="1"/>
  <c r="N219" i="17" a="1"/>
  <c r="N219" i="17" s="1"/>
  <c r="M220" i="17" a="1"/>
  <c r="M220" i="17" s="1"/>
  <c r="N220" i="17" a="1"/>
  <c r="N220" i="17" s="1"/>
  <c r="M221" i="17" a="1"/>
  <c r="M221" i="17" s="1"/>
  <c r="N221" i="17" a="1"/>
  <c r="N221" i="17" s="1"/>
  <c r="M222" i="17" a="1"/>
  <c r="M222" i="17" s="1"/>
  <c r="N222" i="17" a="1"/>
  <c r="N222" i="17" s="1"/>
  <c r="M223" i="17" a="1"/>
  <c r="M223" i="17" s="1"/>
  <c r="N223" i="17" a="1"/>
  <c r="N223" i="17" s="1"/>
  <c r="M224" i="17" a="1"/>
  <c r="M224" i="17" s="1"/>
  <c r="N224" i="17" a="1"/>
  <c r="N224" i="17" s="1"/>
  <c r="M225" i="17" a="1"/>
  <c r="M225" i="17" s="1"/>
  <c r="N225" i="17" a="1"/>
  <c r="N225" i="17" s="1"/>
  <c r="M226" i="17" a="1"/>
  <c r="M226" i="17" s="1"/>
  <c r="N226" i="17" a="1"/>
  <c r="N226" i="17" s="1"/>
  <c r="M227" i="17" a="1"/>
  <c r="M227" i="17" s="1"/>
  <c r="N227" i="17" a="1"/>
  <c r="N227" i="17" s="1"/>
  <c r="M228" i="17" a="1"/>
  <c r="M228" i="17" s="1"/>
  <c r="N228" i="17" a="1"/>
  <c r="N228" i="17" s="1"/>
  <c r="M229" i="17" a="1"/>
  <c r="M229" i="17" s="1"/>
  <c r="N229" i="17" a="1"/>
  <c r="N229" i="17" s="1"/>
  <c r="M230" i="17" a="1"/>
  <c r="M230" i="17" s="1"/>
  <c r="N230" i="17" a="1"/>
  <c r="N230" i="17" s="1"/>
  <c r="M231" i="17" a="1"/>
  <c r="M231" i="17" s="1"/>
  <c r="N231" i="17" a="1"/>
  <c r="N231" i="17" s="1"/>
  <c r="M232" i="17" a="1"/>
  <c r="M232" i="17" s="1"/>
  <c r="N232" i="17" a="1"/>
  <c r="N232" i="17" s="1"/>
  <c r="M233" i="17" a="1"/>
  <c r="M233" i="17" s="1"/>
  <c r="N233" i="17" a="1"/>
  <c r="N233" i="17" s="1"/>
  <c r="M234" i="17" a="1"/>
  <c r="M234" i="17" s="1"/>
  <c r="N234" i="17" a="1"/>
  <c r="N234" i="17" s="1"/>
  <c r="M235" i="17" a="1"/>
  <c r="M235" i="17" s="1"/>
  <c r="N235" i="17" a="1"/>
  <c r="N235" i="17" s="1"/>
  <c r="M236" i="17" a="1"/>
  <c r="M236" i="17" s="1"/>
  <c r="N236" i="17" a="1"/>
  <c r="N236" i="17" s="1"/>
  <c r="M237" i="17" a="1"/>
  <c r="M237" i="17" s="1"/>
  <c r="N237" i="17" a="1"/>
  <c r="N237" i="17" s="1"/>
  <c r="M238" i="17" a="1"/>
  <c r="M238" i="17" s="1"/>
  <c r="N238" i="17" a="1"/>
  <c r="N238" i="17" s="1"/>
  <c r="M239" i="17" a="1"/>
  <c r="M239" i="17" s="1"/>
  <c r="N239" i="17" a="1"/>
  <c r="N239" i="17" s="1"/>
  <c r="M240" i="17" a="1"/>
  <c r="M240" i="17" s="1"/>
  <c r="N240" i="17" a="1"/>
  <c r="N240" i="17" s="1"/>
  <c r="M241" i="17" a="1"/>
  <c r="M241" i="17" s="1"/>
  <c r="N241" i="17" a="1"/>
  <c r="N241" i="17" s="1"/>
  <c r="M242" i="17" a="1"/>
  <c r="M242" i="17" s="1"/>
  <c r="N242" i="17" a="1"/>
  <c r="N242" i="17" s="1"/>
  <c r="M243" i="17" a="1"/>
  <c r="M243" i="17" s="1"/>
  <c r="N243" i="17" a="1"/>
  <c r="N243" i="17" s="1"/>
  <c r="M244" i="17" a="1"/>
  <c r="M244" i="17" s="1"/>
  <c r="N244" i="17" a="1"/>
  <c r="N244" i="17" s="1"/>
  <c r="M245" i="17" a="1"/>
  <c r="M245" i="17" s="1"/>
  <c r="N245" i="17" a="1"/>
  <c r="N245" i="17" s="1"/>
  <c r="M246" i="17" a="1"/>
  <c r="M246" i="17" s="1"/>
  <c r="N246" i="17" a="1"/>
  <c r="N246" i="17" s="1"/>
  <c r="M247" i="17" a="1"/>
  <c r="M247" i="17" s="1"/>
  <c r="N247" i="17" a="1"/>
  <c r="N247" i="17" s="1"/>
  <c r="M248" i="17" a="1"/>
  <c r="M248" i="17" s="1"/>
  <c r="N248" i="17" a="1"/>
  <c r="N248" i="17" s="1"/>
  <c r="M249" i="17" a="1"/>
  <c r="M249" i="17" s="1"/>
  <c r="N249" i="17" a="1"/>
  <c r="N249" i="17" s="1"/>
  <c r="M250" i="17" a="1"/>
  <c r="M250" i="17" s="1"/>
  <c r="N250" i="17" a="1"/>
  <c r="N250" i="17" s="1"/>
  <c r="M251" i="17" a="1"/>
  <c r="M251" i="17" s="1"/>
  <c r="N251" i="17" a="1"/>
  <c r="N251" i="17" s="1"/>
  <c r="M252" i="17" a="1"/>
  <c r="M252" i="17" s="1"/>
  <c r="N252" i="17" a="1"/>
  <c r="N252" i="17" s="1"/>
  <c r="M253" i="17" a="1"/>
  <c r="M253" i="17" s="1"/>
  <c r="N253" i="17" a="1"/>
  <c r="N253" i="17" s="1"/>
  <c r="M254" i="17" a="1"/>
  <c r="M254" i="17" s="1"/>
  <c r="N254" i="17" a="1"/>
  <c r="N254" i="17" s="1"/>
  <c r="M255" i="17" a="1"/>
  <c r="M255" i="17" s="1"/>
  <c r="N255" i="17" a="1"/>
  <c r="N255" i="17" s="1"/>
  <c r="M256" i="17" a="1"/>
  <c r="M256" i="17" s="1"/>
  <c r="N256" i="17" a="1"/>
  <c r="N256" i="17" s="1"/>
  <c r="M257" i="17" a="1"/>
  <c r="M257" i="17" s="1"/>
  <c r="N257" i="17" a="1"/>
  <c r="N257" i="17" s="1"/>
  <c r="M258" i="17" a="1"/>
  <c r="M258" i="17" s="1"/>
  <c r="N258" i="17" a="1"/>
  <c r="N258" i="17" s="1"/>
  <c r="M259" i="17" a="1"/>
  <c r="M259" i="17" s="1"/>
  <c r="N259" i="17" a="1"/>
  <c r="N259" i="17" s="1"/>
  <c r="M260" i="17" a="1"/>
  <c r="M260" i="17" s="1"/>
  <c r="N260" i="17" a="1"/>
  <c r="N260" i="17" s="1"/>
  <c r="M261" i="17" a="1"/>
  <c r="M261" i="17" s="1"/>
  <c r="N261" i="17" a="1"/>
  <c r="N261" i="17" s="1"/>
  <c r="M262" i="17" a="1"/>
  <c r="M262" i="17" s="1"/>
  <c r="N262" i="17" a="1"/>
  <c r="N262" i="17" s="1"/>
  <c r="M263" i="17" a="1"/>
  <c r="M263" i="17" s="1"/>
  <c r="N263" i="17" a="1"/>
  <c r="N263" i="17" s="1"/>
  <c r="M264" i="17" a="1"/>
  <c r="M264" i="17" s="1"/>
  <c r="N264" i="17" a="1"/>
  <c r="N264" i="17" s="1"/>
  <c r="M265" i="17" a="1"/>
  <c r="M265" i="17" s="1"/>
  <c r="N265" i="17" a="1"/>
  <c r="N265" i="17" s="1"/>
  <c r="M266" i="17" a="1"/>
  <c r="M266" i="17" s="1"/>
  <c r="N266" i="17" a="1"/>
  <c r="N266" i="17" s="1"/>
  <c r="M267" i="17" a="1"/>
  <c r="M267" i="17" s="1"/>
  <c r="N267" i="17" a="1"/>
  <c r="N267" i="17" s="1"/>
  <c r="M268" i="17" a="1"/>
  <c r="M268" i="17" s="1"/>
  <c r="N268" i="17" a="1"/>
  <c r="N268" i="17" s="1"/>
  <c r="M269" i="17" a="1"/>
  <c r="M269" i="17" s="1"/>
  <c r="N269" i="17" a="1"/>
  <c r="N269" i="17" s="1"/>
  <c r="M270" i="17" a="1"/>
  <c r="M270" i="17" s="1"/>
  <c r="N270" i="17" a="1"/>
  <c r="N270" i="17" s="1"/>
  <c r="M271" i="17" a="1"/>
  <c r="M271" i="17" s="1"/>
  <c r="N271" i="17" a="1"/>
  <c r="N271" i="17" s="1"/>
  <c r="M272" i="17" a="1"/>
  <c r="M272" i="17" s="1"/>
  <c r="N272" i="17" a="1"/>
  <c r="N272" i="17" s="1"/>
  <c r="M273" i="17" a="1"/>
  <c r="M273" i="17" s="1"/>
  <c r="N273" i="17" a="1"/>
  <c r="N273" i="17" s="1"/>
  <c r="M274" i="17" a="1"/>
  <c r="M274" i="17" s="1"/>
  <c r="N274" i="17" a="1"/>
  <c r="N274" i="17" s="1"/>
  <c r="M275" i="17" a="1"/>
  <c r="M275" i="17" s="1"/>
  <c r="N275" i="17" a="1"/>
  <c r="N275" i="17" s="1"/>
  <c r="M276" i="17" a="1"/>
  <c r="M276" i="17" s="1"/>
  <c r="N276" i="17" a="1"/>
  <c r="N276" i="17" s="1"/>
  <c r="M277" i="17" a="1"/>
  <c r="M277" i="17" s="1"/>
  <c r="N277" i="17" a="1"/>
  <c r="N277" i="17" s="1"/>
  <c r="M278" i="17" a="1"/>
  <c r="M278" i="17" s="1"/>
  <c r="N278" i="17" a="1"/>
  <c r="N278" i="17" s="1"/>
  <c r="M279" i="17" a="1"/>
  <c r="M279" i="17" s="1"/>
  <c r="N279" i="17" a="1"/>
  <c r="N279" i="17" s="1"/>
  <c r="M280" i="17" a="1"/>
  <c r="M280" i="17" s="1"/>
  <c r="N280" i="17" a="1"/>
  <c r="N280" i="17" s="1"/>
  <c r="M281" i="17" a="1"/>
  <c r="M281" i="17" s="1"/>
  <c r="N281" i="17" a="1"/>
  <c r="N281" i="17" s="1"/>
  <c r="M282" i="17" a="1"/>
  <c r="M282" i="17" s="1"/>
  <c r="N282" i="17" a="1"/>
  <c r="N282" i="17" s="1"/>
  <c r="M283" i="17" a="1"/>
  <c r="M283" i="17" s="1"/>
  <c r="N283" i="17" a="1"/>
  <c r="N283" i="17" s="1"/>
  <c r="M284" i="17" a="1"/>
  <c r="M284" i="17" s="1"/>
  <c r="N284" i="17" a="1"/>
  <c r="N284" i="17" s="1"/>
  <c r="M285" i="17" a="1"/>
  <c r="M285" i="17" s="1"/>
  <c r="N285" i="17" a="1"/>
  <c r="N285" i="17" s="1"/>
  <c r="M286" i="17" a="1"/>
  <c r="M286" i="17" s="1"/>
  <c r="N286" i="17" a="1"/>
  <c r="N286" i="17" s="1"/>
  <c r="M287" i="17" a="1"/>
  <c r="M287" i="17" s="1"/>
  <c r="N287" i="17" a="1"/>
  <c r="N287" i="17" s="1"/>
  <c r="M288" i="17" a="1"/>
  <c r="M288" i="17" s="1"/>
  <c r="N288" i="17" a="1"/>
  <c r="N288" i="17" s="1"/>
  <c r="M289" i="17" a="1"/>
  <c r="M289" i="17" s="1"/>
  <c r="N289" i="17" a="1"/>
  <c r="N289" i="17" s="1"/>
  <c r="M290" i="17" a="1"/>
  <c r="M290" i="17" s="1"/>
  <c r="N290" i="17" a="1"/>
  <c r="N290" i="17" s="1"/>
  <c r="M291" i="17" a="1"/>
  <c r="M291" i="17" s="1"/>
  <c r="N291" i="17" a="1"/>
  <c r="N291" i="17" s="1"/>
  <c r="M292" i="17" a="1"/>
  <c r="M292" i="17" s="1"/>
  <c r="N292" i="17" a="1"/>
  <c r="N292" i="17" s="1"/>
  <c r="M293" i="17" a="1"/>
  <c r="M293" i="17" s="1"/>
  <c r="N293" i="17" a="1"/>
  <c r="N293" i="17" s="1"/>
  <c r="M294" i="17" a="1"/>
  <c r="M294" i="17" s="1"/>
  <c r="N294" i="17" a="1"/>
  <c r="N294" i="17" s="1"/>
  <c r="M295" i="17" a="1"/>
  <c r="M295" i="17" s="1"/>
  <c r="N295" i="17" a="1"/>
  <c r="N295" i="17" s="1"/>
  <c r="M296" i="17" a="1"/>
  <c r="M296" i="17" s="1"/>
  <c r="N296" i="17" a="1"/>
  <c r="N296" i="17" s="1"/>
  <c r="M297" i="17" a="1"/>
  <c r="M297" i="17" s="1"/>
  <c r="N297" i="17" a="1"/>
  <c r="N297" i="17" s="1"/>
  <c r="M298" i="17" a="1"/>
  <c r="M298" i="17" s="1"/>
  <c r="N298" i="17" a="1"/>
  <c r="N298" i="17" s="1"/>
  <c r="M299" i="17" a="1"/>
  <c r="M299" i="17" s="1"/>
  <c r="N299" i="17" a="1"/>
  <c r="N299" i="17" s="1"/>
  <c r="M300" i="17" a="1"/>
  <c r="M300" i="17" s="1"/>
  <c r="N300" i="17" a="1"/>
  <c r="N300" i="17" s="1"/>
  <c r="M301" i="17" a="1"/>
  <c r="M301" i="17" s="1"/>
  <c r="N301" i="17" a="1"/>
  <c r="N301" i="17" s="1"/>
  <c r="M302" i="17" a="1"/>
  <c r="M302" i="17" s="1"/>
  <c r="N302" i="17" a="1"/>
  <c r="N302" i="17" s="1"/>
  <c r="M303" i="17" a="1"/>
  <c r="M303" i="17" s="1"/>
  <c r="N303" i="17" a="1"/>
  <c r="N303" i="17" s="1"/>
  <c r="M304" i="17" a="1"/>
  <c r="M304" i="17" s="1"/>
  <c r="N304" i="17" a="1"/>
  <c r="N304" i="17" s="1"/>
  <c r="M305" i="17" a="1"/>
  <c r="M305" i="17" s="1"/>
  <c r="N305" i="17" a="1"/>
  <c r="N305" i="17" s="1"/>
  <c r="M306" i="17" a="1"/>
  <c r="M306" i="17" s="1"/>
  <c r="N306" i="17" a="1"/>
  <c r="N306" i="17" s="1"/>
  <c r="M307" i="17" a="1"/>
  <c r="M307" i="17" s="1"/>
  <c r="N307" i="17" a="1"/>
  <c r="N307" i="17" s="1"/>
  <c r="M308" i="17" a="1"/>
  <c r="M308" i="17" s="1"/>
  <c r="N308" i="17" a="1"/>
  <c r="N308" i="17" s="1"/>
  <c r="M309" i="17" a="1"/>
  <c r="M309" i="17" s="1"/>
  <c r="N309" i="17" a="1"/>
  <c r="N309" i="17" s="1"/>
  <c r="M310" i="17" a="1"/>
  <c r="M310" i="17" s="1"/>
  <c r="N310" i="17" a="1"/>
  <c r="N310" i="17" s="1"/>
  <c r="M311" i="17" a="1"/>
  <c r="M311" i="17" s="1"/>
  <c r="N311" i="17" a="1"/>
  <c r="N311" i="17" s="1"/>
  <c r="M312" i="17" a="1"/>
  <c r="M312" i="17" s="1"/>
  <c r="N312" i="17" a="1"/>
  <c r="N312" i="17" s="1"/>
  <c r="M313" i="17" a="1"/>
  <c r="M313" i="17" s="1"/>
  <c r="N313" i="17" a="1"/>
  <c r="N313" i="17" s="1"/>
  <c r="M314" i="17" a="1"/>
  <c r="M314" i="17" s="1"/>
  <c r="N314" i="17" a="1"/>
  <c r="N314" i="17" s="1"/>
  <c r="M315" i="17" a="1"/>
  <c r="M315" i="17" s="1"/>
  <c r="N315" i="17" a="1"/>
  <c r="N315" i="17" s="1"/>
  <c r="M316" i="17" a="1"/>
  <c r="M316" i="17" s="1"/>
  <c r="N316" i="17" a="1"/>
  <c r="N316" i="17" s="1"/>
  <c r="M317" i="17" a="1"/>
  <c r="M317" i="17" s="1"/>
  <c r="N317" i="17" a="1"/>
  <c r="N317" i="17" s="1"/>
  <c r="M318" i="17" a="1"/>
  <c r="M318" i="17" s="1"/>
  <c r="N318" i="17" a="1"/>
  <c r="N318" i="17" s="1"/>
  <c r="M319" i="17" a="1"/>
  <c r="M319" i="17" s="1"/>
  <c r="N319" i="17" a="1"/>
  <c r="N319" i="17" s="1"/>
  <c r="M320" i="17" a="1"/>
  <c r="M320" i="17" s="1"/>
  <c r="N320" i="17" a="1"/>
  <c r="N320" i="17" s="1"/>
  <c r="M321" i="17" a="1"/>
  <c r="M321" i="17" s="1"/>
  <c r="N321" i="17" a="1"/>
  <c r="N321" i="17" s="1"/>
  <c r="M322" i="17" a="1"/>
  <c r="M322" i="17" s="1"/>
  <c r="N322" i="17" a="1"/>
  <c r="N322" i="17" s="1"/>
  <c r="M323" i="17" a="1"/>
  <c r="M323" i="17" s="1"/>
  <c r="N323" i="17" a="1"/>
  <c r="N323" i="17" s="1"/>
  <c r="M324" i="17" a="1"/>
  <c r="M324" i="17" s="1"/>
  <c r="N324" i="17" a="1"/>
  <c r="N324" i="17" s="1"/>
  <c r="M325" i="17" a="1"/>
  <c r="M325" i="17" s="1"/>
  <c r="N325" i="17" a="1"/>
  <c r="N325" i="17" s="1"/>
  <c r="M326" i="17" a="1"/>
  <c r="M326" i="17" s="1"/>
  <c r="N326" i="17" a="1"/>
  <c r="N326" i="17" s="1"/>
  <c r="M327" i="17" a="1"/>
  <c r="M327" i="17" s="1"/>
  <c r="N327" i="17" a="1"/>
  <c r="N327" i="17" s="1"/>
  <c r="M328" i="17" a="1"/>
  <c r="M328" i="17" s="1"/>
  <c r="N328" i="17" a="1"/>
  <c r="N328" i="17" s="1"/>
  <c r="M329" i="17" a="1"/>
  <c r="M329" i="17" s="1"/>
  <c r="N329" i="17" a="1"/>
  <c r="N329" i="17" s="1"/>
  <c r="M330" i="17" a="1"/>
  <c r="M330" i="17" s="1"/>
  <c r="N330" i="17" a="1"/>
  <c r="N330" i="17" s="1"/>
  <c r="M331" i="17" a="1"/>
  <c r="M331" i="17" s="1"/>
  <c r="N331" i="17" a="1"/>
  <c r="N331" i="17" s="1"/>
  <c r="M332" i="17" a="1"/>
  <c r="M332" i="17" s="1"/>
  <c r="N332" i="17" a="1"/>
  <c r="N332" i="17" s="1"/>
  <c r="M333" i="17" a="1"/>
  <c r="M333" i="17" s="1"/>
  <c r="N333" i="17" a="1"/>
  <c r="N333" i="17" s="1"/>
  <c r="M334" i="17" a="1"/>
  <c r="M334" i="17" s="1"/>
  <c r="N334" i="17" a="1"/>
  <c r="N334" i="17" s="1"/>
  <c r="M335" i="17" a="1"/>
  <c r="M335" i="17" s="1"/>
  <c r="N335" i="17" a="1"/>
  <c r="N335" i="17" s="1"/>
  <c r="M336" i="17" a="1"/>
  <c r="M336" i="17" s="1"/>
  <c r="N336" i="17" a="1"/>
  <c r="N336" i="17" s="1"/>
  <c r="M337" i="17" a="1"/>
  <c r="M337" i="17" s="1"/>
  <c r="N337" i="17" a="1"/>
  <c r="N337" i="17" s="1"/>
  <c r="M338" i="17" a="1"/>
  <c r="M338" i="17" s="1"/>
  <c r="N338" i="17" a="1"/>
  <c r="N338" i="17" s="1"/>
  <c r="M339" i="17" a="1"/>
  <c r="M339" i="17" s="1"/>
  <c r="N339" i="17" a="1"/>
  <c r="N339" i="17" s="1"/>
  <c r="M340" i="17" a="1"/>
  <c r="M340" i="17" s="1"/>
  <c r="N340" i="17" a="1"/>
  <c r="N340" i="17" s="1"/>
  <c r="M341" i="17" a="1"/>
  <c r="M341" i="17" s="1"/>
  <c r="N341" i="17" a="1"/>
  <c r="N341" i="17" s="1"/>
  <c r="M342" i="17" a="1"/>
  <c r="M342" i="17" s="1"/>
  <c r="N342" i="17" a="1"/>
  <c r="N342" i="17" s="1"/>
  <c r="M343" i="17" a="1"/>
  <c r="M343" i="17" s="1"/>
  <c r="N343" i="17" a="1"/>
  <c r="N343" i="17" s="1"/>
  <c r="M344" i="17" a="1"/>
  <c r="M344" i="17" s="1"/>
  <c r="N344" i="17" a="1"/>
  <c r="N344" i="17" s="1"/>
  <c r="M345" i="17" a="1"/>
  <c r="M345" i="17" s="1"/>
  <c r="N345" i="17" a="1"/>
  <c r="N345" i="17" s="1"/>
  <c r="M346" i="17" a="1"/>
  <c r="M346" i="17" s="1"/>
  <c r="N346" i="17" a="1"/>
  <c r="N346" i="17" s="1"/>
  <c r="M347" i="17" a="1"/>
  <c r="M347" i="17" s="1"/>
  <c r="N347" i="17" a="1"/>
  <c r="N347" i="17" s="1"/>
  <c r="M348" i="17" a="1"/>
  <c r="M348" i="17" s="1"/>
  <c r="N348" i="17" a="1"/>
  <c r="N348" i="17" s="1"/>
  <c r="M349" i="17" a="1"/>
  <c r="M349" i="17" s="1"/>
  <c r="N349" i="17" a="1"/>
  <c r="N349" i="17" s="1"/>
  <c r="M350" i="17" a="1"/>
  <c r="M350" i="17" s="1"/>
  <c r="N350" i="17" a="1"/>
  <c r="N350" i="17" s="1"/>
  <c r="M351" i="17" a="1"/>
  <c r="M351" i="17" s="1"/>
  <c r="N351" i="17" a="1"/>
  <c r="N351" i="17" s="1"/>
  <c r="M352" i="17" a="1"/>
  <c r="M352" i="17" s="1"/>
  <c r="N352" i="17" a="1"/>
  <c r="N352" i="17" s="1"/>
  <c r="M353" i="17" a="1"/>
  <c r="M353" i="17" s="1"/>
  <c r="N353" i="17" a="1"/>
  <c r="N353" i="17" s="1"/>
  <c r="M354" i="17" a="1"/>
  <c r="M354" i="17" s="1"/>
  <c r="N354" i="17" a="1"/>
  <c r="N354" i="17" s="1"/>
  <c r="M355" i="17" a="1"/>
  <c r="M355" i="17" s="1"/>
  <c r="N355" i="17" a="1"/>
  <c r="N355" i="17" s="1"/>
  <c r="M356" i="17" a="1"/>
  <c r="M356" i="17" s="1"/>
  <c r="N356" i="17" a="1"/>
  <c r="N356" i="17" s="1"/>
  <c r="M357" i="17" a="1"/>
  <c r="M357" i="17" s="1"/>
  <c r="N357" i="17" a="1"/>
  <c r="N357" i="17" s="1"/>
  <c r="M358" i="17" a="1"/>
  <c r="M358" i="17" s="1"/>
  <c r="N358" i="17" a="1"/>
  <c r="N358" i="17" s="1"/>
  <c r="M359" i="17" a="1"/>
  <c r="M359" i="17" s="1"/>
  <c r="N359" i="17" a="1"/>
  <c r="N359" i="17" s="1"/>
  <c r="M360" i="17" a="1"/>
  <c r="M360" i="17" s="1"/>
  <c r="N360" i="17" a="1"/>
  <c r="N360" i="17" s="1"/>
  <c r="M361" i="17" a="1"/>
  <c r="M361" i="17" s="1"/>
  <c r="N361" i="17" a="1"/>
  <c r="N361" i="17" s="1"/>
  <c r="M362" i="17" a="1"/>
  <c r="M362" i="17" s="1"/>
  <c r="N362" i="17" a="1"/>
  <c r="N362" i="17" s="1"/>
  <c r="M363" i="17" a="1"/>
  <c r="M363" i="17" s="1"/>
  <c r="N363" i="17" a="1"/>
  <c r="N363" i="17" s="1"/>
  <c r="M364" i="17" a="1"/>
  <c r="M364" i="17" s="1"/>
  <c r="N364" i="17" a="1"/>
  <c r="N364" i="17" s="1"/>
  <c r="M365" i="17" a="1"/>
  <c r="M365" i="17" s="1"/>
  <c r="N365" i="17" a="1"/>
  <c r="N365" i="17" s="1"/>
  <c r="M366" i="17" a="1"/>
  <c r="M366" i="17" s="1"/>
  <c r="N366" i="17" a="1"/>
  <c r="N366" i="17" s="1"/>
  <c r="M367" i="17" a="1"/>
  <c r="M367" i="17" s="1"/>
  <c r="N367" i="17" a="1"/>
  <c r="N367" i="17" s="1"/>
  <c r="M368" i="17" a="1"/>
  <c r="M368" i="17" s="1"/>
  <c r="N368" i="17" a="1"/>
  <c r="N368" i="17" s="1"/>
  <c r="M369" i="17" a="1"/>
  <c r="M369" i="17" s="1"/>
  <c r="N369" i="17" a="1"/>
  <c r="N369" i="17" s="1"/>
  <c r="M370" i="17" a="1"/>
  <c r="M370" i="17" s="1"/>
  <c r="N370" i="17" a="1"/>
  <c r="N370" i="17" s="1"/>
  <c r="M371" i="17" a="1"/>
  <c r="M371" i="17" s="1"/>
  <c r="N371" i="17" a="1"/>
  <c r="N371" i="17" s="1"/>
  <c r="M372" i="17" a="1"/>
  <c r="M372" i="17" s="1"/>
  <c r="N372" i="17" a="1"/>
  <c r="N372" i="17" s="1"/>
  <c r="M373" i="17" a="1"/>
  <c r="M373" i="17" s="1"/>
  <c r="N373" i="17" a="1"/>
  <c r="N373" i="17" s="1"/>
  <c r="M374" i="17" a="1"/>
  <c r="M374" i="17" s="1"/>
  <c r="N374" i="17" a="1"/>
  <c r="N374" i="17" s="1"/>
  <c r="M375" i="17" a="1"/>
  <c r="M375" i="17" s="1"/>
  <c r="N375" i="17" a="1"/>
  <c r="N375" i="17" s="1"/>
  <c r="M376" i="17" a="1"/>
  <c r="M376" i="17" s="1"/>
  <c r="N376" i="17" a="1"/>
  <c r="N376" i="17" s="1"/>
  <c r="M377" i="17" a="1"/>
  <c r="M377" i="17" s="1"/>
  <c r="N377" i="17" a="1"/>
  <c r="N377" i="17" s="1"/>
  <c r="M378" i="17" a="1"/>
  <c r="M378" i="17" s="1"/>
  <c r="N378" i="17" a="1"/>
  <c r="N378" i="17" s="1"/>
  <c r="M379" i="17" a="1"/>
  <c r="M379" i="17" s="1"/>
  <c r="N379" i="17" a="1"/>
  <c r="N379" i="17" s="1"/>
  <c r="M380" i="17" a="1"/>
  <c r="M380" i="17" s="1"/>
  <c r="N380" i="17" a="1"/>
  <c r="N380" i="17" s="1"/>
  <c r="M381" i="17" a="1"/>
  <c r="M381" i="17" s="1"/>
  <c r="N381" i="17" a="1"/>
  <c r="N381" i="17" s="1"/>
  <c r="M382" i="17" a="1"/>
  <c r="M382" i="17" s="1"/>
  <c r="N382" i="17" a="1"/>
  <c r="N382" i="17" s="1"/>
  <c r="M383" i="17" a="1"/>
  <c r="M383" i="17" s="1"/>
  <c r="N383" i="17" a="1"/>
  <c r="N383" i="17" s="1"/>
  <c r="M384" i="17" a="1"/>
  <c r="M384" i="17" s="1"/>
  <c r="N384" i="17" a="1"/>
  <c r="N384" i="17" s="1"/>
  <c r="M385" i="17" a="1"/>
  <c r="M385" i="17" s="1"/>
  <c r="N385" i="17" a="1"/>
  <c r="N385" i="17" s="1"/>
  <c r="M386" i="17" a="1"/>
  <c r="M386" i="17" s="1"/>
  <c r="N386" i="17" a="1"/>
  <c r="N386" i="17" s="1"/>
  <c r="M387" i="17" a="1"/>
  <c r="M387" i="17" s="1"/>
  <c r="N387" i="17" a="1"/>
  <c r="N387" i="17" s="1"/>
  <c r="M388" i="17" a="1"/>
  <c r="M388" i="17" s="1"/>
  <c r="N388" i="17" a="1"/>
  <c r="N388" i="17" s="1"/>
  <c r="M389" i="17" a="1"/>
  <c r="M389" i="17" s="1"/>
  <c r="N389" i="17" a="1"/>
  <c r="N389" i="17" s="1"/>
  <c r="M390" i="17" a="1"/>
  <c r="M390" i="17" s="1"/>
  <c r="N390" i="17" a="1"/>
  <c r="N390" i="17" s="1"/>
  <c r="M391" i="17" a="1"/>
  <c r="M391" i="17" s="1"/>
  <c r="N391" i="17" a="1"/>
  <c r="N391" i="17" s="1"/>
  <c r="M392" i="17" a="1"/>
  <c r="M392" i="17" s="1"/>
  <c r="N392" i="17" a="1"/>
  <c r="N392" i="17" s="1"/>
  <c r="M393" i="17" a="1"/>
  <c r="M393" i="17" s="1"/>
  <c r="N393" i="17" a="1"/>
  <c r="N393" i="17" s="1"/>
  <c r="M394" i="17" a="1"/>
  <c r="M394" i="17" s="1"/>
  <c r="N394" i="17" a="1"/>
  <c r="N394" i="17" s="1"/>
  <c r="M395" i="17" a="1"/>
  <c r="M395" i="17" s="1"/>
  <c r="N395" i="17" a="1"/>
  <c r="N395" i="17" s="1"/>
  <c r="M396" i="17" a="1"/>
  <c r="M396" i="17" s="1"/>
  <c r="N396" i="17" a="1"/>
  <c r="N396" i="17" s="1"/>
  <c r="M397" i="17" a="1"/>
  <c r="M397" i="17" s="1"/>
  <c r="N397" i="17" a="1"/>
  <c r="N397" i="17" s="1"/>
  <c r="M398" i="17" a="1"/>
  <c r="M398" i="17" s="1"/>
  <c r="N398" i="17" a="1"/>
  <c r="N398" i="17" s="1"/>
  <c r="M399" i="17" a="1"/>
  <c r="M399" i="17" s="1"/>
  <c r="N399" i="17" a="1"/>
  <c r="N399" i="17" s="1"/>
  <c r="M400" i="17" a="1"/>
  <c r="M400" i="17" s="1"/>
  <c r="N400" i="17" a="1"/>
  <c r="N400" i="17" s="1"/>
  <c r="M401" i="17" a="1"/>
  <c r="M401" i="17" s="1"/>
  <c r="N401" i="17" a="1"/>
  <c r="N401" i="17" s="1"/>
  <c r="M402" i="17" a="1"/>
  <c r="M402" i="17" s="1"/>
  <c r="N402" i="17" a="1"/>
  <c r="N402" i="17" s="1"/>
  <c r="M403" i="17" a="1"/>
  <c r="M403" i="17" s="1"/>
  <c r="N403" i="17" a="1"/>
  <c r="N403" i="17" s="1"/>
  <c r="M404" i="17" a="1"/>
  <c r="M404" i="17" s="1"/>
  <c r="N404" i="17" a="1"/>
  <c r="N404" i="17" s="1"/>
  <c r="M405" i="17" a="1"/>
  <c r="M405" i="17" s="1"/>
  <c r="N405" i="17" a="1"/>
  <c r="N405" i="17" s="1"/>
  <c r="M406" i="17" a="1"/>
  <c r="M406" i="17" s="1"/>
  <c r="N406" i="17" a="1"/>
  <c r="N406" i="17" s="1"/>
  <c r="M407" i="17" a="1"/>
  <c r="M407" i="17" s="1"/>
  <c r="N407" i="17" a="1"/>
  <c r="N407" i="17" s="1"/>
  <c r="M408" i="17" a="1"/>
  <c r="M408" i="17" s="1"/>
  <c r="N408" i="17" a="1"/>
  <c r="N408" i="17" s="1"/>
  <c r="M409" i="17" a="1"/>
  <c r="M409" i="17" s="1"/>
  <c r="N409" i="17" a="1"/>
  <c r="N409" i="17" s="1"/>
  <c r="M410" i="17" a="1"/>
  <c r="M410" i="17" s="1"/>
  <c r="N410" i="17" a="1"/>
  <c r="N410" i="17" s="1"/>
  <c r="M411" i="17" a="1"/>
  <c r="M411" i="17" s="1"/>
  <c r="N411" i="17" a="1"/>
  <c r="N411" i="17" s="1"/>
  <c r="M412" i="17" a="1"/>
  <c r="M412" i="17" s="1"/>
  <c r="N412" i="17" a="1"/>
  <c r="N412" i="17" s="1"/>
  <c r="M413" i="17" a="1"/>
  <c r="M413" i="17" s="1"/>
  <c r="N413" i="17" a="1"/>
  <c r="N413" i="17" s="1"/>
  <c r="M414" i="17" a="1"/>
  <c r="M414" i="17" s="1"/>
  <c r="N414" i="17" a="1"/>
  <c r="N414" i="17" s="1"/>
  <c r="M415" i="17" a="1"/>
  <c r="M415" i="17" s="1"/>
  <c r="N415" i="17" a="1"/>
  <c r="N415" i="17" s="1"/>
  <c r="M416" i="17" a="1"/>
  <c r="M416" i="17" s="1"/>
  <c r="N416" i="17" a="1"/>
  <c r="N416" i="17" s="1"/>
  <c r="M417" i="17" a="1"/>
  <c r="M417" i="17" s="1"/>
  <c r="N417" i="17" a="1"/>
  <c r="N417" i="17" s="1"/>
  <c r="M418" i="17" a="1"/>
  <c r="M418" i="17" s="1"/>
  <c r="N418" i="17" a="1"/>
  <c r="N418" i="17" s="1"/>
  <c r="M419" i="17" a="1"/>
  <c r="M419" i="17" s="1"/>
  <c r="N419" i="17" a="1"/>
  <c r="N419" i="17" s="1"/>
  <c r="M420" i="17" a="1"/>
  <c r="M420" i="17" s="1"/>
  <c r="N420" i="17" a="1"/>
  <c r="N420" i="17" s="1"/>
  <c r="M421" i="17" a="1"/>
  <c r="M421" i="17" s="1"/>
  <c r="N421" i="17" a="1"/>
  <c r="N421" i="17" s="1"/>
  <c r="M422" i="17" a="1"/>
  <c r="M422" i="17" s="1"/>
  <c r="N422" i="17" a="1"/>
  <c r="N422" i="17" s="1"/>
  <c r="M423" i="17" a="1"/>
  <c r="M423" i="17" s="1"/>
  <c r="N423" i="17" a="1"/>
  <c r="N423" i="17" s="1"/>
  <c r="M424" i="17" a="1"/>
  <c r="M424" i="17" s="1"/>
  <c r="N424" i="17" a="1"/>
  <c r="N424" i="17" s="1"/>
  <c r="M425" i="17" a="1"/>
  <c r="M425" i="17" s="1"/>
  <c r="N425" i="17" a="1"/>
  <c r="N425" i="17" s="1"/>
  <c r="M426" i="17" a="1"/>
  <c r="M426" i="17" s="1"/>
  <c r="N426" i="17" a="1"/>
  <c r="N426" i="17" s="1"/>
  <c r="M427" i="17" a="1"/>
  <c r="M427" i="17" s="1"/>
  <c r="N427" i="17" a="1"/>
  <c r="N427" i="17" s="1"/>
  <c r="M428" i="17" a="1"/>
  <c r="M428" i="17" s="1"/>
  <c r="N428" i="17" a="1"/>
  <c r="N428" i="17" s="1"/>
  <c r="M429" i="17" a="1"/>
  <c r="M429" i="17" s="1"/>
  <c r="N429" i="17" a="1"/>
  <c r="N429" i="17" s="1"/>
  <c r="M430" i="17" a="1"/>
  <c r="M430" i="17" s="1"/>
  <c r="N430" i="17" a="1"/>
  <c r="N430" i="17" s="1"/>
  <c r="M431" i="17" a="1"/>
  <c r="M431" i="17" s="1"/>
  <c r="N431" i="17" a="1"/>
  <c r="N431" i="17" s="1"/>
  <c r="M432" i="17" a="1"/>
  <c r="M432" i="17" s="1"/>
  <c r="N432" i="17" a="1"/>
  <c r="N432" i="17" s="1"/>
  <c r="M433" i="17" a="1"/>
  <c r="M433" i="17" s="1"/>
  <c r="N433" i="17" a="1"/>
  <c r="N433" i="17" s="1"/>
  <c r="M434" i="17" a="1"/>
  <c r="M434" i="17" s="1"/>
  <c r="N434" i="17" a="1"/>
  <c r="N434" i="17" s="1"/>
  <c r="M435" i="17" a="1"/>
  <c r="M435" i="17" s="1"/>
  <c r="N435" i="17" a="1"/>
  <c r="N435" i="17" s="1"/>
  <c r="M436" i="17" a="1"/>
  <c r="M436" i="17" s="1"/>
  <c r="N436" i="17" a="1"/>
  <c r="N436" i="17" s="1"/>
  <c r="M437" i="17" a="1"/>
  <c r="M437" i="17" s="1"/>
  <c r="N437" i="17" a="1"/>
  <c r="N437" i="17" s="1"/>
  <c r="M438" i="17" a="1"/>
  <c r="M438" i="17" s="1"/>
  <c r="N438" i="17" a="1"/>
  <c r="N438" i="17" s="1"/>
  <c r="M439" i="17" a="1"/>
  <c r="M439" i="17" s="1"/>
  <c r="N439" i="17" a="1"/>
  <c r="N439" i="17" s="1"/>
  <c r="M440" i="17" a="1"/>
  <c r="M440" i="17" s="1"/>
  <c r="N440" i="17" a="1"/>
  <c r="N440" i="17" s="1"/>
  <c r="M441" i="17" a="1"/>
  <c r="M441" i="17" s="1"/>
  <c r="N441" i="17" a="1"/>
  <c r="N441" i="17" s="1"/>
  <c r="M442" i="17" a="1"/>
  <c r="M442" i="17" s="1"/>
  <c r="N442" i="17" a="1"/>
  <c r="N442" i="17" s="1"/>
  <c r="M443" i="17" a="1"/>
  <c r="M443" i="17" s="1"/>
  <c r="N443" i="17" a="1"/>
  <c r="N443" i="17" s="1"/>
  <c r="M107" i="18" a="1"/>
  <c r="M107" i="18" s="1"/>
  <c r="N107" i="18" a="1"/>
  <c r="N107" i="18" s="1"/>
  <c r="O107" i="18"/>
  <c r="M108" i="18" a="1"/>
  <c r="M108" i="18" s="1"/>
  <c r="N108" i="18" a="1"/>
  <c r="N108" i="18" s="1"/>
  <c r="O108" i="18"/>
  <c r="M109" i="18" a="1"/>
  <c r="M109" i="18" s="1"/>
  <c r="N109" i="18" a="1"/>
  <c r="N109" i="18" s="1"/>
  <c r="O109" i="18"/>
  <c r="M110" i="18" a="1"/>
  <c r="M110" i="18" s="1"/>
  <c r="N110" i="18" a="1"/>
  <c r="N110" i="18" s="1"/>
  <c r="O110" i="18"/>
  <c r="M111" i="18" a="1"/>
  <c r="M111" i="18" s="1"/>
  <c r="N111" i="18" a="1"/>
  <c r="N111" i="18" s="1"/>
  <c r="O111" i="18"/>
  <c r="M112" i="18" a="1"/>
  <c r="M112" i="18" s="1"/>
  <c r="N112" i="18" a="1"/>
  <c r="N112" i="18" s="1"/>
  <c r="O112" i="18"/>
  <c r="M113" i="18" a="1"/>
  <c r="M113" i="18" s="1"/>
  <c r="N113" i="18" a="1"/>
  <c r="N113" i="18" s="1"/>
  <c r="O113" i="18"/>
  <c r="M114" i="18" a="1"/>
  <c r="M114" i="18" s="1"/>
  <c r="N114" i="18" a="1"/>
  <c r="N114" i="18" s="1"/>
  <c r="O114" i="18"/>
  <c r="M115" i="18" a="1"/>
  <c r="M115" i="18" s="1"/>
  <c r="N115" i="18" a="1"/>
  <c r="N115" i="18" s="1"/>
  <c r="O115" i="18"/>
  <c r="M116" i="18" a="1"/>
  <c r="M116" i="18" s="1"/>
  <c r="N116" i="18" a="1"/>
  <c r="N116" i="18" s="1"/>
  <c r="O116" i="18"/>
  <c r="M117" i="18" a="1"/>
  <c r="M117" i="18" s="1"/>
  <c r="N117" i="18" a="1"/>
  <c r="N117" i="18" s="1"/>
  <c r="O117" i="18"/>
  <c r="M118" i="18" a="1"/>
  <c r="M118" i="18" s="1"/>
  <c r="N118" i="18" a="1"/>
  <c r="N118" i="18" s="1"/>
  <c r="O118" i="18"/>
  <c r="M119" i="18" a="1"/>
  <c r="M119" i="18" s="1"/>
  <c r="N119" i="18" a="1"/>
  <c r="N119" i="18" s="1"/>
  <c r="O119" i="18"/>
  <c r="M120" i="18" a="1"/>
  <c r="M120" i="18" s="1"/>
  <c r="N120" i="18" a="1"/>
  <c r="N120" i="18" s="1"/>
  <c r="O120" i="18"/>
  <c r="M121" i="18" a="1"/>
  <c r="M121" i="18" s="1"/>
  <c r="N121" i="18" a="1"/>
  <c r="N121" i="18" s="1"/>
  <c r="O121" i="18"/>
  <c r="M122" i="18" a="1"/>
  <c r="M122" i="18" s="1"/>
  <c r="N122" i="18" a="1"/>
  <c r="N122" i="18" s="1"/>
  <c r="O122" i="18"/>
  <c r="M123" i="18" a="1"/>
  <c r="M123" i="18" s="1"/>
  <c r="N123" i="18" a="1"/>
  <c r="N123" i="18" s="1"/>
  <c r="O123" i="18"/>
  <c r="M124" i="18" a="1"/>
  <c r="M124" i="18" s="1"/>
  <c r="N124" i="18" a="1"/>
  <c r="N124" i="18" s="1"/>
  <c r="O124" i="18"/>
  <c r="M125" i="18" a="1"/>
  <c r="M125" i="18" s="1"/>
  <c r="N125" i="18" a="1"/>
  <c r="N125" i="18" s="1"/>
  <c r="O125" i="18"/>
  <c r="M126" i="18" a="1"/>
  <c r="M126" i="18" s="1"/>
  <c r="N126" i="18" a="1"/>
  <c r="N126" i="18" s="1"/>
  <c r="O126" i="18"/>
  <c r="M127" i="18" a="1"/>
  <c r="M127" i="18" s="1"/>
  <c r="N127" i="18" a="1"/>
  <c r="N127" i="18" s="1"/>
  <c r="O127" i="18"/>
  <c r="M128" i="18" a="1"/>
  <c r="M128" i="18" s="1"/>
  <c r="N128" i="18" a="1"/>
  <c r="N128" i="18" s="1"/>
  <c r="O128" i="18"/>
  <c r="M129" i="18" a="1"/>
  <c r="M129" i="18" s="1"/>
  <c r="N129" i="18" a="1"/>
  <c r="N129" i="18" s="1"/>
  <c r="O129" i="18"/>
  <c r="M130" i="18" a="1"/>
  <c r="M130" i="18" s="1"/>
  <c r="N130" i="18" a="1"/>
  <c r="N130" i="18" s="1"/>
  <c r="O130" i="18"/>
  <c r="M131" i="18" a="1"/>
  <c r="M131" i="18" s="1"/>
  <c r="N131" i="18" a="1"/>
  <c r="N131" i="18" s="1"/>
  <c r="O131" i="18"/>
  <c r="M132" i="18" a="1"/>
  <c r="M132" i="18" s="1"/>
  <c r="N132" i="18" a="1"/>
  <c r="N132" i="18" s="1"/>
  <c r="O132" i="18"/>
  <c r="M133" i="18" a="1"/>
  <c r="M133" i="18" s="1"/>
  <c r="N133" i="18" a="1"/>
  <c r="N133" i="18" s="1"/>
  <c r="O133" i="18"/>
  <c r="M134" i="18" a="1"/>
  <c r="M134" i="18" s="1"/>
  <c r="N134" i="18" a="1"/>
  <c r="N134" i="18" s="1"/>
  <c r="O134" i="18"/>
  <c r="M135" i="18" a="1"/>
  <c r="M135" i="18" s="1"/>
  <c r="N135" i="18" a="1"/>
  <c r="N135" i="18" s="1"/>
  <c r="O135" i="18"/>
  <c r="M136" i="18" a="1"/>
  <c r="M136" i="18" s="1"/>
  <c r="N136" i="18" a="1"/>
  <c r="N136" i="18" s="1"/>
  <c r="O136" i="18"/>
  <c r="M137" i="18" a="1"/>
  <c r="M137" i="18" s="1"/>
  <c r="N137" i="18" a="1"/>
  <c r="N137" i="18" s="1"/>
  <c r="O137" i="18"/>
  <c r="M138" i="18" a="1"/>
  <c r="M138" i="18" s="1"/>
  <c r="N138" i="18" a="1"/>
  <c r="N138" i="18" s="1"/>
  <c r="O138" i="18"/>
  <c r="M139" i="18" a="1"/>
  <c r="M139" i="18" s="1"/>
  <c r="N139" i="18" a="1"/>
  <c r="N139" i="18" s="1"/>
  <c r="O139" i="18"/>
  <c r="M140" i="18" a="1"/>
  <c r="M140" i="18" s="1"/>
  <c r="N140" i="18" a="1"/>
  <c r="N140" i="18" s="1"/>
  <c r="O140" i="18"/>
  <c r="M141" i="18" a="1"/>
  <c r="M141" i="18" s="1"/>
  <c r="N141" i="18" a="1"/>
  <c r="N141" i="18" s="1"/>
  <c r="O141" i="18"/>
  <c r="M142" i="18" a="1"/>
  <c r="M142" i="18" s="1"/>
  <c r="N142" i="18" a="1"/>
  <c r="N142" i="18" s="1"/>
  <c r="O142" i="18"/>
  <c r="M143" i="18" a="1"/>
  <c r="M143" i="18" s="1"/>
  <c r="N143" i="18" a="1"/>
  <c r="N143" i="18" s="1"/>
  <c r="O143" i="18"/>
  <c r="M144" i="18" a="1"/>
  <c r="M144" i="18" s="1"/>
  <c r="N144" i="18" a="1"/>
  <c r="N144" i="18" s="1"/>
  <c r="O144" i="18"/>
  <c r="M145" i="18" a="1"/>
  <c r="M145" i="18" s="1"/>
  <c r="N145" i="18" a="1"/>
  <c r="N145" i="18" s="1"/>
  <c r="O145" i="18"/>
  <c r="M146" i="18" a="1"/>
  <c r="M146" i="18" s="1"/>
  <c r="N146" i="18" a="1"/>
  <c r="N146" i="18" s="1"/>
  <c r="O146" i="18"/>
  <c r="M147" i="18" a="1"/>
  <c r="M147" i="18" s="1"/>
  <c r="N147" i="18" a="1"/>
  <c r="N147" i="18" s="1"/>
  <c r="O147" i="18"/>
  <c r="M148" i="18" a="1"/>
  <c r="M148" i="18" s="1"/>
  <c r="N148" i="18" a="1"/>
  <c r="N148" i="18" s="1"/>
  <c r="O148" i="18"/>
  <c r="M149" i="18" a="1"/>
  <c r="M149" i="18" s="1"/>
  <c r="N149" i="18" a="1"/>
  <c r="N149" i="18" s="1"/>
  <c r="O149" i="18"/>
  <c r="M150" i="18" a="1"/>
  <c r="M150" i="18" s="1"/>
  <c r="N150" i="18" a="1"/>
  <c r="N150" i="18" s="1"/>
  <c r="O150" i="18"/>
  <c r="M151" i="18" a="1"/>
  <c r="M151" i="18" s="1"/>
  <c r="N151" i="18" a="1"/>
  <c r="N151" i="18" s="1"/>
  <c r="O151" i="18"/>
  <c r="M152" i="18" a="1"/>
  <c r="M152" i="18" s="1"/>
  <c r="N152" i="18" a="1"/>
  <c r="N152" i="18" s="1"/>
  <c r="O152" i="18"/>
  <c r="M153" i="18" a="1"/>
  <c r="M153" i="18" s="1"/>
  <c r="N153" i="18" a="1"/>
  <c r="N153" i="18" s="1"/>
  <c r="O153" i="18"/>
  <c r="M154" i="18" a="1"/>
  <c r="M154" i="18" s="1"/>
  <c r="N154" i="18" a="1"/>
  <c r="N154" i="18" s="1"/>
  <c r="O154" i="18"/>
  <c r="M155" i="18" a="1"/>
  <c r="M155" i="18" s="1"/>
  <c r="N155" i="18" a="1"/>
  <c r="N155" i="18" s="1"/>
  <c r="O155" i="18"/>
  <c r="M156" i="18" a="1"/>
  <c r="M156" i="18" s="1"/>
  <c r="N156" i="18" a="1"/>
  <c r="N156" i="18" s="1"/>
  <c r="O156" i="18"/>
  <c r="M157" i="18" a="1"/>
  <c r="M157" i="18" s="1"/>
  <c r="N157" i="18" a="1"/>
  <c r="N157" i="18" s="1"/>
  <c r="O157" i="18"/>
  <c r="M158" i="18" a="1"/>
  <c r="M158" i="18" s="1"/>
  <c r="N158" i="18" a="1"/>
  <c r="N158" i="18" s="1"/>
  <c r="O158" i="18"/>
  <c r="M159" i="18" a="1"/>
  <c r="M159" i="18" s="1"/>
  <c r="N159" i="18" a="1"/>
  <c r="N159" i="18" s="1"/>
  <c r="O159" i="18"/>
  <c r="M160" i="18" a="1"/>
  <c r="M160" i="18" s="1"/>
  <c r="N160" i="18" a="1"/>
  <c r="N160" i="18" s="1"/>
  <c r="O160" i="18"/>
  <c r="M161" i="18" a="1"/>
  <c r="M161" i="18" s="1"/>
  <c r="N161" i="18" a="1"/>
  <c r="N161" i="18" s="1"/>
  <c r="O161" i="18"/>
  <c r="M15" i="18" a="1"/>
  <c r="M15" i="18" s="1"/>
  <c r="N15" i="18" a="1"/>
  <c r="N15" i="18" s="1"/>
  <c r="O15" i="18"/>
  <c r="M87" i="18" a="1"/>
  <c r="M87" i="18" s="1"/>
  <c r="N87" i="18" a="1"/>
  <c r="N87" i="18" s="1"/>
  <c r="O87" i="18"/>
  <c r="M86" i="18" a="1"/>
  <c r="M86" i="18" s="1"/>
  <c r="N86" i="18" a="1"/>
  <c r="N86" i="18" s="1"/>
  <c r="O86" i="18"/>
  <c r="M85" i="18" a="1"/>
  <c r="M85" i="18" s="1"/>
  <c r="N85" i="18" a="1"/>
  <c r="N85" i="18" s="1"/>
  <c r="O85" i="18"/>
  <c r="M40" i="18" a="1"/>
  <c r="M40" i="18" s="1"/>
  <c r="N40" i="18" a="1"/>
  <c r="N40" i="18" s="1"/>
  <c r="O40" i="18"/>
  <c r="M41" i="18" a="1"/>
  <c r="M41" i="18" s="1"/>
  <c r="N41" i="18" a="1"/>
  <c r="N41" i="18" s="1"/>
  <c r="O41" i="18"/>
  <c r="M39" i="18" a="1"/>
  <c r="M39" i="18" s="1"/>
  <c r="N39" i="18" a="1"/>
  <c r="N39" i="18" s="1"/>
  <c r="O39" i="18"/>
  <c r="M33" i="18" a="1"/>
  <c r="M33" i="18" s="1"/>
  <c r="N33" i="18" a="1"/>
  <c r="N33" i="18" s="1"/>
  <c r="O33" i="18"/>
  <c r="M34" i="18" a="1"/>
  <c r="M34" i="18" s="1"/>
  <c r="N34" i="18" a="1"/>
  <c r="N34" i="18" s="1"/>
  <c r="O34" i="18"/>
  <c r="M35" i="18" a="1"/>
  <c r="M35" i="18" s="1"/>
  <c r="N35" i="18" a="1"/>
  <c r="N35" i="18" s="1"/>
  <c r="O35" i="18"/>
  <c r="M55" i="18" a="1"/>
  <c r="M55" i="18" s="1"/>
  <c r="N55" i="18" a="1"/>
  <c r="N55" i="18" s="1"/>
  <c r="O55" i="18"/>
  <c r="M52" i="18" a="1"/>
  <c r="M52" i="18" s="1"/>
  <c r="N52" i="18" a="1"/>
  <c r="N52" i="18" s="1"/>
  <c r="O52" i="18"/>
  <c r="M22" i="18" a="1"/>
  <c r="M22" i="18" s="1"/>
  <c r="N22" i="18" a="1"/>
  <c r="N22" i="18" s="1"/>
  <c r="O22" i="18"/>
  <c r="M29" i="18" a="1"/>
  <c r="M29" i="18" s="1"/>
  <c r="N29" i="18" a="1"/>
  <c r="N29" i="18" s="1"/>
  <c r="O29" i="18"/>
  <c r="M30" i="18" a="1"/>
  <c r="M30" i="18" s="1"/>
  <c r="N30" i="18" a="1"/>
  <c r="N30" i="18" s="1"/>
  <c r="O30" i="18"/>
  <c r="M31" i="18" a="1"/>
  <c r="M31" i="18" s="1"/>
  <c r="N31" i="18" a="1"/>
  <c r="N31" i="18" s="1"/>
  <c r="O31" i="18"/>
  <c r="M42" i="18" a="1"/>
  <c r="M42" i="18" s="1"/>
  <c r="N42" i="18" a="1"/>
  <c r="N42" i="18" s="1"/>
  <c r="O42" i="18"/>
  <c r="M43" i="18" a="1"/>
  <c r="M43" i="18" s="1"/>
  <c r="N43" i="18" a="1"/>
  <c r="N43" i="18" s="1"/>
  <c r="O43" i="18"/>
  <c r="M44" i="18" a="1"/>
  <c r="M44" i="18" s="1"/>
  <c r="N44" i="18" a="1"/>
  <c r="N44" i="18" s="1"/>
  <c r="O44" i="18"/>
  <c r="Q31" i="17" l="1"/>
  <c r="M37" i="18" a="1"/>
  <c r="M37" i="18" s="1"/>
  <c r="N37" i="18" a="1"/>
  <c r="N37" i="18" s="1"/>
  <c r="O37" i="18"/>
  <c r="M38" i="18" a="1"/>
  <c r="M38" i="18" s="1"/>
  <c r="N38" i="18" a="1"/>
  <c r="N38" i="18" s="1"/>
  <c r="O38" i="18"/>
  <c r="M23" i="18" a="1"/>
  <c r="M23" i="18" s="1"/>
  <c r="N23" i="18" a="1"/>
  <c r="N23" i="18" s="1"/>
  <c r="O23" i="18"/>
  <c r="M45" i="18" a="1"/>
  <c r="M45" i="18" s="1"/>
  <c r="N45" i="18" a="1"/>
  <c r="N45" i="18" s="1"/>
  <c r="O45" i="18"/>
  <c r="M70" i="18" a="1"/>
  <c r="M70" i="18" s="1"/>
  <c r="N70" i="18" a="1"/>
  <c r="N70" i="18" s="1"/>
  <c r="O70" i="18"/>
  <c r="M71" i="18" a="1"/>
  <c r="M71" i="18" s="1"/>
  <c r="N71" i="18" a="1"/>
  <c r="N71" i="18" s="1"/>
  <c r="O71" i="18"/>
  <c r="M73" i="18" a="1"/>
  <c r="M73" i="18" s="1"/>
  <c r="N73" i="18" a="1"/>
  <c r="N73" i="18" s="1"/>
  <c r="O73" i="18"/>
  <c r="M48" i="18" a="1"/>
  <c r="M48" i="18" s="1"/>
  <c r="N48" i="18" a="1"/>
  <c r="N48" i="18" s="1"/>
  <c r="O48" i="18"/>
  <c r="M50" i="18" a="1"/>
  <c r="M50" i="18" s="1"/>
  <c r="N50" i="18" a="1"/>
  <c r="N50" i="18" s="1"/>
  <c r="O50" i="18"/>
  <c r="M92" i="18" a="1"/>
  <c r="M92" i="18" s="1"/>
  <c r="N92" i="18" a="1"/>
  <c r="N92" i="18" s="1"/>
  <c r="O92" i="18"/>
  <c r="M93" i="18" a="1"/>
  <c r="M93" i="18" s="1"/>
  <c r="N93" i="18" a="1"/>
  <c r="N93" i="18" s="1"/>
  <c r="O93" i="18"/>
  <c r="M5" i="18" a="1"/>
  <c r="M5" i="18" s="1"/>
  <c r="N5" i="18" a="1"/>
  <c r="N5" i="18" s="1"/>
  <c r="O5" i="18"/>
  <c r="M6" i="18" a="1"/>
  <c r="M6" i="18" s="1"/>
  <c r="N6" i="18" a="1"/>
  <c r="N6" i="18" s="1"/>
  <c r="O6" i="18"/>
  <c r="M27" i="18" a="1"/>
  <c r="M27" i="18" s="1"/>
  <c r="N27" i="18" a="1"/>
  <c r="N27" i="18" s="1"/>
  <c r="O27" i="18"/>
  <c r="M89" i="18" a="1"/>
  <c r="M89" i="18" s="1"/>
  <c r="N89" i="18" a="1"/>
  <c r="N89" i="18" s="1"/>
  <c r="O89" i="18"/>
  <c r="M69" i="18" a="1"/>
  <c r="M69" i="18" s="1"/>
  <c r="N69" i="18" a="1"/>
  <c r="N69" i="18" s="1"/>
  <c r="O69" i="18"/>
  <c r="M53" i="18" a="1"/>
  <c r="M53" i="18" s="1"/>
  <c r="N53" i="18" a="1"/>
  <c r="N53" i="18" s="1"/>
  <c r="O53" i="18"/>
  <c r="M54" i="18" a="1"/>
  <c r="M54" i="18" s="1"/>
  <c r="N54" i="18" a="1"/>
  <c r="N54" i="18" s="1"/>
  <c r="O54" i="18"/>
  <c r="M91" i="18" a="1"/>
  <c r="M91" i="18" s="1"/>
  <c r="N91" i="18" a="1"/>
  <c r="N91" i="18" s="1"/>
  <c r="O91" i="18"/>
  <c r="M94" i="18" a="1"/>
  <c r="M94" i="18" s="1"/>
  <c r="N94" i="18" a="1"/>
  <c r="N94" i="18" s="1"/>
  <c r="O94" i="18"/>
  <c r="M95" i="18" a="1"/>
  <c r="M95" i="18" s="1"/>
  <c r="N95" i="18" a="1"/>
  <c r="N95" i="18" s="1"/>
  <c r="O95" i="18"/>
  <c r="M96" i="18" a="1"/>
  <c r="M96" i="18" s="1"/>
  <c r="N96" i="18" a="1"/>
  <c r="N96" i="18" s="1"/>
  <c r="O96" i="18"/>
  <c r="M97" i="18" a="1"/>
  <c r="M97" i="18" s="1"/>
  <c r="N97" i="18" a="1"/>
  <c r="N97" i="18" s="1"/>
  <c r="O97" i="18"/>
  <c r="M98" i="18" a="1"/>
  <c r="M98" i="18" s="1"/>
  <c r="N98" i="18" a="1"/>
  <c r="N98" i="18" s="1"/>
  <c r="O98" i="18"/>
  <c r="M99" i="18" a="1"/>
  <c r="M99" i="18" s="1"/>
  <c r="N99" i="18" a="1"/>
  <c r="N99" i="18" s="1"/>
  <c r="O99" i="18"/>
  <c r="M100" i="18" a="1"/>
  <c r="M100" i="18" s="1"/>
  <c r="N100" i="18" a="1"/>
  <c r="N100" i="18" s="1"/>
  <c r="O100" i="18"/>
  <c r="M101" i="18" a="1"/>
  <c r="M101" i="18" s="1"/>
  <c r="N101" i="18" a="1"/>
  <c r="N101" i="18" s="1"/>
  <c r="O101" i="18"/>
  <c r="M102" i="18" a="1"/>
  <c r="M102" i="18" s="1"/>
  <c r="N102" i="18" a="1"/>
  <c r="N102" i="18" s="1"/>
  <c r="O102" i="18"/>
  <c r="M103" i="18" a="1"/>
  <c r="M103" i="18" s="1"/>
  <c r="N103" i="18" a="1"/>
  <c r="N103" i="18" s="1"/>
  <c r="O103" i="18"/>
  <c r="M104" i="18" a="1"/>
  <c r="M104" i="18" s="1"/>
  <c r="N104" i="18" a="1"/>
  <c r="N104" i="18" s="1"/>
  <c r="O104" i="18"/>
  <c r="M105" i="18" a="1"/>
  <c r="M105" i="18" s="1"/>
  <c r="N105" i="18" a="1"/>
  <c r="N105" i="18" s="1"/>
  <c r="O105" i="18"/>
  <c r="M106" i="18" a="1"/>
  <c r="M106" i="18" s="1"/>
  <c r="N106" i="18" a="1"/>
  <c r="N106" i="18" s="1"/>
  <c r="O106" i="18"/>
  <c r="M82" i="18" a="1"/>
  <c r="M82" i="18" s="1"/>
  <c r="N82" i="18" a="1"/>
  <c r="N82" i="18" s="1"/>
  <c r="O82" i="18"/>
  <c r="M83" i="18" a="1"/>
  <c r="M83" i="18" s="1"/>
  <c r="N83" i="18" a="1"/>
  <c r="N83" i="18" s="1"/>
  <c r="O83" i="18"/>
  <c r="M84" i="18" a="1"/>
  <c r="M84" i="18" s="1"/>
  <c r="N84" i="18" a="1"/>
  <c r="N84" i="18" s="1"/>
  <c r="O84" i="18"/>
  <c r="M32" i="18" a="1"/>
  <c r="M32" i="18" s="1"/>
  <c r="N32" i="18" a="1"/>
  <c r="N32" i="18" s="1"/>
  <c r="O32" i="18"/>
  <c r="M10" i="18" a="1"/>
  <c r="M10" i="18" s="1"/>
  <c r="N10" i="18" a="1"/>
  <c r="N10" i="18" s="1"/>
  <c r="O10" i="18"/>
  <c r="M12" i="18" a="1"/>
  <c r="M12" i="18" s="1"/>
  <c r="N12" i="18" a="1"/>
  <c r="N12" i="18" s="1"/>
  <c r="O12" i="18"/>
  <c r="M14" i="18" a="1"/>
  <c r="M14" i="18" s="1"/>
  <c r="N14" i="18" a="1"/>
  <c r="N14" i="18" s="1"/>
  <c r="O14" i="18"/>
  <c r="M24" i="18" a="1"/>
  <c r="M24" i="18" s="1"/>
  <c r="N24" i="18" a="1"/>
  <c r="N24" i="18" s="1"/>
  <c r="O24" i="18"/>
  <c r="M51" i="18" a="1"/>
  <c r="M51" i="18" s="1"/>
  <c r="N51" i="18" a="1"/>
  <c r="N51" i="18" s="1"/>
  <c r="O51" i="18"/>
  <c r="M9" i="18" a="1"/>
  <c r="M9" i="18" s="1"/>
  <c r="N9" i="18" a="1"/>
  <c r="N9" i="18" s="1"/>
  <c r="O9" i="18"/>
  <c r="M47" i="18" a="1"/>
  <c r="M47" i="18" s="1"/>
  <c r="N47" i="18" a="1"/>
  <c r="N47" i="18" s="1"/>
  <c r="O47" i="18"/>
  <c r="M88" i="18" a="1"/>
  <c r="M88" i="18" s="1"/>
  <c r="N88" i="18" a="1"/>
  <c r="N88" i="18" s="1"/>
  <c r="O88" i="18"/>
  <c r="M67" i="18" a="1"/>
  <c r="M67" i="18" s="1"/>
  <c r="N67" i="18" a="1"/>
  <c r="N67" i="18" s="1"/>
  <c r="O67" i="18"/>
  <c r="M74" i="18" a="1"/>
  <c r="M74" i="18" s="1"/>
  <c r="N74" i="18" a="1"/>
  <c r="N74" i="18" s="1"/>
  <c r="O74" i="18"/>
  <c r="M75" i="18" a="1"/>
  <c r="M75" i="18" s="1"/>
  <c r="N75" i="18" a="1"/>
  <c r="N75" i="18" s="1"/>
  <c r="O75" i="18"/>
  <c r="M76" i="18" a="1"/>
  <c r="M76" i="18" s="1"/>
  <c r="N76" i="18" a="1"/>
  <c r="N76" i="18" s="1"/>
  <c r="O76" i="18"/>
  <c r="M77" i="18" a="1"/>
  <c r="M77" i="18" s="1"/>
  <c r="N77" i="18" a="1"/>
  <c r="N77" i="18" s="1"/>
  <c r="O77" i="18"/>
  <c r="M78" i="18" a="1"/>
  <c r="M78" i="18" s="1"/>
  <c r="N78" i="18" a="1"/>
  <c r="N78" i="18" s="1"/>
  <c r="O78" i="18"/>
  <c r="M79" i="18" a="1"/>
  <c r="M79" i="18" s="1"/>
  <c r="N79" i="18" a="1"/>
  <c r="N79" i="18" s="1"/>
  <c r="O79" i="18"/>
  <c r="M80" i="18" a="1"/>
  <c r="M80" i="18" s="1"/>
  <c r="N80" i="18" a="1"/>
  <c r="N80" i="18" s="1"/>
  <c r="O80" i="18"/>
  <c r="M81" i="18" a="1"/>
  <c r="M81" i="18" s="1"/>
  <c r="N81" i="18" a="1"/>
  <c r="N81" i="18" s="1"/>
  <c r="O81" i="18"/>
  <c r="M57" i="18" a="1"/>
  <c r="M57" i="18" s="1"/>
  <c r="N57" i="18" a="1"/>
  <c r="N57" i="18" s="1"/>
  <c r="O57" i="18"/>
  <c r="M63" i="18" a="1"/>
  <c r="M63" i="18" s="1"/>
  <c r="N63" i="18" a="1"/>
  <c r="N63" i="18" s="1"/>
  <c r="O63" i="18"/>
  <c r="M64" i="18" a="1"/>
  <c r="M64" i="18" s="1"/>
  <c r="N64" i="18" a="1"/>
  <c r="N64" i="18" s="1"/>
  <c r="O64" i="18"/>
  <c r="M66" i="18" a="1"/>
  <c r="M66" i="18" s="1"/>
  <c r="N66" i="18" a="1"/>
  <c r="N66" i="18" s="1"/>
  <c r="O66" i="18"/>
  <c r="M68" i="18" a="1"/>
  <c r="M68" i="18" s="1"/>
  <c r="N68" i="18" a="1"/>
  <c r="N68" i="18" s="1"/>
  <c r="O68" i="18"/>
  <c r="M25" i="18" a="1"/>
  <c r="M25" i="18" s="1"/>
  <c r="N25" i="18" a="1"/>
  <c r="N25" i="18" s="1"/>
  <c r="O25" i="18"/>
  <c r="M46" i="18" a="1"/>
  <c r="M46" i="18" s="1"/>
  <c r="N46" i="18" a="1"/>
  <c r="N46" i="18" s="1"/>
  <c r="O46" i="18"/>
  <c r="M7" i="18" a="1"/>
  <c r="M7" i="18" s="1"/>
  <c r="N7" i="18" a="1"/>
  <c r="N7" i="18" s="1"/>
  <c r="O7" i="18"/>
  <c r="M8" i="18" a="1"/>
  <c r="M8" i="18" s="1"/>
  <c r="N8" i="18" a="1"/>
  <c r="N8" i="18" s="1"/>
  <c r="O8" i="18"/>
  <c r="M3" i="18" a="1"/>
  <c r="M3" i="18" s="1"/>
  <c r="N3" i="18" a="1"/>
  <c r="N3" i="18" s="1"/>
  <c r="O3" i="18"/>
  <c r="M4" i="18" a="1"/>
  <c r="M4" i="18" s="1"/>
  <c r="N4" i="18" a="1"/>
  <c r="N4" i="18" s="1"/>
  <c r="O4" i="18"/>
  <c r="M26" i="18" a="1"/>
  <c r="M26" i="18" s="1"/>
  <c r="N26" i="18" a="1"/>
  <c r="N26" i="18" s="1"/>
  <c r="O26" i="18"/>
  <c r="M13" i="18" a="1"/>
  <c r="M13" i="18" s="1"/>
  <c r="N13" i="18" a="1"/>
  <c r="N13" i="18" s="1"/>
  <c r="O13" i="18"/>
  <c r="M11" i="18" a="1"/>
  <c r="M11" i="18" s="1"/>
  <c r="N11" i="18" a="1"/>
  <c r="N11" i="18" s="1"/>
  <c r="O11" i="18"/>
  <c r="M17" i="18" a="1"/>
  <c r="M17" i="18" s="1"/>
  <c r="N17" i="18" a="1"/>
  <c r="N17" i="18" s="1"/>
  <c r="O17" i="18"/>
  <c r="M16" i="18" a="1"/>
  <c r="M16" i="18" s="1"/>
  <c r="N16" i="18" a="1"/>
  <c r="N16" i="18" s="1"/>
  <c r="O16" i="18"/>
  <c r="M18" i="18" a="1"/>
  <c r="M18" i="18" s="1"/>
  <c r="N18" i="18" a="1"/>
  <c r="N18" i="18" s="1"/>
  <c r="O18" i="18"/>
  <c r="M19" i="18" a="1"/>
  <c r="M19" i="18" s="1"/>
  <c r="N19" i="18" a="1"/>
  <c r="N19" i="18" s="1"/>
  <c r="O19" i="18"/>
  <c r="M20" i="18" a="1"/>
  <c r="M20" i="18" s="1"/>
  <c r="N20" i="18" a="1"/>
  <c r="N20" i="18" s="1"/>
  <c r="O20" i="18"/>
  <c r="M21" i="18" a="1"/>
  <c r="M21" i="18" s="1"/>
  <c r="N21" i="18" a="1"/>
  <c r="N21" i="18" s="1"/>
  <c r="O21" i="18"/>
  <c r="M49" i="18" a="1"/>
  <c r="M49" i="18" s="1"/>
  <c r="N49" i="18" a="1"/>
  <c r="N49" i="18" s="1"/>
  <c r="O49" i="18"/>
  <c r="M56" i="18" a="1"/>
  <c r="M56" i="18" s="1"/>
  <c r="N56" i="18" a="1"/>
  <c r="N56" i="18" s="1"/>
  <c r="O56" i="18"/>
  <c r="M72" i="18" a="1"/>
  <c r="M72" i="18" s="1"/>
  <c r="N72" i="18" a="1"/>
  <c r="N72" i="18" s="1"/>
  <c r="O72" i="18"/>
  <c r="M28" i="18" a="1"/>
  <c r="M28" i="18" s="1"/>
  <c r="N28" i="18" a="1"/>
  <c r="N28" i="18" s="1"/>
  <c r="O28" i="18"/>
  <c r="M36" i="18" a="1"/>
  <c r="M36" i="18" s="1"/>
  <c r="N36" i="18" a="1"/>
  <c r="N36" i="18" s="1"/>
  <c r="O36" i="18"/>
  <c r="M162" i="18" a="1"/>
  <c r="M162" i="18" s="1"/>
  <c r="N162" i="18" a="1"/>
  <c r="N162" i="18" s="1"/>
  <c r="O162" i="18"/>
  <c r="M163" i="18" a="1"/>
  <c r="M163" i="18" s="1"/>
  <c r="N163" i="18" a="1"/>
  <c r="N163" i="18" s="1"/>
  <c r="O163" i="18"/>
  <c r="M164" i="18" a="1"/>
  <c r="M164" i="18" s="1"/>
  <c r="N164" i="18" a="1"/>
  <c r="N164" i="18" s="1"/>
  <c r="O164" i="18"/>
  <c r="M165" i="18" a="1"/>
  <c r="M165" i="18" s="1"/>
  <c r="N165" i="18" a="1"/>
  <c r="N165" i="18" s="1"/>
  <c r="O165" i="18"/>
  <c r="M166" i="18" a="1"/>
  <c r="M166" i="18" s="1"/>
  <c r="N166" i="18" a="1"/>
  <c r="N166" i="18" s="1"/>
  <c r="O166" i="18"/>
  <c r="M167" i="18" a="1"/>
  <c r="M167" i="18" s="1"/>
  <c r="N167" i="18" a="1"/>
  <c r="N167" i="18" s="1"/>
  <c r="O167" i="18"/>
  <c r="M168" i="18" a="1"/>
  <c r="M168" i="18" s="1"/>
  <c r="N168" i="18" a="1"/>
  <c r="N168" i="18" s="1"/>
  <c r="O168" i="18"/>
  <c r="M169" i="18" a="1"/>
  <c r="M169" i="18" s="1"/>
  <c r="N169" i="18" a="1"/>
  <c r="N169" i="18" s="1"/>
  <c r="O169" i="18"/>
  <c r="M170" i="18" a="1"/>
  <c r="M170" i="18" s="1"/>
  <c r="N170" i="18" a="1"/>
  <c r="N170" i="18" s="1"/>
  <c r="O170" i="18"/>
  <c r="M171" i="18" a="1"/>
  <c r="M171" i="18" s="1"/>
  <c r="N171" i="18" a="1"/>
  <c r="N171" i="18" s="1"/>
  <c r="O171" i="18"/>
  <c r="M172" i="18" a="1"/>
  <c r="M172" i="18" s="1"/>
  <c r="N172" i="18" a="1"/>
  <c r="N172" i="18" s="1"/>
  <c r="O172" i="18"/>
  <c r="M173" i="18" a="1"/>
  <c r="M173" i="18" s="1"/>
  <c r="N173" i="18" a="1"/>
  <c r="N173" i="18" s="1"/>
  <c r="O173" i="18"/>
  <c r="M174" i="18" a="1"/>
  <c r="M174" i="18" s="1"/>
  <c r="N174" i="18" a="1"/>
  <c r="N174" i="18" s="1"/>
  <c r="O174" i="18"/>
  <c r="M175" i="18" a="1"/>
  <c r="M175" i="18" s="1"/>
  <c r="N175" i="18" a="1"/>
  <c r="N175" i="18" s="1"/>
  <c r="O175" i="18"/>
  <c r="M176" i="18" a="1"/>
  <c r="M176" i="18" s="1"/>
  <c r="N176" i="18" a="1"/>
  <c r="N176" i="18" s="1"/>
  <c r="O176" i="18"/>
  <c r="M177" i="18" a="1"/>
  <c r="M177" i="18" s="1"/>
  <c r="N177" i="18" a="1"/>
  <c r="N177" i="18" s="1"/>
  <c r="O177" i="18"/>
  <c r="M178" i="18" a="1"/>
  <c r="M178" i="18" s="1"/>
  <c r="N178" i="18" a="1"/>
  <c r="N178" i="18" s="1"/>
  <c r="O178" i="18"/>
  <c r="M179" i="18" a="1"/>
  <c r="M179" i="18" s="1"/>
  <c r="N179" i="18" a="1"/>
  <c r="N179" i="18" s="1"/>
  <c r="O179" i="18"/>
  <c r="M180" i="18" a="1"/>
  <c r="M180" i="18" s="1"/>
  <c r="N180" i="18" a="1"/>
  <c r="N180" i="18" s="1"/>
  <c r="O180" i="18"/>
  <c r="M181" i="18" a="1"/>
  <c r="M181" i="18" s="1"/>
  <c r="N181" i="18" a="1"/>
  <c r="N181" i="18" s="1"/>
  <c r="O181" i="18"/>
  <c r="M182" i="18" a="1"/>
  <c r="M182" i="18" s="1"/>
  <c r="N182" i="18" a="1"/>
  <c r="N182" i="18" s="1"/>
  <c r="O182" i="18"/>
  <c r="M183" i="18" a="1"/>
  <c r="M183" i="18" s="1"/>
  <c r="N183" i="18" a="1"/>
  <c r="N183" i="18" s="1"/>
  <c r="O183" i="18"/>
  <c r="M184" i="18" a="1"/>
  <c r="M184" i="18" s="1"/>
  <c r="N184" i="18" a="1"/>
  <c r="N184" i="18" s="1"/>
  <c r="O184" i="18"/>
  <c r="M185" i="18" a="1"/>
  <c r="M185" i="18" s="1"/>
  <c r="N185" i="18" a="1"/>
  <c r="N185" i="18" s="1"/>
  <c r="O185" i="18"/>
  <c r="M186" i="18" a="1"/>
  <c r="M186" i="18" s="1"/>
  <c r="N186" i="18" a="1"/>
  <c r="N186" i="18" s="1"/>
  <c r="O186" i="18"/>
  <c r="M187" i="18" a="1"/>
  <c r="M187" i="18" s="1"/>
  <c r="N187" i="18" a="1"/>
  <c r="N187" i="18" s="1"/>
  <c r="O187" i="18"/>
  <c r="M188" i="18" a="1"/>
  <c r="M188" i="18" s="1"/>
  <c r="N188" i="18" a="1"/>
  <c r="N188" i="18" s="1"/>
  <c r="O188" i="18"/>
  <c r="M189" i="18" a="1"/>
  <c r="M189" i="18" s="1"/>
  <c r="N189" i="18" a="1"/>
  <c r="N189" i="18" s="1"/>
  <c r="O189" i="18"/>
  <c r="M190" i="18" a="1"/>
  <c r="M190" i="18" s="1"/>
  <c r="N190" i="18" a="1"/>
  <c r="N190" i="18" s="1"/>
  <c r="O190" i="18"/>
  <c r="M191" i="18" a="1"/>
  <c r="M191" i="18" s="1"/>
  <c r="N191" i="18" a="1"/>
  <c r="N191" i="18" s="1"/>
  <c r="O191" i="18"/>
  <c r="M192" i="18" a="1"/>
  <c r="M192" i="18" s="1"/>
  <c r="N192" i="18" a="1"/>
  <c r="N192" i="18" s="1"/>
  <c r="O192" i="18"/>
  <c r="M193" i="18" a="1"/>
  <c r="M193" i="18" s="1"/>
  <c r="N193" i="18" a="1"/>
  <c r="N193" i="18" s="1"/>
  <c r="O193" i="18"/>
  <c r="M194" i="18" a="1"/>
  <c r="M194" i="18" s="1"/>
  <c r="N194" i="18" a="1"/>
  <c r="N194" i="18" s="1"/>
  <c r="O194" i="18"/>
  <c r="M195" i="18" a="1"/>
  <c r="M195" i="18" s="1"/>
  <c r="N195" i="18" a="1"/>
  <c r="N195" i="18" s="1"/>
  <c r="O195" i="18"/>
  <c r="M196" i="18" a="1"/>
  <c r="M196" i="18" s="1"/>
  <c r="N196" i="18" a="1"/>
  <c r="N196" i="18" s="1"/>
  <c r="O196" i="18"/>
  <c r="M197" i="18" a="1"/>
  <c r="M197" i="18" s="1"/>
  <c r="N197" i="18" a="1"/>
  <c r="N197" i="18" s="1"/>
  <c r="O197" i="18"/>
  <c r="M198" i="18" a="1"/>
  <c r="M198" i="18" s="1"/>
  <c r="N198" i="18" a="1"/>
  <c r="N198" i="18" s="1"/>
  <c r="O198" i="18"/>
  <c r="M199" i="18" a="1"/>
  <c r="M199" i="18" s="1"/>
  <c r="N199" i="18" a="1"/>
  <c r="N199" i="18" s="1"/>
  <c r="O199" i="18"/>
  <c r="M200" i="18" a="1"/>
  <c r="M200" i="18" s="1"/>
  <c r="N200" i="18" a="1"/>
  <c r="N200" i="18" s="1"/>
  <c r="O200" i="18"/>
  <c r="M201" i="18" a="1"/>
  <c r="M201" i="18" s="1"/>
  <c r="N201" i="18" a="1"/>
  <c r="N201" i="18" s="1"/>
  <c r="O201" i="18"/>
  <c r="M202" i="18" a="1"/>
  <c r="M202" i="18" s="1"/>
  <c r="N202" i="18" a="1"/>
  <c r="N202" i="18" s="1"/>
  <c r="O202" i="18"/>
  <c r="M203" i="18" a="1"/>
  <c r="M203" i="18" s="1"/>
  <c r="N203" i="18" a="1"/>
  <c r="N203" i="18" s="1"/>
  <c r="O203" i="18"/>
  <c r="M204" i="18" a="1"/>
  <c r="M204" i="18" s="1"/>
  <c r="N204" i="18" a="1"/>
  <c r="N204" i="18" s="1"/>
  <c r="O204" i="18"/>
  <c r="M205" i="18" a="1"/>
  <c r="M205" i="18" s="1"/>
  <c r="N205" i="18" a="1"/>
  <c r="N205" i="18" s="1"/>
  <c r="O205" i="18"/>
  <c r="M206" i="18" a="1"/>
  <c r="M206" i="18" s="1"/>
  <c r="N206" i="18" a="1"/>
  <c r="N206" i="18" s="1"/>
  <c r="O206" i="18"/>
  <c r="M207" i="18" a="1"/>
  <c r="M207" i="18" s="1"/>
  <c r="N207" i="18" a="1"/>
  <c r="N207" i="18" s="1"/>
  <c r="O207" i="18"/>
  <c r="M208" i="18" a="1"/>
  <c r="M208" i="18" s="1"/>
  <c r="N208" i="18" a="1"/>
  <c r="N208" i="18" s="1"/>
  <c r="O208" i="18"/>
  <c r="M209" i="18" a="1"/>
  <c r="M209" i="18" s="1"/>
  <c r="N209" i="18" a="1"/>
  <c r="N209" i="18" s="1"/>
  <c r="O209" i="18"/>
  <c r="M210" i="18" a="1"/>
  <c r="M210" i="18" s="1"/>
  <c r="N210" i="18" a="1"/>
  <c r="N210" i="18" s="1"/>
  <c r="O210" i="18"/>
  <c r="M211" i="18" a="1"/>
  <c r="M211" i="18" s="1"/>
  <c r="N211" i="18" a="1"/>
  <c r="N211" i="18" s="1"/>
  <c r="O211" i="18"/>
  <c r="M212" i="18" a="1"/>
  <c r="M212" i="18" s="1"/>
  <c r="N212" i="18" a="1"/>
  <c r="N212" i="18" s="1"/>
  <c r="O212" i="18"/>
  <c r="M213" i="18" a="1"/>
  <c r="M213" i="18" s="1"/>
  <c r="N213" i="18" a="1"/>
  <c r="N213" i="18" s="1"/>
  <c r="O213" i="18"/>
  <c r="M214" i="18" a="1"/>
  <c r="M214" i="18" s="1"/>
  <c r="N214" i="18" a="1"/>
  <c r="N214" i="18" s="1"/>
  <c r="O214" i="18"/>
  <c r="M215" i="18" a="1"/>
  <c r="M215" i="18" s="1"/>
  <c r="N215" i="18" a="1"/>
  <c r="N215" i="18" s="1"/>
  <c r="O215" i="18"/>
  <c r="M216" i="18" a="1"/>
  <c r="M216" i="18" s="1"/>
  <c r="N216" i="18" a="1"/>
  <c r="N216" i="18" s="1"/>
  <c r="O216" i="18"/>
  <c r="M217" i="18" a="1"/>
  <c r="M217" i="18" s="1"/>
  <c r="N217" i="18" a="1"/>
  <c r="N217" i="18" s="1"/>
  <c r="O217" i="18"/>
  <c r="M218" i="18" a="1"/>
  <c r="M218" i="18" s="1"/>
  <c r="N218" i="18" a="1"/>
  <c r="N218" i="18" s="1"/>
  <c r="O218" i="18"/>
  <c r="M219" i="18" a="1"/>
  <c r="M219" i="18" s="1"/>
  <c r="N219" i="18" a="1"/>
  <c r="N219" i="18" s="1"/>
  <c r="O219" i="18"/>
  <c r="M220" i="18" a="1"/>
  <c r="M220" i="18" s="1"/>
  <c r="N220" i="18" a="1"/>
  <c r="N220" i="18" s="1"/>
  <c r="O220" i="18"/>
  <c r="M221" i="18" a="1"/>
  <c r="M221" i="18" s="1"/>
  <c r="N221" i="18" a="1"/>
  <c r="N221" i="18" s="1"/>
  <c r="O221" i="18"/>
  <c r="M222" i="18" a="1"/>
  <c r="M222" i="18" s="1"/>
  <c r="N222" i="18" a="1"/>
  <c r="N222" i="18" s="1"/>
  <c r="O222" i="18"/>
  <c r="M223" i="18" a="1"/>
  <c r="M223" i="18" s="1"/>
  <c r="N223" i="18" a="1"/>
  <c r="N223" i="18" s="1"/>
  <c r="O223" i="18"/>
  <c r="M224" i="18" a="1"/>
  <c r="M224" i="18" s="1"/>
  <c r="N224" i="18" a="1"/>
  <c r="N224" i="18" s="1"/>
  <c r="O224" i="18"/>
  <c r="M225" i="18" a="1"/>
  <c r="M225" i="18" s="1"/>
  <c r="N225" i="18" a="1"/>
  <c r="N225" i="18" s="1"/>
  <c r="O225" i="18"/>
  <c r="M226" i="18" a="1"/>
  <c r="M226" i="18" s="1"/>
  <c r="N226" i="18" a="1"/>
  <c r="N226" i="18" s="1"/>
  <c r="O226" i="18"/>
  <c r="M227" i="18" a="1"/>
  <c r="M227" i="18" s="1"/>
  <c r="N227" i="18" a="1"/>
  <c r="N227" i="18" s="1"/>
  <c r="O227" i="18"/>
  <c r="M228" i="18" a="1"/>
  <c r="M228" i="18" s="1"/>
  <c r="N228" i="18" a="1"/>
  <c r="N228" i="18" s="1"/>
  <c r="O228" i="18"/>
  <c r="M229" i="18" a="1"/>
  <c r="M229" i="18" s="1"/>
  <c r="N229" i="18" a="1"/>
  <c r="N229" i="18" s="1"/>
  <c r="O229" i="18"/>
  <c r="M230" i="18" a="1"/>
  <c r="M230" i="18" s="1"/>
  <c r="N230" i="18" a="1"/>
  <c r="N230" i="18" s="1"/>
  <c r="O230" i="18"/>
  <c r="M231" i="18" a="1"/>
  <c r="M231" i="18" s="1"/>
  <c r="N231" i="18" a="1"/>
  <c r="N231" i="18" s="1"/>
  <c r="O231" i="18"/>
  <c r="M232" i="18" a="1"/>
  <c r="M232" i="18" s="1"/>
  <c r="N232" i="18" a="1"/>
  <c r="N232" i="18" s="1"/>
  <c r="O232" i="18"/>
  <c r="M233" i="18" a="1"/>
  <c r="M233" i="18" s="1"/>
  <c r="N233" i="18" a="1"/>
  <c r="N233" i="18" s="1"/>
  <c r="O233" i="18"/>
  <c r="M234" i="18" a="1"/>
  <c r="M234" i="18" s="1"/>
  <c r="N234" i="18" a="1"/>
  <c r="N234" i="18" s="1"/>
  <c r="O234" i="18"/>
  <c r="M235" i="18" a="1"/>
  <c r="M235" i="18" s="1"/>
  <c r="N235" i="18" a="1"/>
  <c r="N235" i="18" s="1"/>
  <c r="O235" i="18"/>
  <c r="M236" i="18" a="1"/>
  <c r="M236" i="18" s="1"/>
  <c r="N236" i="18" a="1"/>
  <c r="N236" i="18" s="1"/>
  <c r="O236" i="18"/>
  <c r="M237" i="18" a="1"/>
  <c r="M237" i="18" s="1"/>
  <c r="N237" i="18" a="1"/>
  <c r="N237" i="18" s="1"/>
  <c r="O237" i="18"/>
  <c r="M238" i="18" a="1"/>
  <c r="M238" i="18" s="1"/>
  <c r="N238" i="18" a="1"/>
  <c r="N238" i="18" s="1"/>
  <c r="O238" i="18"/>
  <c r="M239" i="18" a="1"/>
  <c r="M239" i="18" s="1"/>
  <c r="N239" i="18" a="1"/>
  <c r="N239" i="18" s="1"/>
  <c r="O239" i="18"/>
  <c r="M240" i="18" a="1"/>
  <c r="M240" i="18" s="1"/>
  <c r="N240" i="18" a="1"/>
  <c r="N240" i="18" s="1"/>
  <c r="O240" i="18"/>
  <c r="M241" i="18" a="1"/>
  <c r="M241" i="18" s="1"/>
  <c r="N241" i="18" a="1"/>
  <c r="N241" i="18" s="1"/>
  <c r="O241" i="18"/>
  <c r="M242" i="18" a="1"/>
  <c r="M242" i="18" s="1"/>
  <c r="N242" i="18" a="1"/>
  <c r="N242" i="18" s="1"/>
  <c r="O242" i="18"/>
  <c r="M243" i="18" a="1"/>
  <c r="M243" i="18" s="1"/>
  <c r="N243" i="18" a="1"/>
  <c r="N243" i="18" s="1"/>
  <c r="O243" i="18"/>
  <c r="M244" i="18" a="1"/>
  <c r="M244" i="18" s="1"/>
  <c r="N244" i="18" a="1"/>
  <c r="N244" i="18" s="1"/>
  <c r="O244" i="18"/>
  <c r="M245" i="18" a="1"/>
  <c r="M245" i="18" s="1"/>
  <c r="N245" i="18" a="1"/>
  <c r="N245" i="18" s="1"/>
  <c r="O245" i="18"/>
  <c r="M246" i="18" a="1"/>
  <c r="M246" i="18" s="1"/>
  <c r="N246" i="18" a="1"/>
  <c r="N246" i="18" s="1"/>
  <c r="O246" i="18"/>
  <c r="M247" i="18" a="1"/>
  <c r="M247" i="18" s="1"/>
  <c r="N247" i="18" a="1"/>
  <c r="N247" i="18" s="1"/>
  <c r="O247" i="18"/>
  <c r="M248" i="18" a="1"/>
  <c r="M248" i="18" s="1"/>
  <c r="N248" i="18" a="1"/>
  <c r="N248" i="18" s="1"/>
  <c r="O248" i="18"/>
  <c r="M249" i="18" a="1"/>
  <c r="M249" i="18" s="1"/>
  <c r="N249" i="18" a="1"/>
  <c r="N249" i="18" s="1"/>
  <c r="O249" i="18"/>
  <c r="M250" i="18" a="1"/>
  <c r="M250" i="18" s="1"/>
  <c r="N250" i="18" a="1"/>
  <c r="N250" i="18" s="1"/>
  <c r="O250" i="18"/>
  <c r="M251" i="18" a="1"/>
  <c r="M251" i="18" s="1"/>
  <c r="N251" i="18" a="1"/>
  <c r="N251" i="18" s="1"/>
  <c r="O251" i="18"/>
  <c r="M252" i="18" a="1"/>
  <c r="M252" i="18" s="1"/>
  <c r="N252" i="18" a="1"/>
  <c r="N252" i="18" s="1"/>
  <c r="O252" i="18"/>
  <c r="M253" i="18" a="1"/>
  <c r="M253" i="18" s="1"/>
  <c r="N253" i="18" a="1"/>
  <c r="N253" i="18" s="1"/>
  <c r="O253" i="18"/>
  <c r="M254" i="18" a="1"/>
  <c r="M254" i="18" s="1"/>
  <c r="N254" i="18" a="1"/>
  <c r="N254" i="18" s="1"/>
  <c r="O254" i="18"/>
  <c r="M255" i="18" a="1"/>
  <c r="M255" i="18" s="1"/>
  <c r="N255" i="18" a="1"/>
  <c r="N255" i="18" s="1"/>
  <c r="O255" i="18"/>
  <c r="M256" i="18" a="1"/>
  <c r="M256" i="18" s="1"/>
  <c r="N256" i="18" a="1"/>
  <c r="N256" i="18" s="1"/>
  <c r="O256" i="18"/>
  <c r="M257" i="18" a="1"/>
  <c r="M257" i="18" s="1"/>
  <c r="N257" i="18" a="1"/>
  <c r="N257" i="18" s="1"/>
  <c r="O257" i="18"/>
  <c r="M258" i="18" a="1"/>
  <c r="M258" i="18" s="1"/>
  <c r="N258" i="18" a="1"/>
  <c r="N258" i="18" s="1"/>
  <c r="O258" i="18"/>
  <c r="M259" i="18" a="1"/>
  <c r="M259" i="18" s="1"/>
  <c r="N259" i="18" a="1"/>
  <c r="N259" i="18" s="1"/>
  <c r="O259" i="18"/>
  <c r="M260" i="18" a="1"/>
  <c r="M260" i="18" s="1"/>
  <c r="N260" i="18" a="1"/>
  <c r="N260" i="18" s="1"/>
  <c r="O260" i="18"/>
  <c r="M261" i="18" a="1"/>
  <c r="M261" i="18" s="1"/>
  <c r="N261" i="18" a="1"/>
  <c r="N261" i="18" s="1"/>
  <c r="O261" i="18"/>
  <c r="M262" i="18" a="1"/>
  <c r="M262" i="18" s="1"/>
  <c r="N262" i="18" a="1"/>
  <c r="N262" i="18" s="1"/>
  <c r="O262" i="18"/>
  <c r="M263" i="18" a="1"/>
  <c r="M263" i="18" s="1"/>
  <c r="N263" i="18" a="1"/>
  <c r="N263" i="18" s="1"/>
  <c r="O263" i="18"/>
  <c r="M264" i="18" a="1"/>
  <c r="M264" i="18" s="1"/>
  <c r="N264" i="18" a="1"/>
  <c r="N264" i="18" s="1"/>
  <c r="O264" i="18"/>
  <c r="M265" i="18" a="1"/>
  <c r="M265" i="18" s="1"/>
  <c r="N265" i="18" a="1"/>
  <c r="N265" i="18" s="1"/>
  <c r="O265" i="18"/>
  <c r="M266" i="18" a="1"/>
  <c r="M266" i="18" s="1"/>
  <c r="N266" i="18" a="1"/>
  <c r="N266" i="18" s="1"/>
  <c r="O266" i="18"/>
  <c r="M267" i="18" a="1"/>
  <c r="M267" i="18" s="1"/>
  <c r="N267" i="18" a="1"/>
  <c r="N267" i="18" s="1"/>
  <c r="O267" i="18"/>
  <c r="M268" i="18" a="1"/>
  <c r="M268" i="18" s="1"/>
  <c r="N268" i="18" a="1"/>
  <c r="N268" i="18" s="1"/>
  <c r="O268" i="18"/>
  <c r="M269" i="18" a="1"/>
  <c r="M269" i="18" s="1"/>
  <c r="N269" i="18" a="1"/>
  <c r="N269" i="18" s="1"/>
  <c r="O269" i="18"/>
  <c r="M270" i="18" a="1"/>
  <c r="M270" i="18" s="1"/>
  <c r="N270" i="18" a="1"/>
  <c r="N270" i="18" s="1"/>
  <c r="O270" i="18"/>
  <c r="M271" i="18" a="1"/>
  <c r="M271" i="18" s="1"/>
  <c r="N271" i="18" a="1"/>
  <c r="N271" i="18" s="1"/>
  <c r="O271" i="18"/>
  <c r="M272" i="18" a="1"/>
  <c r="M272" i="18" s="1"/>
  <c r="N272" i="18" a="1"/>
  <c r="N272" i="18" s="1"/>
  <c r="O272" i="18"/>
  <c r="M273" i="18" a="1"/>
  <c r="M273" i="18" s="1"/>
  <c r="N273" i="18" a="1"/>
  <c r="N273" i="18" s="1"/>
  <c r="O273" i="18"/>
  <c r="M274" i="18" a="1"/>
  <c r="M274" i="18" s="1"/>
  <c r="N274" i="18" a="1"/>
  <c r="N274" i="18" s="1"/>
  <c r="O274" i="18"/>
  <c r="M275" i="18" a="1"/>
  <c r="M275" i="18" s="1"/>
  <c r="N275" i="18" a="1"/>
  <c r="N275" i="18" s="1"/>
  <c r="O275" i="18"/>
  <c r="M276" i="18" a="1"/>
  <c r="M276" i="18" s="1"/>
  <c r="N276" i="18" a="1"/>
  <c r="N276" i="18" s="1"/>
  <c r="O276" i="18"/>
  <c r="M277" i="18" a="1"/>
  <c r="M277" i="18" s="1"/>
  <c r="N277" i="18" a="1"/>
  <c r="N277" i="18" s="1"/>
  <c r="O277" i="18"/>
  <c r="M278" i="18" a="1"/>
  <c r="M278" i="18" s="1"/>
  <c r="N278" i="18" a="1"/>
  <c r="N278" i="18" s="1"/>
  <c r="O278" i="18"/>
  <c r="M279" i="18" a="1"/>
  <c r="M279" i="18" s="1"/>
  <c r="N279" i="18" a="1"/>
  <c r="N279" i="18" s="1"/>
  <c r="O279" i="18"/>
  <c r="M280" i="18" a="1"/>
  <c r="M280" i="18" s="1"/>
  <c r="N280" i="18" a="1"/>
  <c r="N280" i="18" s="1"/>
  <c r="O280" i="18"/>
  <c r="M281" i="18" a="1"/>
  <c r="M281" i="18" s="1"/>
  <c r="N281" i="18" a="1"/>
  <c r="N281" i="18" s="1"/>
  <c r="O281" i="18"/>
  <c r="M282" i="18" a="1"/>
  <c r="M282" i="18" s="1"/>
  <c r="N282" i="18" a="1"/>
  <c r="N282" i="18" s="1"/>
  <c r="O282" i="18"/>
  <c r="M283" i="18" a="1"/>
  <c r="M283" i="18" s="1"/>
  <c r="N283" i="18" a="1"/>
  <c r="N283" i="18" s="1"/>
  <c r="O283" i="18"/>
  <c r="M284" i="18" a="1"/>
  <c r="M284" i="18" s="1"/>
  <c r="N284" i="18" a="1"/>
  <c r="N284" i="18" s="1"/>
  <c r="O284" i="18"/>
  <c r="M285" i="18" a="1"/>
  <c r="M285" i="18" s="1"/>
  <c r="N285" i="18" a="1"/>
  <c r="N285" i="18" s="1"/>
  <c r="O285" i="18"/>
  <c r="M286" i="18" a="1"/>
  <c r="M286" i="18" s="1"/>
  <c r="N286" i="18" a="1"/>
  <c r="N286" i="18" s="1"/>
  <c r="O286" i="18"/>
  <c r="M287" i="18" a="1"/>
  <c r="M287" i="18" s="1"/>
  <c r="N287" i="18" a="1"/>
  <c r="N287" i="18" s="1"/>
  <c r="O287" i="18"/>
  <c r="M288" i="18" a="1"/>
  <c r="M288" i="18" s="1"/>
  <c r="N288" i="18" a="1"/>
  <c r="N288" i="18" s="1"/>
  <c r="O288" i="18"/>
  <c r="M289" i="18" a="1"/>
  <c r="M289" i="18" s="1"/>
  <c r="N289" i="18" a="1"/>
  <c r="N289" i="18" s="1"/>
  <c r="O289" i="18"/>
  <c r="M290" i="18" a="1"/>
  <c r="M290" i="18" s="1"/>
  <c r="N290" i="18" a="1"/>
  <c r="N290" i="18" s="1"/>
  <c r="O290" i="18"/>
  <c r="M291" i="18" a="1"/>
  <c r="M291" i="18" s="1"/>
  <c r="N291" i="18" a="1"/>
  <c r="N291" i="18" s="1"/>
  <c r="O291" i="18"/>
  <c r="M292" i="18" a="1"/>
  <c r="M292" i="18" s="1"/>
  <c r="N292" i="18" a="1"/>
  <c r="N292" i="18" s="1"/>
  <c r="O292" i="18"/>
  <c r="M293" i="18" a="1"/>
  <c r="M293" i="18" s="1"/>
  <c r="N293" i="18" a="1"/>
  <c r="N293" i="18" s="1"/>
  <c r="O293" i="18"/>
  <c r="M294" i="18" a="1"/>
  <c r="M294" i="18" s="1"/>
  <c r="N294" i="18" a="1"/>
  <c r="N294" i="18" s="1"/>
  <c r="O294" i="18"/>
  <c r="M295" i="18" a="1"/>
  <c r="M295" i="18" s="1"/>
  <c r="N295" i="18" a="1"/>
  <c r="N295" i="18" s="1"/>
  <c r="O295" i="18"/>
  <c r="M296" i="18" a="1"/>
  <c r="M296" i="18" s="1"/>
  <c r="N296" i="18" a="1"/>
  <c r="N296" i="18" s="1"/>
  <c r="O296" i="18"/>
  <c r="M297" i="18" a="1"/>
  <c r="M297" i="18" s="1"/>
  <c r="N297" i="18" a="1"/>
  <c r="N297" i="18" s="1"/>
  <c r="O297" i="18"/>
  <c r="M298" i="18" a="1"/>
  <c r="M298" i="18" s="1"/>
  <c r="N298" i="18" a="1"/>
  <c r="N298" i="18" s="1"/>
  <c r="O298" i="18"/>
  <c r="M299" i="18" a="1"/>
  <c r="M299" i="18" s="1"/>
  <c r="N299" i="18" a="1"/>
  <c r="N299" i="18" s="1"/>
  <c r="O299" i="18"/>
  <c r="M300" i="18" a="1"/>
  <c r="M300" i="18" s="1"/>
  <c r="N300" i="18" a="1"/>
  <c r="N300" i="18" s="1"/>
  <c r="O300" i="18"/>
  <c r="M301" i="18" a="1"/>
  <c r="M301" i="18" s="1"/>
  <c r="N301" i="18" a="1"/>
  <c r="N301" i="18" s="1"/>
  <c r="O301" i="18"/>
  <c r="M302" i="18" a="1"/>
  <c r="M302" i="18" s="1"/>
  <c r="N302" i="18" a="1"/>
  <c r="N302" i="18" s="1"/>
  <c r="O302" i="18"/>
  <c r="M303" i="18" a="1"/>
  <c r="M303" i="18" s="1"/>
  <c r="N303" i="18" a="1"/>
  <c r="N303" i="18" s="1"/>
  <c r="O303" i="18"/>
  <c r="M304" i="18" a="1"/>
  <c r="M304" i="18" s="1"/>
  <c r="N304" i="18" a="1"/>
  <c r="N304" i="18" s="1"/>
  <c r="O304" i="18"/>
  <c r="M305" i="18" a="1"/>
  <c r="M305" i="18" s="1"/>
  <c r="N305" i="18" a="1"/>
  <c r="N305" i="18" s="1"/>
  <c r="O305" i="18"/>
  <c r="M306" i="18" a="1"/>
  <c r="M306" i="18" s="1"/>
  <c r="N306" i="18" a="1"/>
  <c r="N306" i="18" s="1"/>
  <c r="O306" i="18"/>
  <c r="M307" i="18" a="1"/>
  <c r="M307" i="18" s="1"/>
  <c r="N307" i="18" a="1"/>
  <c r="N307" i="18" s="1"/>
  <c r="O307" i="18"/>
  <c r="M308" i="18" a="1"/>
  <c r="M308" i="18" s="1"/>
  <c r="N308" i="18" a="1"/>
  <c r="N308" i="18" s="1"/>
  <c r="O308" i="18"/>
  <c r="M309" i="18" a="1"/>
  <c r="M309" i="18" s="1"/>
  <c r="N309" i="18" a="1"/>
  <c r="N309" i="18" s="1"/>
  <c r="O309" i="18"/>
  <c r="M310" i="18" a="1"/>
  <c r="M310" i="18" s="1"/>
  <c r="N310" i="18" a="1"/>
  <c r="N310" i="18" s="1"/>
  <c r="O310" i="18"/>
  <c r="M311" i="18" a="1"/>
  <c r="M311" i="18" s="1"/>
  <c r="N311" i="18" a="1"/>
  <c r="N311" i="18" s="1"/>
  <c r="O311" i="18"/>
  <c r="M312" i="18" a="1"/>
  <c r="M312" i="18" s="1"/>
  <c r="N312" i="18" a="1"/>
  <c r="N312" i="18" s="1"/>
  <c r="O312" i="18"/>
  <c r="M313" i="18" a="1"/>
  <c r="M313" i="18" s="1"/>
  <c r="N313" i="18" a="1"/>
  <c r="N313" i="18" s="1"/>
  <c r="O313" i="18"/>
  <c r="M314" i="18" a="1"/>
  <c r="M314" i="18" s="1"/>
  <c r="N314" i="18" a="1"/>
  <c r="N314" i="18" s="1"/>
  <c r="O314" i="18"/>
  <c r="M315" i="18" a="1"/>
  <c r="M315" i="18" s="1"/>
  <c r="N315" i="18" a="1"/>
  <c r="N315" i="18" s="1"/>
  <c r="O315" i="18"/>
  <c r="M316" i="18" a="1"/>
  <c r="M316" i="18" s="1"/>
  <c r="N316" i="18" a="1"/>
  <c r="N316" i="18" s="1"/>
  <c r="O316" i="18"/>
  <c r="M317" i="18" a="1"/>
  <c r="M317" i="18" s="1"/>
  <c r="N317" i="18" a="1"/>
  <c r="N317" i="18" s="1"/>
  <c r="O317" i="18"/>
  <c r="M318" i="18" a="1"/>
  <c r="M318" i="18" s="1"/>
  <c r="N318" i="18" a="1"/>
  <c r="N318" i="18" s="1"/>
  <c r="O318" i="18"/>
  <c r="M319" i="18" a="1"/>
  <c r="M319" i="18" s="1"/>
  <c r="N319" i="18" a="1"/>
  <c r="N319" i="18" s="1"/>
  <c r="O319" i="18"/>
  <c r="M320" i="18" a="1"/>
  <c r="M320" i="18" s="1"/>
  <c r="N320" i="18" a="1"/>
  <c r="N320" i="18" s="1"/>
  <c r="O320" i="18"/>
  <c r="M321" i="18" a="1"/>
  <c r="M321" i="18" s="1"/>
  <c r="N321" i="18" a="1"/>
  <c r="N321" i="18" s="1"/>
  <c r="O321" i="18"/>
  <c r="M322" i="18" a="1"/>
  <c r="M322" i="18" s="1"/>
  <c r="N322" i="18" a="1"/>
  <c r="N322" i="18" s="1"/>
  <c r="O322" i="18"/>
  <c r="M323" i="18" a="1"/>
  <c r="M323" i="18" s="1"/>
  <c r="N323" i="18" a="1"/>
  <c r="N323" i="18" s="1"/>
  <c r="O323" i="18"/>
  <c r="M324" i="18" a="1"/>
  <c r="M324" i="18" s="1"/>
  <c r="N324" i="18" a="1"/>
  <c r="N324" i="18" s="1"/>
  <c r="O324" i="18"/>
  <c r="M325" i="18" a="1"/>
  <c r="M325" i="18" s="1"/>
  <c r="N325" i="18" a="1"/>
  <c r="N325" i="18" s="1"/>
  <c r="O325" i="18"/>
  <c r="M326" i="18" a="1"/>
  <c r="M326" i="18" s="1"/>
  <c r="N326" i="18" a="1"/>
  <c r="N326" i="18" s="1"/>
  <c r="O326" i="18"/>
  <c r="M327" i="18" a="1"/>
  <c r="M327" i="18" s="1"/>
  <c r="N327" i="18" a="1"/>
  <c r="N327" i="18" s="1"/>
  <c r="O327" i="18"/>
  <c r="M328" i="18" a="1"/>
  <c r="M328" i="18" s="1"/>
  <c r="N328" i="18" a="1"/>
  <c r="N328" i="18" s="1"/>
  <c r="O328" i="18"/>
  <c r="M329" i="18" a="1"/>
  <c r="M329" i="18" s="1"/>
  <c r="N329" i="18" a="1"/>
  <c r="N329" i="18" s="1"/>
  <c r="O329" i="18"/>
  <c r="M330" i="18" a="1"/>
  <c r="M330" i="18" s="1"/>
  <c r="N330" i="18" a="1"/>
  <c r="N330" i="18" s="1"/>
  <c r="O330" i="18"/>
  <c r="M331" i="18" a="1"/>
  <c r="M331" i="18" s="1"/>
  <c r="N331" i="18" a="1"/>
  <c r="N331" i="18" s="1"/>
  <c r="O331" i="18"/>
  <c r="M332" i="18" a="1"/>
  <c r="M332" i="18" s="1"/>
  <c r="N332" i="18" a="1"/>
  <c r="N332" i="18" s="1"/>
  <c r="O332" i="18"/>
  <c r="M333" i="18" a="1"/>
  <c r="M333" i="18" s="1"/>
  <c r="N333" i="18" a="1"/>
  <c r="N333" i="18" s="1"/>
  <c r="O333" i="18"/>
  <c r="M334" i="18" a="1"/>
  <c r="M334" i="18" s="1"/>
  <c r="N334" i="18" a="1"/>
  <c r="N334" i="18" s="1"/>
  <c r="O334" i="18"/>
  <c r="M335" i="18" a="1"/>
  <c r="M335" i="18" s="1"/>
  <c r="N335" i="18" a="1"/>
  <c r="N335" i="18" s="1"/>
  <c r="O335" i="18"/>
  <c r="M336" i="18" a="1"/>
  <c r="M336" i="18" s="1"/>
  <c r="N336" i="18" a="1"/>
  <c r="N336" i="18" s="1"/>
  <c r="O336" i="18"/>
  <c r="M337" i="18" a="1"/>
  <c r="M337" i="18" s="1"/>
  <c r="N337" i="18" a="1"/>
  <c r="N337" i="18" s="1"/>
  <c r="O337" i="18"/>
  <c r="M338" i="18" a="1"/>
  <c r="M338" i="18" s="1"/>
  <c r="N338" i="18" a="1"/>
  <c r="N338" i="18" s="1"/>
  <c r="O338" i="18"/>
  <c r="M339" i="18" a="1"/>
  <c r="M339" i="18" s="1"/>
  <c r="N339" i="18" a="1"/>
  <c r="N339" i="18" s="1"/>
  <c r="O339" i="18"/>
  <c r="M340" i="18" a="1"/>
  <c r="M340" i="18" s="1"/>
  <c r="N340" i="18" a="1"/>
  <c r="N340" i="18" s="1"/>
  <c r="O340" i="18"/>
  <c r="M341" i="18" a="1"/>
  <c r="M341" i="18" s="1"/>
  <c r="N341" i="18" a="1"/>
  <c r="N341" i="18" s="1"/>
  <c r="O341" i="18"/>
  <c r="M342" i="18" a="1"/>
  <c r="M342" i="18" s="1"/>
  <c r="N342" i="18" a="1"/>
  <c r="N342" i="18" s="1"/>
  <c r="O342" i="18"/>
  <c r="M343" i="18" a="1"/>
  <c r="M343" i="18" s="1"/>
  <c r="N343" i="18" a="1"/>
  <c r="N343" i="18" s="1"/>
  <c r="O343" i="18"/>
  <c r="M344" i="18" a="1"/>
  <c r="M344" i="18" s="1"/>
  <c r="N344" i="18" a="1"/>
  <c r="N344" i="18" s="1"/>
  <c r="O344" i="18"/>
  <c r="M345" i="18" a="1"/>
  <c r="M345" i="18" s="1"/>
  <c r="N345" i="18" a="1"/>
  <c r="N345" i="18" s="1"/>
  <c r="O345" i="18"/>
  <c r="M346" i="18" a="1"/>
  <c r="M346" i="18" s="1"/>
  <c r="N346" i="18" a="1"/>
  <c r="N346" i="18" s="1"/>
  <c r="O346" i="18"/>
  <c r="M347" i="18" a="1"/>
  <c r="M347" i="18" s="1"/>
  <c r="N347" i="18" a="1"/>
  <c r="N347" i="18" s="1"/>
  <c r="O347" i="18"/>
  <c r="M348" i="18" a="1"/>
  <c r="M348" i="18" s="1"/>
  <c r="N348" i="18" a="1"/>
  <c r="N348" i="18" s="1"/>
  <c r="O348" i="18"/>
  <c r="M349" i="18" a="1"/>
  <c r="M349" i="18" s="1"/>
  <c r="N349" i="18" a="1"/>
  <c r="N349" i="18" s="1"/>
  <c r="O349" i="18"/>
  <c r="M350" i="18" a="1"/>
  <c r="M350" i="18" s="1"/>
  <c r="N350" i="18" a="1"/>
  <c r="N350" i="18" s="1"/>
  <c r="O350" i="18"/>
  <c r="M351" i="18" a="1"/>
  <c r="M351" i="18" s="1"/>
  <c r="N351" i="18" a="1"/>
  <c r="N351" i="18" s="1"/>
  <c r="O351" i="18"/>
  <c r="M352" i="18" a="1"/>
  <c r="M352" i="18" s="1"/>
  <c r="N352" i="18" a="1"/>
  <c r="N352" i="18" s="1"/>
  <c r="O352" i="18"/>
  <c r="M353" i="18" a="1"/>
  <c r="M353" i="18" s="1"/>
  <c r="N353" i="18" a="1"/>
  <c r="N353" i="18" s="1"/>
  <c r="O353" i="18"/>
  <c r="M354" i="18" a="1"/>
  <c r="M354" i="18" s="1"/>
  <c r="N354" i="18" a="1"/>
  <c r="N354" i="18" s="1"/>
  <c r="O354" i="18"/>
  <c r="M355" i="18" a="1"/>
  <c r="M355" i="18" s="1"/>
  <c r="N355" i="18" a="1"/>
  <c r="N355" i="18" s="1"/>
  <c r="O355" i="18"/>
  <c r="M356" i="18" a="1"/>
  <c r="M356" i="18" s="1"/>
  <c r="N356" i="18" a="1"/>
  <c r="N356" i="18" s="1"/>
  <c r="O356" i="18"/>
  <c r="M357" i="18" a="1"/>
  <c r="M357" i="18" s="1"/>
  <c r="N357" i="18" a="1"/>
  <c r="N357" i="18" s="1"/>
  <c r="O357" i="18"/>
  <c r="M358" i="18" a="1"/>
  <c r="M358" i="18" s="1"/>
  <c r="N358" i="18" a="1"/>
  <c r="N358" i="18" s="1"/>
  <c r="O358" i="18"/>
  <c r="M359" i="18" a="1"/>
  <c r="M359" i="18" s="1"/>
  <c r="N359" i="18" a="1"/>
  <c r="N359" i="18" s="1"/>
  <c r="O359" i="18"/>
  <c r="M360" i="18" a="1"/>
  <c r="M360" i="18" s="1"/>
  <c r="N360" i="18" a="1"/>
  <c r="N360" i="18" s="1"/>
  <c r="O360" i="18"/>
  <c r="M361" i="18" a="1"/>
  <c r="M361" i="18" s="1"/>
  <c r="N361" i="18" a="1"/>
  <c r="N361" i="18" s="1"/>
  <c r="O361" i="18"/>
  <c r="M362" i="18" a="1"/>
  <c r="M362" i="18" s="1"/>
  <c r="N362" i="18" a="1"/>
  <c r="N362" i="18" s="1"/>
  <c r="O362" i="18"/>
  <c r="M363" i="18" a="1"/>
  <c r="M363" i="18" s="1"/>
  <c r="N363" i="18" a="1"/>
  <c r="N363" i="18" s="1"/>
  <c r="O363" i="18"/>
  <c r="M364" i="18" a="1"/>
  <c r="M364" i="18" s="1"/>
  <c r="N364" i="18" a="1"/>
  <c r="N364" i="18" s="1"/>
  <c r="O364" i="18"/>
  <c r="M365" i="18" a="1"/>
  <c r="M365" i="18" s="1"/>
  <c r="N365" i="18" a="1"/>
  <c r="N365" i="18" s="1"/>
  <c r="O365" i="18"/>
  <c r="M366" i="18" a="1"/>
  <c r="M366" i="18" s="1"/>
  <c r="N366" i="18" a="1"/>
  <c r="N366" i="18" s="1"/>
  <c r="O366" i="18"/>
  <c r="M367" i="18" a="1"/>
  <c r="M367" i="18" s="1"/>
  <c r="N367" i="18" a="1"/>
  <c r="N367" i="18" s="1"/>
  <c r="O367" i="18"/>
  <c r="M368" i="18" a="1"/>
  <c r="M368" i="18" s="1"/>
  <c r="N368" i="18" a="1"/>
  <c r="N368" i="18" s="1"/>
  <c r="O368" i="18"/>
  <c r="M369" i="18" a="1"/>
  <c r="M369" i="18" s="1"/>
  <c r="N369" i="18" a="1"/>
  <c r="N369" i="18" s="1"/>
  <c r="O369" i="18"/>
  <c r="M370" i="18" a="1"/>
  <c r="M370" i="18" s="1"/>
  <c r="N370" i="18" a="1"/>
  <c r="N370" i="18" s="1"/>
  <c r="O370" i="18"/>
  <c r="M371" i="18" a="1"/>
  <c r="M371" i="18" s="1"/>
  <c r="N371" i="18" a="1"/>
  <c r="N371" i="18" s="1"/>
  <c r="O371" i="18"/>
  <c r="M372" i="18" a="1"/>
  <c r="M372" i="18" s="1"/>
  <c r="N372" i="18" a="1"/>
  <c r="N372" i="18" s="1"/>
  <c r="O372" i="18"/>
  <c r="M373" i="18" a="1"/>
  <c r="M373" i="18" s="1"/>
  <c r="N373" i="18" a="1"/>
  <c r="N373" i="18" s="1"/>
  <c r="O373" i="18"/>
  <c r="M374" i="18" a="1"/>
  <c r="M374" i="18" s="1"/>
  <c r="N374" i="18" a="1"/>
  <c r="N374" i="18" s="1"/>
  <c r="O374" i="18"/>
  <c r="M375" i="18" a="1"/>
  <c r="M375" i="18" s="1"/>
  <c r="N375" i="18" a="1"/>
  <c r="N375" i="18" s="1"/>
  <c r="O375" i="18"/>
  <c r="M376" i="18" a="1"/>
  <c r="M376" i="18" s="1"/>
  <c r="N376" i="18" a="1"/>
  <c r="N376" i="18" s="1"/>
  <c r="O376" i="18"/>
  <c r="M377" i="18" a="1"/>
  <c r="M377" i="18" s="1"/>
  <c r="N377" i="18" a="1"/>
  <c r="N377" i="18" s="1"/>
  <c r="O377" i="18"/>
  <c r="M378" i="18" a="1"/>
  <c r="M378" i="18" s="1"/>
  <c r="N378" i="18" a="1"/>
  <c r="N378" i="18" s="1"/>
  <c r="O378" i="18"/>
  <c r="M379" i="18" a="1"/>
  <c r="M379" i="18" s="1"/>
  <c r="N379" i="18" a="1"/>
  <c r="N379" i="18" s="1"/>
  <c r="O379" i="18"/>
  <c r="M380" i="18" a="1"/>
  <c r="M380" i="18" s="1"/>
  <c r="N380" i="18" a="1"/>
  <c r="N380" i="18" s="1"/>
  <c r="O380" i="18"/>
  <c r="M381" i="18" a="1"/>
  <c r="M381" i="18" s="1"/>
  <c r="N381" i="18" a="1"/>
  <c r="N381" i="18" s="1"/>
  <c r="O381" i="18"/>
  <c r="M382" i="18" a="1"/>
  <c r="M382" i="18" s="1"/>
  <c r="N382" i="18" a="1"/>
  <c r="N382" i="18" s="1"/>
  <c r="O382" i="18"/>
  <c r="M383" i="18" a="1"/>
  <c r="M383" i="18" s="1"/>
  <c r="N383" i="18" a="1"/>
  <c r="N383" i="18" s="1"/>
  <c r="O383" i="18"/>
  <c r="M384" i="18" a="1"/>
  <c r="M384" i="18" s="1"/>
  <c r="N384" i="18" a="1"/>
  <c r="N384" i="18" s="1"/>
  <c r="O384" i="18"/>
  <c r="M385" i="18" a="1"/>
  <c r="M385" i="18" s="1"/>
  <c r="N385" i="18" a="1"/>
  <c r="N385" i="18" s="1"/>
  <c r="O385" i="18"/>
  <c r="M386" i="18" a="1"/>
  <c r="M386" i="18" s="1"/>
  <c r="N386" i="18" a="1"/>
  <c r="N386" i="18" s="1"/>
  <c r="O386" i="18"/>
  <c r="M387" i="18" a="1"/>
  <c r="M387" i="18" s="1"/>
  <c r="N387" i="18" a="1"/>
  <c r="N387" i="18" s="1"/>
  <c r="O387" i="18"/>
  <c r="M388" i="18" a="1"/>
  <c r="M388" i="18" s="1"/>
  <c r="N388" i="18" a="1"/>
  <c r="N388" i="18" s="1"/>
  <c r="O388" i="18"/>
  <c r="M389" i="18" a="1"/>
  <c r="M389" i="18" s="1"/>
  <c r="N389" i="18" a="1"/>
  <c r="N389" i="18" s="1"/>
  <c r="O389" i="18"/>
  <c r="M390" i="18" a="1"/>
  <c r="M390" i="18" s="1"/>
  <c r="N390" i="18" a="1"/>
  <c r="N390" i="18" s="1"/>
  <c r="O390" i="18"/>
  <c r="M391" i="18" a="1"/>
  <c r="M391" i="18" s="1"/>
  <c r="N391" i="18" a="1"/>
  <c r="N391" i="18" s="1"/>
  <c r="O391" i="18"/>
  <c r="M392" i="18" a="1"/>
  <c r="M392" i="18" s="1"/>
  <c r="N392" i="18" a="1"/>
  <c r="N392" i="18" s="1"/>
  <c r="O392" i="18"/>
  <c r="M393" i="18" a="1"/>
  <c r="M393" i="18" s="1"/>
  <c r="N393" i="18" a="1"/>
  <c r="N393" i="18" s="1"/>
  <c r="O393" i="18"/>
  <c r="M394" i="18" a="1"/>
  <c r="M394" i="18" s="1"/>
  <c r="N394" i="18" a="1"/>
  <c r="N394" i="18" s="1"/>
  <c r="O394" i="18"/>
  <c r="M395" i="18" a="1"/>
  <c r="M395" i="18" s="1"/>
  <c r="N395" i="18" a="1"/>
  <c r="N395" i="18" s="1"/>
  <c r="O395" i="18"/>
  <c r="M396" i="18" a="1"/>
  <c r="M396" i="18" s="1"/>
  <c r="N396" i="18" a="1"/>
  <c r="N396" i="18" s="1"/>
  <c r="O396" i="18"/>
  <c r="M397" i="18" a="1"/>
  <c r="M397" i="18" s="1"/>
  <c r="N397" i="18" a="1"/>
  <c r="N397" i="18" s="1"/>
  <c r="O397" i="18"/>
  <c r="M398" i="18" a="1"/>
  <c r="M398" i="18" s="1"/>
  <c r="N398" i="18" a="1"/>
  <c r="N398" i="18" s="1"/>
  <c r="O398" i="18"/>
  <c r="M399" i="18" a="1"/>
  <c r="M399" i="18" s="1"/>
  <c r="N399" i="18" a="1"/>
  <c r="N399" i="18" s="1"/>
  <c r="O399" i="18"/>
  <c r="M400" i="18" a="1"/>
  <c r="M400" i="18" s="1"/>
  <c r="N400" i="18" a="1"/>
  <c r="N400" i="18" s="1"/>
  <c r="O400" i="18"/>
  <c r="M401" i="18" a="1"/>
  <c r="M401" i="18" s="1"/>
  <c r="N401" i="18" a="1"/>
  <c r="N401" i="18" s="1"/>
  <c r="O401" i="18"/>
  <c r="M402" i="18" a="1"/>
  <c r="M402" i="18" s="1"/>
  <c r="N402" i="18" a="1"/>
  <c r="N402" i="18" s="1"/>
  <c r="O402" i="18"/>
  <c r="M403" i="18" a="1"/>
  <c r="M403" i="18" s="1"/>
  <c r="N403" i="18" a="1"/>
  <c r="N403" i="18" s="1"/>
  <c r="O403" i="18"/>
  <c r="M404" i="18" a="1"/>
  <c r="M404" i="18" s="1"/>
  <c r="N404" i="18" a="1"/>
  <c r="N404" i="18" s="1"/>
  <c r="O404" i="18"/>
  <c r="M405" i="18" a="1"/>
  <c r="M405" i="18" s="1"/>
  <c r="N405" i="18" a="1"/>
  <c r="N405" i="18" s="1"/>
  <c r="O405" i="18"/>
  <c r="M406" i="18" a="1"/>
  <c r="M406" i="18" s="1"/>
  <c r="N406" i="18" a="1"/>
  <c r="N406" i="18" s="1"/>
  <c r="O406" i="18"/>
  <c r="M407" i="18" a="1"/>
  <c r="M407" i="18" s="1"/>
  <c r="N407" i="18" a="1"/>
  <c r="N407" i="18" s="1"/>
  <c r="O407" i="18"/>
  <c r="M408" i="18" a="1"/>
  <c r="M408" i="18" s="1"/>
  <c r="N408" i="18" a="1"/>
  <c r="N408" i="18" s="1"/>
  <c r="O408" i="18"/>
  <c r="M409" i="18" a="1"/>
  <c r="M409" i="18" s="1"/>
  <c r="N409" i="18" a="1"/>
  <c r="N409" i="18" s="1"/>
  <c r="O409" i="18"/>
  <c r="M410" i="18" a="1"/>
  <c r="M410" i="18" s="1"/>
  <c r="N410" i="18" a="1"/>
  <c r="N410" i="18" s="1"/>
  <c r="O410" i="18"/>
  <c r="M411" i="18" a="1"/>
  <c r="M411" i="18" s="1"/>
  <c r="N411" i="18" a="1"/>
  <c r="N411" i="18" s="1"/>
  <c r="O411" i="18"/>
  <c r="M412" i="18" a="1"/>
  <c r="M412" i="18" s="1"/>
  <c r="N412" i="18" a="1"/>
  <c r="N412" i="18" s="1"/>
  <c r="O412" i="18"/>
  <c r="M413" i="18" a="1"/>
  <c r="M413" i="18" s="1"/>
  <c r="N413" i="18" a="1"/>
  <c r="N413" i="18" s="1"/>
  <c r="O413" i="18"/>
  <c r="M414" i="18" a="1"/>
  <c r="M414" i="18" s="1"/>
  <c r="N414" i="18" a="1"/>
  <c r="N414" i="18" s="1"/>
  <c r="O414" i="18"/>
  <c r="M415" i="18" a="1"/>
  <c r="M415" i="18" s="1"/>
  <c r="N415" i="18" a="1"/>
  <c r="N415" i="18" s="1"/>
  <c r="O415" i="18"/>
  <c r="M416" i="18" a="1"/>
  <c r="M416" i="18" s="1"/>
  <c r="N416" i="18" a="1"/>
  <c r="N416" i="18" s="1"/>
  <c r="O416" i="18"/>
  <c r="M417" i="18" a="1"/>
  <c r="M417" i="18" s="1"/>
  <c r="N417" i="18" a="1"/>
  <c r="N417" i="18" s="1"/>
  <c r="O417" i="18"/>
  <c r="M418" i="18" a="1"/>
  <c r="M418" i="18" s="1"/>
  <c r="N418" i="18" a="1"/>
  <c r="N418" i="18" s="1"/>
  <c r="O418" i="18"/>
  <c r="M419" i="18" a="1"/>
  <c r="M419" i="18" s="1"/>
  <c r="N419" i="18" a="1"/>
  <c r="N419" i="18" s="1"/>
  <c r="O419" i="18"/>
  <c r="M420" i="18" a="1"/>
  <c r="M420" i="18" s="1"/>
  <c r="N420" i="18" a="1"/>
  <c r="N420" i="18" s="1"/>
  <c r="O420" i="18"/>
  <c r="M421" i="18" a="1"/>
  <c r="M421" i="18" s="1"/>
  <c r="N421" i="18" a="1"/>
  <c r="N421" i="18" s="1"/>
  <c r="O421" i="18"/>
  <c r="M422" i="18" a="1"/>
  <c r="M422" i="18" s="1"/>
  <c r="N422" i="18" a="1"/>
  <c r="N422" i="18" s="1"/>
  <c r="O422" i="18"/>
  <c r="M423" i="18" a="1"/>
  <c r="M423" i="18" s="1"/>
  <c r="N423" i="18" a="1"/>
  <c r="N423" i="18" s="1"/>
  <c r="O423" i="18"/>
  <c r="M424" i="18" a="1"/>
  <c r="M424" i="18" s="1"/>
  <c r="N424" i="18" a="1"/>
  <c r="N424" i="18" s="1"/>
  <c r="O424" i="18"/>
  <c r="M425" i="18" a="1"/>
  <c r="M425" i="18" s="1"/>
  <c r="N425" i="18" a="1"/>
  <c r="N425" i="18" s="1"/>
  <c r="O425" i="18"/>
  <c r="M426" i="18" a="1"/>
  <c r="M426" i="18" s="1"/>
  <c r="N426" i="18" a="1"/>
  <c r="N426" i="18" s="1"/>
  <c r="O426" i="18"/>
  <c r="M427" i="18" a="1"/>
  <c r="M427" i="18" s="1"/>
  <c r="N427" i="18" a="1"/>
  <c r="N427" i="18" s="1"/>
  <c r="O427" i="18"/>
  <c r="M428" i="18" a="1"/>
  <c r="M428" i="18" s="1"/>
  <c r="N428" i="18" a="1"/>
  <c r="N428" i="18" s="1"/>
  <c r="O428" i="18"/>
  <c r="M429" i="18" a="1"/>
  <c r="M429" i="18" s="1"/>
  <c r="N429" i="18" a="1"/>
  <c r="N429" i="18" s="1"/>
  <c r="O429" i="18"/>
  <c r="M430" i="18" a="1"/>
  <c r="M430" i="18" s="1"/>
  <c r="N430" i="18" a="1"/>
  <c r="N430" i="18" s="1"/>
  <c r="O430" i="18"/>
  <c r="M431" i="18" a="1"/>
  <c r="M431" i="18" s="1"/>
  <c r="N431" i="18" a="1"/>
  <c r="N431" i="18" s="1"/>
  <c r="O431" i="18"/>
  <c r="M432" i="18" a="1"/>
  <c r="M432" i="18" s="1"/>
  <c r="N432" i="18" a="1"/>
  <c r="N432" i="18" s="1"/>
  <c r="O432" i="18"/>
  <c r="M433" i="18" a="1"/>
  <c r="M433" i="18" s="1"/>
  <c r="N433" i="18" a="1"/>
  <c r="N433" i="18" s="1"/>
  <c r="O433" i="18"/>
  <c r="M434" i="18" a="1"/>
  <c r="M434" i="18" s="1"/>
  <c r="N434" i="18" a="1"/>
  <c r="N434" i="18" s="1"/>
  <c r="O434" i="18"/>
  <c r="M435" i="18" a="1"/>
  <c r="M435" i="18" s="1"/>
  <c r="N435" i="18" a="1"/>
  <c r="N435" i="18" s="1"/>
  <c r="O435" i="18"/>
  <c r="M436" i="18" a="1"/>
  <c r="M436" i="18" s="1"/>
  <c r="N436" i="18" a="1"/>
  <c r="N436" i="18" s="1"/>
  <c r="O436" i="18"/>
  <c r="M437" i="18" a="1"/>
  <c r="M437" i="18" s="1"/>
  <c r="N437" i="18" a="1"/>
  <c r="N437" i="18" s="1"/>
  <c r="O437" i="18"/>
  <c r="M438" i="18" a="1"/>
  <c r="M438" i="18" s="1"/>
  <c r="N438" i="18" a="1"/>
  <c r="N438" i="18" s="1"/>
  <c r="O438" i="18"/>
  <c r="M439" i="18" a="1"/>
  <c r="M439" i="18" s="1"/>
  <c r="N439" i="18" a="1"/>
  <c r="N439" i="18" s="1"/>
  <c r="O439" i="18"/>
  <c r="M440" i="18" a="1"/>
  <c r="M440" i="18" s="1"/>
  <c r="N440" i="18" a="1"/>
  <c r="N440" i="18" s="1"/>
  <c r="O440" i="18"/>
  <c r="M441" i="18" a="1"/>
  <c r="M441" i="18" s="1"/>
  <c r="N441" i="18" a="1"/>
  <c r="N441" i="18" s="1"/>
  <c r="O441" i="18"/>
  <c r="M442" i="18" a="1"/>
  <c r="M442" i="18" s="1"/>
  <c r="N442" i="18" a="1"/>
  <c r="N442" i="18" s="1"/>
  <c r="O442" i="18"/>
  <c r="M443" i="18" a="1"/>
  <c r="M443" i="18" s="1"/>
  <c r="N443" i="18" a="1"/>
  <c r="N443" i="18" s="1"/>
  <c r="O443" i="18"/>
  <c r="M444" i="18" a="1"/>
  <c r="M444" i="18" s="1"/>
  <c r="N444" i="18" a="1"/>
  <c r="N444" i="18" s="1"/>
  <c r="O444" i="18"/>
  <c r="M445" i="18" a="1"/>
  <c r="M445" i="18" s="1"/>
  <c r="N445" i="18" a="1"/>
  <c r="N445" i="18" s="1"/>
  <c r="O445" i="18"/>
  <c r="M446" i="18" a="1"/>
  <c r="M446" i="18" s="1"/>
  <c r="N446" i="18" a="1"/>
  <c r="N446" i="18" s="1"/>
  <c r="O446" i="18"/>
  <c r="M447" i="18" a="1"/>
  <c r="M447" i="18" s="1"/>
  <c r="N447" i="18" a="1"/>
  <c r="N447" i="18" s="1"/>
  <c r="O447" i="18"/>
  <c r="M448" i="18" a="1"/>
  <c r="M448" i="18" s="1"/>
  <c r="N448" i="18" a="1"/>
  <c r="N448" i="18" s="1"/>
  <c r="O448" i="18"/>
  <c r="M449" i="18" a="1"/>
  <c r="M449" i="18" s="1"/>
  <c r="N449" i="18" a="1"/>
  <c r="N449" i="18" s="1"/>
  <c r="O449" i="18"/>
  <c r="M450" i="18" a="1"/>
  <c r="M450" i="18" s="1"/>
  <c r="N450" i="18" a="1"/>
  <c r="N450" i="18" s="1"/>
  <c r="O450" i="18"/>
  <c r="M451" i="18" a="1"/>
  <c r="M451" i="18" s="1"/>
  <c r="N451" i="18" a="1"/>
  <c r="N451" i="18" s="1"/>
  <c r="O451" i="18"/>
  <c r="M452" i="18" a="1"/>
  <c r="M452" i="18" s="1"/>
  <c r="N452" i="18" a="1"/>
  <c r="N452" i="18" s="1"/>
  <c r="O452" i="18"/>
  <c r="M453" i="18" a="1"/>
  <c r="M453" i="18" s="1"/>
  <c r="N453" i="18" a="1"/>
  <c r="N453" i="18" s="1"/>
  <c r="O453" i="18"/>
  <c r="M454" i="18" a="1"/>
  <c r="M454" i="18" s="1"/>
  <c r="N454" i="18" a="1"/>
  <c r="N454" i="18" s="1"/>
  <c r="O454" i="18"/>
  <c r="M455" i="18" a="1"/>
  <c r="M455" i="18" s="1"/>
  <c r="N455" i="18" a="1"/>
  <c r="N455" i="18" s="1"/>
  <c r="O455" i="18"/>
  <c r="M456" i="18" a="1"/>
  <c r="M456" i="18" s="1"/>
  <c r="N456" i="18" a="1"/>
  <c r="N456" i="18" s="1"/>
  <c r="O456" i="18"/>
  <c r="M457" i="18" a="1"/>
  <c r="M457" i="18" s="1"/>
  <c r="N457" i="18" a="1"/>
  <c r="N457" i="18" s="1"/>
  <c r="O457" i="18"/>
  <c r="M458" i="18" a="1"/>
  <c r="M458" i="18" s="1"/>
  <c r="N458" i="18" a="1"/>
  <c r="N458" i="18" s="1"/>
  <c r="O458" i="18"/>
  <c r="M459" i="18" a="1"/>
  <c r="M459" i="18" s="1"/>
  <c r="N459" i="18" a="1"/>
  <c r="N459" i="18" s="1"/>
  <c r="O459" i="18"/>
  <c r="M460" i="18" a="1"/>
  <c r="M460" i="18" s="1"/>
  <c r="N460" i="18" a="1"/>
  <c r="N460" i="18" s="1"/>
  <c r="O460" i="18"/>
  <c r="M461" i="18" a="1"/>
  <c r="M461" i="18" s="1"/>
  <c r="N461" i="18" a="1"/>
  <c r="N461" i="18" s="1"/>
  <c r="O461" i="18"/>
  <c r="M462" i="18" a="1"/>
  <c r="M462" i="18" s="1"/>
  <c r="N462" i="18" a="1"/>
  <c r="N462" i="18" s="1"/>
  <c r="O462" i="18"/>
  <c r="M463" i="18" a="1"/>
  <c r="M463" i="18" s="1"/>
  <c r="N463" i="18" a="1"/>
  <c r="N463" i="18" s="1"/>
  <c r="O463" i="18"/>
  <c r="M464" i="18" a="1"/>
  <c r="M464" i="18" s="1"/>
  <c r="N464" i="18" a="1"/>
  <c r="N464" i="18" s="1"/>
  <c r="O464" i="18"/>
  <c r="M465" i="18" a="1"/>
  <c r="M465" i="18" s="1"/>
  <c r="N465" i="18" a="1"/>
  <c r="N465" i="18" s="1"/>
  <c r="O465" i="18"/>
  <c r="M466" i="18" a="1"/>
  <c r="M466" i="18" s="1"/>
  <c r="N466" i="18" a="1"/>
  <c r="N466" i="18" s="1"/>
  <c r="O466" i="18"/>
  <c r="M467" i="18" a="1"/>
  <c r="M467" i="18" s="1"/>
  <c r="N467" i="18" a="1"/>
  <c r="N467" i="18" s="1"/>
  <c r="O467" i="18"/>
  <c r="M468" i="18" a="1"/>
  <c r="M468" i="18" s="1"/>
  <c r="N468" i="18" a="1"/>
  <c r="N468" i="18" s="1"/>
  <c r="O468" i="18"/>
  <c r="M469" i="18" a="1"/>
  <c r="M469" i="18" s="1"/>
  <c r="N469" i="18" a="1"/>
  <c r="N469" i="18" s="1"/>
  <c r="O469" i="18"/>
  <c r="M470" i="18" a="1"/>
  <c r="M470" i="18" s="1"/>
  <c r="N470" i="18" a="1"/>
  <c r="N470" i="18" s="1"/>
  <c r="O470" i="18"/>
  <c r="M471" i="18" a="1"/>
  <c r="M471" i="18" s="1"/>
  <c r="N471" i="18" a="1"/>
  <c r="N471" i="18" s="1"/>
  <c r="O471" i="18"/>
  <c r="M472" i="18" a="1"/>
  <c r="M472" i="18" s="1"/>
  <c r="N472" i="18" a="1"/>
  <c r="N472" i="18" s="1"/>
  <c r="O472" i="18"/>
  <c r="M473" i="18" a="1"/>
  <c r="M473" i="18" s="1"/>
  <c r="N473" i="18" a="1"/>
  <c r="N473" i="18" s="1"/>
  <c r="O473" i="18"/>
  <c r="M474" i="18" a="1"/>
  <c r="M474" i="18" s="1"/>
  <c r="N474" i="18" a="1"/>
  <c r="N474" i="18" s="1"/>
  <c r="O474" i="18"/>
  <c r="M475" i="18" a="1"/>
  <c r="M475" i="18" s="1"/>
  <c r="N475" i="18" a="1"/>
  <c r="N475" i="18" s="1"/>
  <c r="O475" i="18"/>
  <c r="M476" i="18" a="1"/>
  <c r="M476" i="18" s="1"/>
  <c r="N476" i="18" a="1"/>
  <c r="N476" i="18" s="1"/>
  <c r="O476" i="18"/>
  <c r="M477" i="18" a="1"/>
  <c r="M477" i="18" s="1"/>
  <c r="N477" i="18" a="1"/>
  <c r="N477" i="18" s="1"/>
  <c r="O477" i="18"/>
  <c r="M478" i="18" a="1"/>
  <c r="M478" i="18" s="1"/>
  <c r="N478" i="18" a="1"/>
  <c r="N478" i="18" s="1"/>
  <c r="O478" i="18"/>
  <c r="M479" i="18" a="1"/>
  <c r="M479" i="18" s="1"/>
  <c r="N479" i="18" a="1"/>
  <c r="N479" i="18" s="1"/>
  <c r="O479" i="18"/>
  <c r="M480" i="18" a="1"/>
  <c r="M480" i="18" s="1"/>
  <c r="N480" i="18" a="1"/>
  <c r="N480" i="18" s="1"/>
  <c r="O480" i="18"/>
  <c r="M481" i="18" a="1"/>
  <c r="M481" i="18" s="1"/>
  <c r="N481" i="18" a="1"/>
  <c r="N481" i="18" s="1"/>
  <c r="O481" i="18"/>
  <c r="M482" i="18" a="1"/>
  <c r="M482" i="18" s="1"/>
  <c r="N482" i="18" a="1"/>
  <c r="N482" i="18" s="1"/>
  <c r="O482" i="18"/>
  <c r="M483" i="18" a="1"/>
  <c r="M483" i="18" s="1"/>
  <c r="N483" i="18" a="1"/>
  <c r="N483" i="18" s="1"/>
  <c r="O483" i="18"/>
  <c r="M484" i="18" a="1"/>
  <c r="M484" i="18" s="1"/>
  <c r="N484" i="18" a="1"/>
  <c r="N484" i="18" s="1"/>
  <c r="O484" i="18"/>
  <c r="M485" i="18" a="1"/>
  <c r="M485" i="18" s="1"/>
  <c r="N485" i="18" a="1"/>
  <c r="N485" i="18" s="1"/>
  <c r="O485" i="18"/>
  <c r="M486" i="18" a="1"/>
  <c r="M486" i="18" s="1"/>
  <c r="N486" i="18" a="1"/>
  <c r="N486" i="18" s="1"/>
  <c r="O486" i="18"/>
  <c r="M487" i="18" a="1"/>
  <c r="M487" i="18" s="1"/>
  <c r="N487" i="18" a="1"/>
  <c r="N487" i="18" s="1"/>
  <c r="O487" i="18"/>
  <c r="M488" i="18" a="1"/>
  <c r="M488" i="18" s="1"/>
  <c r="N488" i="18" a="1"/>
  <c r="N488" i="18" s="1"/>
  <c r="O488" i="18"/>
  <c r="M489" i="18" a="1"/>
  <c r="M489" i="18" s="1"/>
  <c r="N489" i="18" a="1"/>
  <c r="N489" i="18" s="1"/>
  <c r="O489" i="18"/>
  <c r="M490" i="18" a="1"/>
  <c r="M490" i="18" s="1"/>
  <c r="N490" i="18" a="1"/>
  <c r="N490" i="18" s="1"/>
  <c r="O490" i="18"/>
  <c r="M491" i="18" a="1"/>
  <c r="M491" i="18" s="1"/>
  <c r="N491" i="18" a="1"/>
  <c r="N491" i="18" s="1"/>
  <c r="O491" i="18"/>
  <c r="M492" i="18" a="1"/>
  <c r="M492" i="18" s="1"/>
  <c r="N492" i="18" a="1"/>
  <c r="N492" i="18" s="1"/>
  <c r="O492" i="18"/>
  <c r="M493" i="18" a="1"/>
  <c r="M493" i="18" s="1"/>
  <c r="N493" i="18" a="1"/>
  <c r="N493" i="18" s="1"/>
  <c r="O493" i="18"/>
  <c r="M494" i="18" a="1"/>
  <c r="M494" i="18" s="1"/>
  <c r="N494" i="18" a="1"/>
  <c r="N494" i="18" s="1"/>
  <c r="O494" i="18"/>
  <c r="M495" i="18" a="1"/>
  <c r="M495" i="18" s="1"/>
  <c r="N495" i="18" a="1"/>
  <c r="N495" i="18" s="1"/>
  <c r="O495" i="18"/>
  <c r="M496" i="18" a="1"/>
  <c r="M496" i="18" s="1"/>
  <c r="N496" i="18" a="1"/>
  <c r="N496" i="18" s="1"/>
  <c r="O496" i="18"/>
  <c r="M497" i="18" a="1"/>
  <c r="M497" i="18" s="1"/>
  <c r="N497" i="18" a="1"/>
  <c r="N497" i="18" s="1"/>
  <c r="O497" i="18"/>
  <c r="M498" i="18" a="1"/>
  <c r="M498" i="18" s="1"/>
  <c r="N498" i="18" a="1"/>
  <c r="N498" i="18" s="1"/>
  <c r="O498" i="18"/>
  <c r="M499" i="18" a="1"/>
  <c r="M499" i="18" s="1"/>
  <c r="N499" i="18" a="1"/>
  <c r="N499" i="18" s="1"/>
  <c r="O499" i="18"/>
  <c r="M500" i="18" a="1"/>
  <c r="M500" i="18" s="1"/>
  <c r="N500" i="18" a="1"/>
  <c r="N500" i="18" s="1"/>
  <c r="O500" i="18"/>
  <c r="M501" i="18" a="1"/>
  <c r="M501" i="18" s="1"/>
  <c r="N501" i="18" a="1"/>
  <c r="N501" i="18" s="1"/>
  <c r="O501" i="18"/>
  <c r="M502" i="18" a="1"/>
  <c r="M502" i="18" s="1"/>
  <c r="N502" i="18" a="1"/>
  <c r="N502" i="18" s="1"/>
  <c r="O502" i="18"/>
  <c r="M503" i="18" a="1"/>
  <c r="M503" i="18" s="1"/>
  <c r="N503" i="18" a="1"/>
  <c r="N503" i="18" s="1"/>
  <c r="O503" i="18"/>
  <c r="M504" i="18" a="1"/>
  <c r="M504" i="18" s="1"/>
  <c r="N504" i="18" a="1"/>
  <c r="N504" i="18" s="1"/>
  <c r="O504" i="18"/>
  <c r="M505" i="18" a="1"/>
  <c r="M505" i="18" s="1"/>
  <c r="N505" i="18" a="1"/>
  <c r="N505" i="18" s="1"/>
  <c r="O505" i="18"/>
  <c r="M506" i="18" a="1"/>
  <c r="M506" i="18" s="1"/>
  <c r="N506" i="18" a="1"/>
  <c r="N506" i="18" s="1"/>
  <c r="O506" i="18"/>
  <c r="M507" i="18" a="1"/>
  <c r="M507" i="18" s="1"/>
  <c r="N507" i="18" a="1"/>
  <c r="N507" i="18" s="1"/>
  <c r="O507" i="18"/>
  <c r="M508" i="18" a="1"/>
  <c r="M508" i="18" s="1"/>
  <c r="N508" i="18" a="1"/>
  <c r="N508" i="18" s="1"/>
  <c r="O508" i="18"/>
  <c r="M509" i="18" a="1"/>
  <c r="M509" i="18" s="1"/>
  <c r="N509" i="18" a="1"/>
  <c r="N509" i="18" s="1"/>
  <c r="O509" i="18"/>
  <c r="H15" i="19"/>
  <c r="G26" i="19"/>
  <c r="G31" i="19"/>
  <c r="P141" i="18" l="1"/>
  <c r="P31" i="17"/>
  <c r="R31" i="17" s="1"/>
  <c r="G13" i="19"/>
  <c r="G9" i="19"/>
  <c r="I1" i="18" l="1"/>
  <c r="I1" i="17"/>
  <c r="Q443" i="17"/>
  <c r="P443" i="17"/>
  <c r="Q442" i="17"/>
  <c r="P442" i="17"/>
  <c r="Q441" i="17"/>
  <c r="P441" i="17"/>
  <c r="Q440" i="17"/>
  <c r="P440" i="17"/>
  <c r="Q439" i="17"/>
  <c r="Q438" i="17"/>
  <c r="P438" i="17"/>
  <c r="Q437" i="17"/>
  <c r="P437" i="17"/>
  <c r="Q436" i="17"/>
  <c r="Q435" i="17"/>
  <c r="P435" i="17"/>
  <c r="Q434" i="17"/>
  <c r="P434" i="17"/>
  <c r="Q433" i="17"/>
  <c r="P433" i="17"/>
  <c r="Q432" i="17"/>
  <c r="P432" i="17"/>
  <c r="Q431" i="17"/>
  <c r="P431" i="17"/>
  <c r="Q430" i="17"/>
  <c r="P430" i="17"/>
  <c r="Q429" i="17"/>
  <c r="P429" i="17"/>
  <c r="Q428" i="17"/>
  <c r="P428" i="17"/>
  <c r="Q427" i="17"/>
  <c r="P427" i="17"/>
  <c r="Q426" i="17"/>
  <c r="P426" i="17"/>
  <c r="Q425" i="17"/>
  <c r="P425" i="17"/>
  <c r="Q424" i="17"/>
  <c r="P424" i="17"/>
  <c r="Q423" i="17"/>
  <c r="P423" i="17"/>
  <c r="Q422" i="17"/>
  <c r="P422" i="17"/>
  <c r="Q421" i="17"/>
  <c r="Q420" i="17"/>
  <c r="Q419" i="17"/>
  <c r="P419" i="17"/>
  <c r="Q418" i="17"/>
  <c r="Q417" i="17"/>
  <c r="Q416" i="17"/>
  <c r="Q415" i="17"/>
  <c r="Q414" i="17"/>
  <c r="Q413" i="17"/>
  <c r="Q412" i="17"/>
  <c r="P412" i="17"/>
  <c r="Q411" i="17"/>
  <c r="P411" i="17"/>
  <c r="Q410" i="17"/>
  <c r="P410" i="17"/>
  <c r="Q409" i="17"/>
  <c r="P409" i="17"/>
  <c r="Q408" i="17"/>
  <c r="P408" i="17"/>
  <c r="Q407" i="17"/>
  <c r="P407" i="17"/>
  <c r="Q406" i="17"/>
  <c r="P406" i="17"/>
  <c r="Q405" i="17"/>
  <c r="P405" i="17"/>
  <c r="Q404" i="17"/>
  <c r="P404" i="17"/>
  <c r="Q403" i="17"/>
  <c r="P403" i="17"/>
  <c r="Q402" i="17"/>
  <c r="P402" i="17"/>
  <c r="Q401" i="17"/>
  <c r="P401" i="17"/>
  <c r="Q400" i="17"/>
  <c r="P400" i="17"/>
  <c r="Q399" i="17"/>
  <c r="P399" i="17"/>
  <c r="Q398" i="17"/>
  <c r="P398" i="17"/>
  <c r="Q397" i="17"/>
  <c r="Q396" i="17"/>
  <c r="Q395" i="17"/>
  <c r="P395" i="17"/>
  <c r="Q394" i="17"/>
  <c r="Q393" i="17"/>
  <c r="Q391" i="17"/>
  <c r="Q390" i="17"/>
  <c r="P390" i="17"/>
  <c r="Q389" i="17"/>
  <c r="P389" i="17"/>
  <c r="Q388" i="17"/>
  <c r="Q387" i="17"/>
  <c r="Q386" i="17"/>
  <c r="Q385" i="17"/>
  <c r="P385" i="17"/>
  <c r="Q384" i="17"/>
  <c r="P384" i="17"/>
  <c r="Q383" i="17"/>
  <c r="P383" i="17"/>
  <c r="Q382" i="17"/>
  <c r="P382" i="17"/>
  <c r="Q381" i="17"/>
  <c r="Q380" i="17"/>
  <c r="P380" i="17"/>
  <c r="Q379" i="17"/>
  <c r="P379" i="17"/>
  <c r="Q378" i="17"/>
  <c r="P378" i="17"/>
  <c r="Q377" i="17"/>
  <c r="P377" i="17"/>
  <c r="Q376" i="17"/>
  <c r="P376" i="17"/>
  <c r="Q375" i="17"/>
  <c r="P375" i="17"/>
  <c r="Q374" i="17"/>
  <c r="P374" i="17"/>
  <c r="Q373" i="17"/>
  <c r="Q372" i="17"/>
  <c r="Q371" i="17"/>
  <c r="Q370" i="17"/>
  <c r="P370" i="17"/>
  <c r="Q369" i="17"/>
  <c r="P369" i="17"/>
  <c r="Q368" i="17"/>
  <c r="Q367" i="17"/>
  <c r="Q366" i="17"/>
  <c r="Q365" i="17"/>
  <c r="P365" i="17"/>
  <c r="Q364" i="17"/>
  <c r="P364" i="17"/>
  <c r="Q363" i="17"/>
  <c r="P363" i="17"/>
  <c r="Q362" i="17"/>
  <c r="P362" i="17"/>
  <c r="Q361" i="17"/>
  <c r="P361" i="17"/>
  <c r="Q360" i="17"/>
  <c r="P360" i="17"/>
  <c r="Q359" i="17"/>
  <c r="P359" i="17"/>
  <c r="Q358" i="17"/>
  <c r="P358" i="17"/>
  <c r="Q357" i="17"/>
  <c r="P357" i="17"/>
  <c r="Q356" i="17"/>
  <c r="P356" i="17"/>
  <c r="Q355" i="17"/>
  <c r="P355" i="17"/>
  <c r="Q354" i="17"/>
  <c r="P354" i="17"/>
  <c r="Q353" i="17"/>
  <c r="P353" i="17"/>
  <c r="Q352" i="17"/>
  <c r="P352" i="17"/>
  <c r="Q351" i="17"/>
  <c r="P351" i="17"/>
  <c r="Q350" i="17"/>
  <c r="P350" i="17"/>
  <c r="Q349" i="17"/>
  <c r="P349" i="17"/>
  <c r="Q348" i="17"/>
  <c r="P348" i="17"/>
  <c r="Q347" i="17"/>
  <c r="P347" i="17"/>
  <c r="Q346" i="17"/>
  <c r="P346" i="17"/>
  <c r="Q345" i="17"/>
  <c r="P345" i="17"/>
  <c r="Q344" i="17"/>
  <c r="P344" i="17"/>
  <c r="Q343" i="17"/>
  <c r="P343" i="17"/>
  <c r="Q342" i="17"/>
  <c r="P342" i="17"/>
  <c r="Q341" i="17"/>
  <c r="P341" i="17"/>
  <c r="Q340" i="17"/>
  <c r="P340" i="17"/>
  <c r="Q339" i="17"/>
  <c r="P339" i="17"/>
  <c r="Q338" i="17"/>
  <c r="P338" i="17"/>
  <c r="Q337" i="17"/>
  <c r="Q336" i="17"/>
  <c r="Q335" i="17"/>
  <c r="Q334" i="17"/>
  <c r="P334" i="17"/>
  <c r="Q333" i="17"/>
  <c r="P333" i="17"/>
  <c r="Q332" i="17"/>
  <c r="P332" i="17"/>
  <c r="Q331" i="17"/>
  <c r="P331" i="17"/>
  <c r="Q330" i="17"/>
  <c r="Q329" i="17"/>
  <c r="Q328" i="17"/>
  <c r="Q327" i="17"/>
  <c r="P327" i="17"/>
  <c r="Q326" i="17"/>
  <c r="P326" i="17"/>
  <c r="Q325" i="17"/>
  <c r="P325" i="17"/>
  <c r="Q324" i="17"/>
  <c r="P324" i="17"/>
  <c r="Q323" i="17"/>
  <c r="P323" i="17"/>
  <c r="Q322" i="17"/>
  <c r="P322" i="17"/>
  <c r="Q321" i="17"/>
  <c r="P321" i="17"/>
  <c r="Q320" i="17"/>
  <c r="P320" i="17"/>
  <c r="Q319" i="17"/>
  <c r="P319" i="17"/>
  <c r="Q318" i="17"/>
  <c r="P318" i="17"/>
  <c r="Q317" i="17"/>
  <c r="P317" i="17"/>
  <c r="Q316" i="17"/>
  <c r="P316" i="17"/>
  <c r="Q315" i="17"/>
  <c r="P315" i="17"/>
  <c r="Q314" i="17"/>
  <c r="P314" i="17"/>
  <c r="Q313" i="17"/>
  <c r="P313" i="17"/>
  <c r="Q312" i="17"/>
  <c r="P312" i="17"/>
  <c r="Q311" i="17"/>
  <c r="P311" i="17"/>
  <c r="Q310" i="17"/>
  <c r="P310" i="17"/>
  <c r="Q309" i="17"/>
  <c r="P309" i="17"/>
  <c r="Q308" i="17"/>
  <c r="P308" i="17"/>
  <c r="Q307" i="17"/>
  <c r="P307" i="17"/>
  <c r="Q306" i="17"/>
  <c r="P306" i="17"/>
  <c r="Q305" i="17"/>
  <c r="P305" i="17"/>
  <c r="Q304" i="17"/>
  <c r="P304" i="17"/>
  <c r="Q303" i="17"/>
  <c r="P303" i="17"/>
  <c r="Q302" i="17"/>
  <c r="P302" i="17"/>
  <c r="Q301" i="17"/>
  <c r="P301" i="17"/>
  <c r="Q300" i="17"/>
  <c r="P300" i="17"/>
  <c r="Q299" i="17"/>
  <c r="P299" i="17"/>
  <c r="Q298" i="17"/>
  <c r="P298" i="17"/>
  <c r="Q297" i="17"/>
  <c r="P297" i="17"/>
  <c r="Q296" i="17"/>
  <c r="P296" i="17"/>
  <c r="Q295" i="17"/>
  <c r="P295" i="17"/>
  <c r="Q294" i="17"/>
  <c r="P294" i="17"/>
  <c r="Q293" i="17"/>
  <c r="P293" i="17"/>
  <c r="Q292" i="17"/>
  <c r="P292" i="17"/>
  <c r="Q291" i="17"/>
  <c r="P291" i="17"/>
  <c r="Q290" i="17"/>
  <c r="P290" i="17"/>
  <c r="Q289" i="17"/>
  <c r="P289" i="17"/>
  <c r="Q288" i="17"/>
  <c r="P288" i="17"/>
  <c r="Q287" i="17"/>
  <c r="P287" i="17"/>
  <c r="Q286" i="17"/>
  <c r="P286" i="17"/>
  <c r="Q285" i="17"/>
  <c r="P285" i="17"/>
  <c r="Q284" i="17"/>
  <c r="P284" i="17"/>
  <c r="Q283" i="17"/>
  <c r="P283" i="17"/>
  <c r="Q282" i="17"/>
  <c r="P282" i="17"/>
  <c r="Q281" i="17"/>
  <c r="P281" i="17"/>
  <c r="Q280" i="17"/>
  <c r="P280" i="17"/>
  <c r="Q279" i="17"/>
  <c r="P279" i="17"/>
  <c r="Q278" i="17"/>
  <c r="P278" i="17"/>
  <c r="Q277" i="17"/>
  <c r="P277" i="17"/>
  <c r="Q276" i="17"/>
  <c r="P276" i="17"/>
  <c r="Q275" i="17"/>
  <c r="P275" i="17"/>
  <c r="Q274" i="17"/>
  <c r="P274" i="17"/>
  <c r="Q273" i="17"/>
  <c r="P273" i="17"/>
  <c r="Q272" i="17"/>
  <c r="P272" i="17"/>
  <c r="Q271" i="17"/>
  <c r="P271" i="17"/>
  <c r="Q270" i="17"/>
  <c r="P270" i="17"/>
  <c r="Q269" i="17"/>
  <c r="P269" i="17"/>
  <c r="Q268" i="17"/>
  <c r="P268" i="17"/>
  <c r="Q267" i="17"/>
  <c r="P267" i="17"/>
  <c r="Q266" i="17"/>
  <c r="P266" i="17"/>
  <c r="Q265" i="17"/>
  <c r="Q264" i="17"/>
  <c r="Q263" i="17"/>
  <c r="Q262" i="17"/>
  <c r="P262" i="17"/>
  <c r="Q261" i="17"/>
  <c r="P261" i="17"/>
  <c r="Q260" i="17"/>
  <c r="P260" i="17"/>
  <c r="Q259" i="17"/>
  <c r="P259" i="17"/>
  <c r="Q258" i="17"/>
  <c r="P258" i="17"/>
  <c r="Q257" i="17"/>
  <c r="P257" i="17"/>
  <c r="Q256" i="17"/>
  <c r="P256" i="17"/>
  <c r="Q255" i="17"/>
  <c r="P255" i="17"/>
  <c r="Q254" i="17"/>
  <c r="P254" i="17"/>
  <c r="Q253" i="17"/>
  <c r="P253" i="17"/>
  <c r="Q252" i="17"/>
  <c r="P252" i="17"/>
  <c r="Q251" i="17"/>
  <c r="P251" i="17"/>
  <c r="Q250" i="17"/>
  <c r="P250" i="17"/>
  <c r="Q249" i="17"/>
  <c r="P249" i="17"/>
  <c r="Q248" i="17"/>
  <c r="P248" i="17"/>
  <c r="Q247" i="17"/>
  <c r="P247" i="17"/>
  <c r="Q246" i="17"/>
  <c r="P246" i="17"/>
  <c r="Q245" i="17"/>
  <c r="P245" i="17"/>
  <c r="Q244" i="17"/>
  <c r="P244" i="17"/>
  <c r="Q243" i="17"/>
  <c r="P243" i="17"/>
  <c r="Q242" i="17"/>
  <c r="P242" i="17"/>
  <c r="Q241" i="17"/>
  <c r="P241" i="17"/>
  <c r="Q240" i="17"/>
  <c r="P240" i="17"/>
  <c r="Q239" i="17"/>
  <c r="P239" i="17"/>
  <c r="Q238" i="17"/>
  <c r="P238" i="17"/>
  <c r="Q237" i="17"/>
  <c r="P237" i="17"/>
  <c r="Q236" i="17"/>
  <c r="Q235" i="17"/>
  <c r="P235" i="17"/>
  <c r="Q234" i="17"/>
  <c r="Q233" i="17"/>
  <c r="P233" i="17"/>
  <c r="Q232" i="17"/>
  <c r="P232" i="17"/>
  <c r="Q231" i="17"/>
  <c r="P231" i="17"/>
  <c r="Q230" i="17"/>
  <c r="P230" i="17"/>
  <c r="Q229" i="17"/>
  <c r="Q228" i="17"/>
  <c r="Q227" i="17"/>
  <c r="P227" i="17"/>
  <c r="Q226" i="17"/>
  <c r="Q225" i="17"/>
  <c r="Q224" i="17"/>
  <c r="Q223" i="17"/>
  <c r="P223" i="17"/>
  <c r="Q222" i="17"/>
  <c r="P222" i="17"/>
  <c r="Q221" i="17"/>
  <c r="P221" i="17"/>
  <c r="Q220" i="17"/>
  <c r="P220" i="17"/>
  <c r="Q219" i="17"/>
  <c r="P219" i="17"/>
  <c r="Q218" i="17"/>
  <c r="P218" i="17"/>
  <c r="Q217" i="17"/>
  <c r="P217" i="17"/>
  <c r="Q216" i="17"/>
  <c r="P216" i="17"/>
  <c r="Q215" i="17"/>
  <c r="P215" i="17"/>
  <c r="Q214" i="17"/>
  <c r="Q213" i="17"/>
  <c r="Q212" i="17"/>
  <c r="P212" i="17"/>
  <c r="Q211" i="17"/>
  <c r="P211" i="17"/>
  <c r="Q210" i="17"/>
  <c r="P210" i="17"/>
  <c r="Q209" i="17"/>
  <c r="P209" i="17"/>
  <c r="Q208" i="17"/>
  <c r="P208" i="17"/>
  <c r="Q207" i="17"/>
  <c r="P207" i="17"/>
  <c r="Q206" i="17"/>
  <c r="P206" i="17"/>
  <c r="Q205" i="17"/>
  <c r="P205" i="17"/>
  <c r="Q204" i="17"/>
  <c r="P204" i="17"/>
  <c r="Q203" i="17"/>
  <c r="P203" i="17"/>
  <c r="Q202" i="17"/>
  <c r="P202" i="17"/>
  <c r="Q201" i="17"/>
  <c r="P201" i="17"/>
  <c r="Q200" i="17"/>
  <c r="P200" i="17"/>
  <c r="Q199" i="17"/>
  <c r="P199" i="17"/>
  <c r="Q198" i="17"/>
  <c r="Q197" i="17"/>
  <c r="Q196" i="17"/>
  <c r="Q195" i="17"/>
  <c r="Q194" i="17"/>
  <c r="Q193" i="17"/>
  <c r="Q192" i="17"/>
  <c r="Q191" i="17"/>
  <c r="Q190" i="17"/>
  <c r="Q189" i="17"/>
  <c r="P189" i="17"/>
  <c r="Q188" i="17"/>
  <c r="P188" i="17"/>
  <c r="Q187" i="17"/>
  <c r="P187" i="17"/>
  <c r="Q186" i="17"/>
  <c r="P186" i="17"/>
  <c r="Q185" i="17"/>
  <c r="P185" i="17"/>
  <c r="Q184" i="17"/>
  <c r="P184" i="17"/>
  <c r="Q183" i="17"/>
  <c r="P183" i="17"/>
  <c r="Q182" i="17"/>
  <c r="P182" i="17"/>
  <c r="Q181" i="17"/>
  <c r="P181" i="17"/>
  <c r="Q180" i="17"/>
  <c r="Q179" i="17"/>
  <c r="Q178" i="17"/>
  <c r="P178" i="17"/>
  <c r="Q177" i="17"/>
  <c r="P177" i="17"/>
  <c r="Q176" i="17"/>
  <c r="P176" i="17"/>
  <c r="Q175" i="17"/>
  <c r="P175" i="17"/>
  <c r="Q174" i="17"/>
  <c r="Q173" i="17"/>
  <c r="Q172" i="17"/>
  <c r="P172" i="17"/>
  <c r="Q171" i="17"/>
  <c r="P171" i="17"/>
  <c r="Q170" i="17"/>
  <c r="P170" i="17"/>
  <c r="Q169" i="17"/>
  <c r="P169" i="17"/>
  <c r="Q168" i="17"/>
  <c r="P168" i="17"/>
  <c r="Q167" i="17"/>
  <c r="P167" i="17"/>
  <c r="Q166" i="17"/>
  <c r="P166" i="17"/>
  <c r="S509" i="18"/>
  <c r="W509" i="18" s="1"/>
  <c r="S508" i="18"/>
  <c r="T508" i="18" s="1"/>
  <c r="U508" i="18" s="1"/>
  <c r="S507" i="18"/>
  <c r="W507" i="18" s="1"/>
  <c r="S506" i="18"/>
  <c r="W506" i="18" s="1"/>
  <c r="S502" i="18"/>
  <c r="S501" i="18"/>
  <c r="W501" i="18" s="1"/>
  <c r="S500" i="18"/>
  <c r="T500" i="18" s="1"/>
  <c r="S499" i="18"/>
  <c r="W499" i="18" s="1"/>
  <c r="S498" i="18"/>
  <c r="W498" i="18" s="1"/>
  <c r="S497" i="18"/>
  <c r="W497" i="18" s="1"/>
  <c r="S496" i="18"/>
  <c r="S495" i="18"/>
  <c r="T495" i="18" s="1"/>
  <c r="S494" i="18"/>
  <c r="S493" i="18"/>
  <c r="W493" i="18" s="1"/>
  <c r="S492" i="18"/>
  <c r="T492" i="18" s="1"/>
  <c r="S491" i="18"/>
  <c r="W491" i="18" s="1"/>
  <c r="S490" i="18"/>
  <c r="W490" i="18" s="1"/>
  <c r="S489" i="18"/>
  <c r="W489" i="18" s="1"/>
  <c r="S488" i="18"/>
  <c r="S487" i="18"/>
  <c r="T487" i="18" s="1"/>
  <c r="S486" i="18"/>
  <c r="S485" i="18"/>
  <c r="W485" i="18" s="1"/>
  <c r="S484" i="18"/>
  <c r="W484" i="18" s="1"/>
  <c r="S483" i="18"/>
  <c r="T483" i="18" s="1"/>
  <c r="S482" i="18"/>
  <c r="T482" i="18" s="1"/>
  <c r="S481" i="18"/>
  <c r="W481" i="18" s="1"/>
  <c r="S480" i="18"/>
  <c r="S479" i="18"/>
  <c r="S478" i="18"/>
  <c r="S477" i="18"/>
  <c r="W477" i="18" s="1"/>
  <c r="S476" i="18"/>
  <c r="T476" i="18" s="1"/>
  <c r="S475" i="18"/>
  <c r="T475" i="18" s="1"/>
  <c r="S474" i="18"/>
  <c r="W474" i="18" s="1"/>
  <c r="Q473" i="18"/>
  <c r="P473" i="18"/>
  <c r="S472" i="18"/>
  <c r="W472" i="18" s="1"/>
  <c r="S471" i="18"/>
  <c r="Q470" i="18"/>
  <c r="P470" i="18"/>
  <c r="S469" i="18"/>
  <c r="S468" i="18"/>
  <c r="Q467" i="18"/>
  <c r="P467" i="18"/>
  <c r="Q466" i="18"/>
  <c r="P466" i="18"/>
  <c r="S465" i="18"/>
  <c r="W465" i="18" s="1"/>
  <c r="S464" i="18"/>
  <c r="T464" i="18" s="1"/>
  <c r="S463" i="18"/>
  <c r="T463" i="18" s="1"/>
  <c r="U463" i="18" s="1"/>
  <c r="S462" i="18"/>
  <c r="T462" i="18" s="1"/>
  <c r="S461" i="18"/>
  <c r="W461" i="18" s="1"/>
  <c r="S460" i="18"/>
  <c r="W460" i="18" s="1"/>
  <c r="S459" i="18"/>
  <c r="Q458" i="18"/>
  <c r="P458" i="18"/>
  <c r="Q457" i="18"/>
  <c r="P457" i="18"/>
  <c r="Q456" i="18"/>
  <c r="P456" i="18"/>
  <c r="Q455" i="18"/>
  <c r="P455" i="18"/>
  <c r="Q454" i="18"/>
  <c r="P454" i="18"/>
  <c r="S453" i="18"/>
  <c r="S452" i="18"/>
  <c r="S451" i="18"/>
  <c r="T451" i="18" s="1"/>
  <c r="U451" i="18" s="1"/>
  <c r="S450" i="18"/>
  <c r="W450" i="18" s="1"/>
  <c r="S449" i="18"/>
  <c r="W449" i="18" s="1"/>
  <c r="S448" i="18"/>
  <c r="W448" i="18" s="1"/>
  <c r="S447" i="18"/>
  <c r="W447" i="18" s="1"/>
  <c r="S446" i="18"/>
  <c r="S445" i="18"/>
  <c r="S444" i="18"/>
  <c r="S443" i="18"/>
  <c r="W443" i="18" s="1"/>
  <c r="S442" i="18"/>
  <c r="W442" i="18" s="1"/>
  <c r="S441" i="18"/>
  <c r="W441" i="18" s="1"/>
  <c r="S440" i="18"/>
  <c r="W440" i="18" s="1"/>
  <c r="S439" i="18"/>
  <c r="S438" i="18"/>
  <c r="S437" i="18"/>
  <c r="S436" i="18"/>
  <c r="W436" i="18" s="1"/>
  <c r="S435" i="18"/>
  <c r="T435" i="18" s="1"/>
  <c r="S434" i="18"/>
  <c r="W434" i="18" s="1"/>
  <c r="S433" i="18"/>
  <c r="T433" i="18" s="1"/>
  <c r="U433" i="18" s="1"/>
  <c r="S432" i="18"/>
  <c r="T432" i="18" s="1"/>
  <c r="U432" i="18" s="1"/>
  <c r="S431" i="18"/>
  <c r="W431" i="18" s="1"/>
  <c r="S430" i="18"/>
  <c r="T430" i="18" s="1"/>
  <c r="S429" i="18"/>
  <c r="W429" i="18" s="1"/>
  <c r="S428" i="18"/>
  <c r="T428" i="18" s="1"/>
  <c r="S427" i="18"/>
  <c r="W427" i="18" s="1"/>
  <c r="S426" i="18"/>
  <c r="W426" i="18" s="1"/>
  <c r="S425" i="18"/>
  <c r="T425" i="18" s="1"/>
  <c r="U425" i="18" s="1"/>
  <c r="S424" i="18"/>
  <c r="S423" i="18"/>
  <c r="S422" i="18"/>
  <c r="W422" i="18" s="1"/>
  <c r="S421" i="18"/>
  <c r="W421" i="18" s="1"/>
  <c r="S420" i="18"/>
  <c r="T420" i="18" s="1"/>
  <c r="S419" i="18"/>
  <c r="W419" i="18" s="1"/>
  <c r="S418" i="18"/>
  <c r="W418" i="18" s="1"/>
  <c r="S417" i="18"/>
  <c r="W417" i="18" s="1"/>
  <c r="S416" i="18"/>
  <c r="S415" i="18"/>
  <c r="S414" i="18"/>
  <c r="T414" i="18" s="1"/>
  <c r="U414" i="18" s="1"/>
  <c r="S413" i="18"/>
  <c r="W413" i="18" s="1"/>
  <c r="S412" i="18"/>
  <c r="T412" i="18" s="1"/>
  <c r="S411" i="18"/>
  <c r="T411" i="18" s="1"/>
  <c r="U411" i="18" s="1"/>
  <c r="S410" i="18"/>
  <c r="W410" i="18" s="1"/>
  <c r="S409" i="18"/>
  <c r="W409" i="18" s="1"/>
  <c r="S408" i="18"/>
  <c r="S407" i="18"/>
  <c r="T407" i="18" s="1"/>
  <c r="S406" i="18"/>
  <c r="W406" i="18" s="1"/>
  <c r="S405" i="18"/>
  <c r="T405" i="18" s="1"/>
  <c r="S404" i="18"/>
  <c r="T404" i="18" s="1"/>
  <c r="U404" i="18" s="1"/>
  <c r="S403" i="18"/>
  <c r="W403" i="18" s="1"/>
  <c r="S402" i="18"/>
  <c r="W402" i="18" s="1"/>
  <c r="S401" i="18"/>
  <c r="W401" i="18" s="1"/>
  <c r="S400" i="18"/>
  <c r="T400" i="18" s="1"/>
  <c r="U400" i="18" s="1"/>
  <c r="S399" i="18"/>
  <c r="W399" i="18" s="1"/>
  <c r="S398" i="18"/>
  <c r="T398" i="18" s="1"/>
  <c r="S397" i="18"/>
  <c r="W397" i="18" s="1"/>
  <c r="S396" i="18"/>
  <c r="T396" i="18" s="1"/>
  <c r="U396" i="18" s="1"/>
  <c r="S395" i="18"/>
  <c r="T395" i="18" s="1"/>
  <c r="S394" i="18"/>
  <c r="W394" i="18" s="1"/>
  <c r="R361" i="17" l="1"/>
  <c r="S361" i="17" s="1"/>
  <c r="W361" i="17" s="1"/>
  <c r="R365" i="17"/>
  <c r="S365" i="17" s="1"/>
  <c r="W365" i="17" s="1"/>
  <c r="P174" i="17"/>
  <c r="R174" i="17" s="1"/>
  <c r="S174" i="17" s="1"/>
  <c r="T174" i="17" s="1"/>
  <c r="Q396" i="18"/>
  <c r="Q408" i="18"/>
  <c r="Q416" i="18"/>
  <c r="R205" i="17"/>
  <c r="S205" i="17" s="1"/>
  <c r="W205" i="17" s="1"/>
  <c r="R209" i="17"/>
  <c r="S209" i="17" s="1"/>
  <c r="W209" i="17" s="1"/>
  <c r="R257" i="17"/>
  <c r="S257" i="17" s="1"/>
  <c r="W257" i="17" s="1"/>
  <c r="R261" i="17"/>
  <c r="S261" i="17" s="1"/>
  <c r="W261" i="17" s="1"/>
  <c r="R359" i="17"/>
  <c r="S359" i="17" s="1"/>
  <c r="W359" i="17" s="1"/>
  <c r="P387" i="17"/>
  <c r="R387" i="17" s="1"/>
  <c r="S387" i="17" s="1"/>
  <c r="W387" i="17" s="1"/>
  <c r="P391" i="17"/>
  <c r="R391" i="17" s="1"/>
  <c r="S391" i="17" s="1"/>
  <c r="W391" i="17" s="1"/>
  <c r="R443" i="17"/>
  <c r="S443" i="17" s="1"/>
  <c r="W443" i="17" s="1"/>
  <c r="R400" i="17"/>
  <c r="S400" i="17" s="1"/>
  <c r="T400" i="17" s="1"/>
  <c r="R404" i="17"/>
  <c r="S404" i="17" s="1"/>
  <c r="W404" i="17" s="1"/>
  <c r="R408" i="17"/>
  <c r="S408" i="17" s="1"/>
  <c r="W408" i="17" s="1"/>
  <c r="P420" i="17"/>
  <c r="R420" i="17" s="1"/>
  <c r="S420" i="17" s="1"/>
  <c r="W420" i="17" s="1"/>
  <c r="R424" i="17"/>
  <c r="S424" i="17" s="1"/>
  <c r="T424" i="17" s="1"/>
  <c r="R432" i="17"/>
  <c r="S432" i="17" s="1"/>
  <c r="W432" i="17" s="1"/>
  <c r="R369" i="17"/>
  <c r="S369" i="17" s="1"/>
  <c r="T369" i="17" s="1"/>
  <c r="R377" i="17"/>
  <c r="S377" i="17" s="1"/>
  <c r="W377" i="17" s="1"/>
  <c r="P381" i="17"/>
  <c r="R381" i="17" s="1"/>
  <c r="S381" i="17" s="1"/>
  <c r="W381" i="17" s="1"/>
  <c r="R385" i="17"/>
  <c r="S385" i="17" s="1"/>
  <c r="T385" i="17" s="1"/>
  <c r="R410" i="17"/>
  <c r="S410" i="17" s="1"/>
  <c r="W410" i="17" s="1"/>
  <c r="R422" i="17"/>
  <c r="S422" i="17" s="1"/>
  <c r="T422" i="17" s="1"/>
  <c r="R426" i="17"/>
  <c r="S426" i="17" s="1"/>
  <c r="W426" i="17" s="1"/>
  <c r="R430" i="17"/>
  <c r="S430" i="17" s="1"/>
  <c r="W430" i="17" s="1"/>
  <c r="R434" i="17"/>
  <c r="S434" i="17" s="1"/>
  <c r="T434" i="17" s="1"/>
  <c r="R438" i="17"/>
  <c r="S438" i="17" s="1"/>
  <c r="W438" i="17" s="1"/>
  <c r="R442" i="17"/>
  <c r="S442" i="17" s="1"/>
  <c r="T442" i="17" s="1"/>
  <c r="R407" i="17"/>
  <c r="S407" i="17" s="1"/>
  <c r="T407" i="17" s="1"/>
  <c r="R431" i="17"/>
  <c r="S431" i="17" s="1"/>
  <c r="T431" i="17" s="1"/>
  <c r="R176" i="17"/>
  <c r="S176" i="17" s="1"/>
  <c r="W176" i="17" s="1"/>
  <c r="R316" i="17"/>
  <c r="S316" i="17" s="1"/>
  <c r="W316" i="17" s="1"/>
  <c r="P475" i="18"/>
  <c r="P477" i="18"/>
  <c r="P509" i="18"/>
  <c r="R409" i="17"/>
  <c r="S409" i="17" s="1"/>
  <c r="W409" i="17" s="1"/>
  <c r="P413" i="17"/>
  <c r="R413" i="17" s="1"/>
  <c r="S413" i="17" s="1"/>
  <c r="T413" i="17" s="1"/>
  <c r="P421" i="17"/>
  <c r="R421" i="17" s="1"/>
  <c r="S421" i="17" s="1"/>
  <c r="W421" i="17" s="1"/>
  <c r="R425" i="17"/>
  <c r="S425" i="17" s="1"/>
  <c r="T425" i="17" s="1"/>
  <c r="R433" i="17"/>
  <c r="S433" i="17" s="1"/>
  <c r="W433" i="17" s="1"/>
  <c r="R437" i="17"/>
  <c r="S437" i="17" s="1"/>
  <c r="W437" i="17" s="1"/>
  <c r="R441" i="17"/>
  <c r="S441" i="17" s="1"/>
  <c r="W441" i="17" s="1"/>
  <c r="R210" i="17"/>
  <c r="S210" i="17" s="1"/>
  <c r="T210" i="17" s="1"/>
  <c r="R218" i="17"/>
  <c r="S218" i="17" s="1"/>
  <c r="T218" i="17" s="1"/>
  <c r="R230" i="17"/>
  <c r="S230" i="17" s="1"/>
  <c r="W230" i="17" s="1"/>
  <c r="P196" i="17"/>
  <c r="R196" i="17" s="1"/>
  <c r="S196" i="17" s="1"/>
  <c r="R212" i="17"/>
  <c r="S212" i="17" s="1"/>
  <c r="T212" i="17" s="1"/>
  <c r="Q423" i="18"/>
  <c r="Q425" i="18"/>
  <c r="Q431" i="18"/>
  <c r="Q447" i="18"/>
  <c r="P444" i="18"/>
  <c r="Q440" i="18"/>
  <c r="Q480" i="18"/>
  <c r="W432" i="18"/>
  <c r="V432" i="18" s="1"/>
  <c r="Q506" i="18"/>
  <c r="Q462" i="18"/>
  <c r="P195" i="17"/>
  <c r="R195" i="17" s="1"/>
  <c r="S195" i="17" s="1"/>
  <c r="T195" i="17" s="1"/>
  <c r="R223" i="17"/>
  <c r="S223" i="17" s="1"/>
  <c r="T223" i="17" s="1"/>
  <c r="R251" i="17"/>
  <c r="S251" i="17" s="1"/>
  <c r="W251" i="17" s="1"/>
  <c r="R259" i="17"/>
  <c r="S259" i="17" s="1"/>
  <c r="W259" i="17" s="1"/>
  <c r="R327" i="17"/>
  <c r="S327" i="17" s="1"/>
  <c r="W327" i="17" s="1"/>
  <c r="R342" i="17"/>
  <c r="S342" i="17" s="1"/>
  <c r="T342" i="17" s="1"/>
  <c r="R346" i="17"/>
  <c r="S346" i="17" s="1"/>
  <c r="W346" i="17" s="1"/>
  <c r="R350" i="17"/>
  <c r="S350" i="17" s="1"/>
  <c r="T350" i="17" s="1"/>
  <c r="R354" i="17"/>
  <c r="S354" i="17" s="1"/>
  <c r="W354" i="17" s="1"/>
  <c r="R355" i="17"/>
  <c r="S355" i="17" s="1"/>
  <c r="T355" i="17" s="1"/>
  <c r="R324" i="17"/>
  <c r="S324" i="17" s="1"/>
  <c r="W324" i="17" s="1"/>
  <c r="P368" i="17"/>
  <c r="R368" i="17" s="1"/>
  <c r="S368" i="17" s="1"/>
  <c r="T368" i="17" s="1"/>
  <c r="R221" i="17"/>
  <c r="S221" i="17" s="1"/>
  <c r="T221" i="17" s="1"/>
  <c r="R178" i="17"/>
  <c r="S178" i="17" s="1"/>
  <c r="W178" i="17" s="1"/>
  <c r="P190" i="17"/>
  <c r="R190" i="17" s="1"/>
  <c r="S190" i="17" s="1"/>
  <c r="P194" i="17"/>
  <c r="R194" i="17" s="1"/>
  <c r="S194" i="17" s="1"/>
  <c r="R326" i="17"/>
  <c r="S326" i="17" s="1"/>
  <c r="W326" i="17" s="1"/>
  <c r="P330" i="17"/>
  <c r="R330" i="17" s="1"/>
  <c r="S330" i="17" s="1"/>
  <c r="W330" i="17" s="1"/>
  <c r="R334" i="17"/>
  <c r="S334" i="17" s="1"/>
  <c r="W334" i="17" s="1"/>
  <c r="R166" i="17"/>
  <c r="S166" i="17" s="1"/>
  <c r="W166" i="17" s="1"/>
  <c r="R170" i="17"/>
  <c r="S170" i="17" s="1"/>
  <c r="W170" i="17" s="1"/>
  <c r="R177" i="17"/>
  <c r="S177" i="17" s="1"/>
  <c r="W177" i="17" s="1"/>
  <c r="P192" i="17"/>
  <c r="R192" i="17" s="1"/>
  <c r="S192" i="17" s="1"/>
  <c r="W192" i="17" s="1"/>
  <c r="R199" i="17"/>
  <c r="S199" i="17" s="1"/>
  <c r="W199" i="17" s="1"/>
  <c r="R203" i="17"/>
  <c r="S203" i="17" s="1"/>
  <c r="T203" i="17" s="1"/>
  <c r="R207" i="17"/>
  <c r="S207" i="17" s="1"/>
  <c r="W207" i="17" s="1"/>
  <c r="R215" i="17"/>
  <c r="S215" i="17" s="1"/>
  <c r="T215" i="17" s="1"/>
  <c r="R242" i="17"/>
  <c r="S242" i="17" s="1"/>
  <c r="T242" i="17" s="1"/>
  <c r="R250" i="17"/>
  <c r="S250" i="17" s="1"/>
  <c r="W250" i="17" s="1"/>
  <c r="R258" i="17"/>
  <c r="S258" i="17" s="1"/>
  <c r="W258" i="17" s="1"/>
  <c r="R314" i="17"/>
  <c r="S314" i="17" s="1"/>
  <c r="T314" i="17" s="1"/>
  <c r="R318" i="17"/>
  <c r="S318" i="17" s="1"/>
  <c r="T318" i="17" s="1"/>
  <c r="R333" i="17"/>
  <c r="S333" i="17" s="1"/>
  <c r="W333" i="17" s="1"/>
  <c r="R341" i="17"/>
  <c r="S341" i="17" s="1"/>
  <c r="W341" i="17" s="1"/>
  <c r="R349" i="17"/>
  <c r="S349" i="17" s="1"/>
  <c r="W349" i="17" s="1"/>
  <c r="R353" i="17"/>
  <c r="S353" i="17" s="1"/>
  <c r="W353" i="17" s="1"/>
  <c r="R357" i="17"/>
  <c r="S357" i="17" s="1"/>
  <c r="W357" i="17" s="1"/>
  <c r="R380" i="17"/>
  <c r="S380" i="17" s="1"/>
  <c r="W380" i="17" s="1"/>
  <c r="R384" i="17"/>
  <c r="S384" i="17" s="1"/>
  <c r="W384" i="17" s="1"/>
  <c r="R402" i="17"/>
  <c r="S402" i="17" s="1"/>
  <c r="W402" i="17" s="1"/>
  <c r="R405" i="17"/>
  <c r="S405" i="17" s="1"/>
  <c r="W405" i="17" s="1"/>
  <c r="R216" i="17"/>
  <c r="S216" i="17" s="1"/>
  <c r="T216" i="17" s="1"/>
  <c r="R220" i="17"/>
  <c r="S220" i="17" s="1"/>
  <c r="W220" i="17" s="1"/>
  <c r="R319" i="17"/>
  <c r="S319" i="17" s="1"/>
  <c r="W319" i="17" s="1"/>
  <c r="R175" i="17"/>
  <c r="S175" i="17" s="1"/>
  <c r="W175" i="17" s="1"/>
  <c r="R182" i="17"/>
  <c r="S182" i="17" s="1"/>
  <c r="W182" i="17" s="1"/>
  <c r="R235" i="17"/>
  <c r="S235" i="17" s="1"/>
  <c r="T235" i="17" s="1"/>
  <c r="R423" i="17"/>
  <c r="S423" i="17" s="1"/>
  <c r="W423" i="17" s="1"/>
  <c r="R427" i="17"/>
  <c r="S427" i="17" s="1"/>
  <c r="W427" i="17" s="1"/>
  <c r="P213" i="17"/>
  <c r="R213" i="17" s="1"/>
  <c r="S213" i="17" s="1"/>
  <c r="T213" i="17" s="1"/>
  <c r="R217" i="17"/>
  <c r="S217" i="17" s="1"/>
  <c r="T217" i="17" s="1"/>
  <c r="P264" i="17"/>
  <c r="R264" i="17" s="1"/>
  <c r="S264" i="17" s="1"/>
  <c r="W264" i="17" s="1"/>
  <c r="R268" i="17"/>
  <c r="S268" i="17" s="1"/>
  <c r="W268" i="17" s="1"/>
  <c r="R272" i="17"/>
  <c r="S272" i="17" s="1"/>
  <c r="W272" i="17" s="1"/>
  <c r="R276" i="17"/>
  <c r="S276" i="17" s="1"/>
  <c r="W276" i="17" s="1"/>
  <c r="R280" i="17"/>
  <c r="S280" i="17" s="1"/>
  <c r="T280" i="17" s="1"/>
  <c r="R284" i="17"/>
  <c r="S284" i="17" s="1"/>
  <c r="T284" i="17" s="1"/>
  <c r="R288" i="17"/>
  <c r="S288" i="17" s="1"/>
  <c r="T288" i="17" s="1"/>
  <c r="R292" i="17"/>
  <c r="S292" i="17" s="1"/>
  <c r="W292" i="17" s="1"/>
  <c r="R296" i="17"/>
  <c r="S296" i="17" s="1"/>
  <c r="W296" i="17" s="1"/>
  <c r="R300" i="17"/>
  <c r="S300" i="17" s="1"/>
  <c r="T300" i="17" s="1"/>
  <c r="R304" i="17"/>
  <c r="S304" i="17" s="1"/>
  <c r="W304" i="17" s="1"/>
  <c r="R312" i="17"/>
  <c r="S312" i="17" s="1"/>
  <c r="T312" i="17" s="1"/>
  <c r="R320" i="17"/>
  <c r="S320" i="17" s="1"/>
  <c r="W320" i="17" s="1"/>
  <c r="R370" i="17"/>
  <c r="S370" i="17" s="1"/>
  <c r="T370" i="17" s="1"/>
  <c r="P386" i="17"/>
  <c r="R386" i="17" s="1"/>
  <c r="S386" i="17" s="1"/>
  <c r="R169" i="17"/>
  <c r="S169" i="17" s="1"/>
  <c r="W169" i="17" s="1"/>
  <c r="P180" i="17"/>
  <c r="R180" i="17" s="1"/>
  <c r="S180" i="17" s="1"/>
  <c r="W180" i="17" s="1"/>
  <c r="P198" i="17"/>
  <c r="R198" i="17" s="1"/>
  <c r="S198" i="17" s="1"/>
  <c r="W198" i="17" s="1"/>
  <c r="R202" i="17"/>
  <c r="S202" i="17" s="1"/>
  <c r="W202" i="17" s="1"/>
  <c r="R206" i="17"/>
  <c r="S206" i="17" s="1"/>
  <c r="T206" i="17" s="1"/>
  <c r="U206" i="17" s="1"/>
  <c r="P214" i="17"/>
  <c r="R214" i="17" s="1"/>
  <c r="S214" i="17" s="1"/>
  <c r="T214" i="17" s="1"/>
  <c r="R237" i="17"/>
  <c r="S237" i="17" s="1"/>
  <c r="W237" i="17" s="1"/>
  <c r="R245" i="17"/>
  <c r="S245" i="17" s="1"/>
  <c r="W245" i="17" s="1"/>
  <c r="P265" i="17"/>
  <c r="R265" i="17" s="1"/>
  <c r="S265" i="17" s="1"/>
  <c r="T265" i="17" s="1"/>
  <c r="R269" i="17"/>
  <c r="S269" i="17" s="1"/>
  <c r="W269" i="17" s="1"/>
  <c r="R273" i="17"/>
  <c r="S273" i="17" s="1"/>
  <c r="W273" i="17" s="1"/>
  <c r="R277" i="17"/>
  <c r="S277" i="17" s="1"/>
  <c r="W277" i="17" s="1"/>
  <c r="R281" i="17"/>
  <c r="S281" i="17" s="1"/>
  <c r="W281" i="17" s="1"/>
  <c r="R285" i="17"/>
  <c r="S285" i="17" s="1"/>
  <c r="W285" i="17" s="1"/>
  <c r="R289" i="17"/>
  <c r="S289" i="17" s="1"/>
  <c r="W289" i="17" s="1"/>
  <c r="R293" i="17"/>
  <c r="S293" i="17" s="1"/>
  <c r="W293" i="17" s="1"/>
  <c r="R297" i="17"/>
  <c r="S297" i="17" s="1"/>
  <c r="T297" i="17" s="1"/>
  <c r="R301" i="17"/>
  <c r="S301" i="17" s="1"/>
  <c r="W301" i="17" s="1"/>
  <c r="R305" i="17"/>
  <c r="S305" i="17" s="1"/>
  <c r="W305" i="17" s="1"/>
  <c r="R309" i="17"/>
  <c r="S309" i="17" s="1"/>
  <c r="W309" i="17" s="1"/>
  <c r="R317" i="17"/>
  <c r="S317" i="17" s="1"/>
  <c r="T317" i="17" s="1"/>
  <c r="P336" i="17"/>
  <c r="R336" i="17" s="1"/>
  <c r="S336" i="17" s="1"/>
  <c r="W336" i="17" s="1"/>
  <c r="R344" i="17"/>
  <c r="S344" i="17" s="1"/>
  <c r="W344" i="17" s="1"/>
  <c r="R352" i="17"/>
  <c r="S352" i="17" s="1"/>
  <c r="T352" i="17" s="1"/>
  <c r="U352" i="17" s="1"/>
  <c r="R401" i="17"/>
  <c r="S401" i="17" s="1"/>
  <c r="W401" i="17" s="1"/>
  <c r="R412" i="17"/>
  <c r="S412" i="17" s="1"/>
  <c r="W412" i="17" s="1"/>
  <c r="Q397" i="18"/>
  <c r="Q399" i="18"/>
  <c r="Q418" i="18"/>
  <c r="Q424" i="18"/>
  <c r="Q471" i="18"/>
  <c r="Q481" i="18"/>
  <c r="T490" i="18"/>
  <c r="V490" i="18" s="1"/>
  <c r="W395" i="18"/>
  <c r="V395" i="18" s="1"/>
  <c r="P450" i="18"/>
  <c r="Q491" i="18"/>
  <c r="Q394" i="18"/>
  <c r="P398" i="18"/>
  <c r="T399" i="18"/>
  <c r="U399" i="18" s="1"/>
  <c r="Q407" i="18"/>
  <c r="Q411" i="18"/>
  <c r="Q446" i="18"/>
  <c r="Q448" i="18"/>
  <c r="W405" i="18"/>
  <c r="V405" i="18" s="1"/>
  <c r="R455" i="18"/>
  <c r="S455" i="18" s="1"/>
  <c r="W455" i="18" s="1"/>
  <c r="P462" i="18"/>
  <c r="R462" i="18" s="1"/>
  <c r="W463" i="18"/>
  <c r="V463" i="18" s="1"/>
  <c r="Q402" i="18"/>
  <c r="Q443" i="18"/>
  <c r="P410" i="18"/>
  <c r="T413" i="18"/>
  <c r="V413" i="18" s="1"/>
  <c r="Q415" i="18"/>
  <c r="T422" i="18"/>
  <c r="U422" i="18" s="1"/>
  <c r="P433" i="18"/>
  <c r="T442" i="18"/>
  <c r="U442" i="18" s="1"/>
  <c r="R466" i="18"/>
  <c r="S466" i="18" s="1"/>
  <c r="W466" i="18" s="1"/>
  <c r="Q482" i="18"/>
  <c r="Q486" i="18"/>
  <c r="P490" i="18"/>
  <c r="Q401" i="18"/>
  <c r="Q403" i="18"/>
  <c r="Q417" i="18"/>
  <c r="Q419" i="18"/>
  <c r="Q439" i="18"/>
  <c r="W462" i="18"/>
  <c r="V462" i="18" s="1"/>
  <c r="T472" i="18"/>
  <c r="U472" i="18" s="1"/>
  <c r="Q488" i="18"/>
  <c r="P451" i="18"/>
  <c r="T461" i="18"/>
  <c r="U461" i="18" s="1"/>
  <c r="Q469" i="18"/>
  <c r="P485" i="18"/>
  <c r="Q496" i="18"/>
  <c r="P422" i="18"/>
  <c r="W428" i="18"/>
  <c r="V428" i="18" s="1"/>
  <c r="P438" i="18"/>
  <c r="P465" i="18"/>
  <c r="P431" i="18"/>
  <c r="T499" i="18"/>
  <c r="V499" i="18" s="1"/>
  <c r="P406" i="18"/>
  <c r="W414" i="18"/>
  <c r="V414" i="18" s="1"/>
  <c r="W425" i="18"/>
  <c r="V425" i="18" s="1"/>
  <c r="T460" i="18"/>
  <c r="U460" i="18" s="1"/>
  <c r="R470" i="18"/>
  <c r="S470" i="18" s="1"/>
  <c r="T470" i="18" s="1"/>
  <c r="Q472" i="18"/>
  <c r="P478" i="18"/>
  <c r="W483" i="18"/>
  <c r="V483" i="18" s="1"/>
  <c r="P173" i="17"/>
  <c r="R173" i="17" s="1"/>
  <c r="S173" i="17" s="1"/>
  <c r="R168" i="17"/>
  <c r="S168" i="17" s="1"/>
  <c r="W168" i="17" s="1"/>
  <c r="R172" i="17"/>
  <c r="S172" i="17" s="1"/>
  <c r="W172" i="17" s="1"/>
  <c r="R184" i="17"/>
  <c r="S184" i="17" s="1"/>
  <c r="W184" i="17" s="1"/>
  <c r="R188" i="17"/>
  <c r="S188" i="17" s="1"/>
  <c r="W188" i="17" s="1"/>
  <c r="R201" i="17"/>
  <c r="S201" i="17" s="1"/>
  <c r="W201" i="17" s="1"/>
  <c r="R219" i="17"/>
  <c r="S219" i="17" s="1"/>
  <c r="T219" i="17" s="1"/>
  <c r="R222" i="17"/>
  <c r="S222" i="17" s="1"/>
  <c r="T222" i="17" s="1"/>
  <c r="R241" i="17"/>
  <c r="S241" i="17" s="1"/>
  <c r="W241" i="17" s="1"/>
  <c r="R249" i="17"/>
  <c r="S249" i="17" s="1"/>
  <c r="W249" i="17" s="1"/>
  <c r="R253" i="17"/>
  <c r="S253" i="17" s="1"/>
  <c r="W253" i="17" s="1"/>
  <c r="R322" i="17"/>
  <c r="S322" i="17" s="1"/>
  <c r="W322" i="17" s="1"/>
  <c r="P329" i="17"/>
  <c r="R329" i="17" s="1"/>
  <c r="S329" i="17" s="1"/>
  <c r="R348" i="17"/>
  <c r="S348" i="17" s="1"/>
  <c r="W348" i="17" s="1"/>
  <c r="R356" i="17"/>
  <c r="S356" i="17" s="1"/>
  <c r="W356" i="17" s="1"/>
  <c r="R360" i="17"/>
  <c r="S360" i="17" s="1"/>
  <c r="W360" i="17" s="1"/>
  <c r="R363" i="17"/>
  <c r="S363" i="17" s="1"/>
  <c r="T363" i="17" s="1"/>
  <c r="P367" i="17"/>
  <c r="R367" i="17" s="1"/>
  <c r="S367" i="17" s="1"/>
  <c r="T367" i="17" s="1"/>
  <c r="R398" i="17"/>
  <c r="S398" i="17" s="1"/>
  <c r="W398" i="17" s="1"/>
  <c r="R419" i="17"/>
  <c r="S419" i="17" s="1"/>
  <c r="W419" i="17" s="1"/>
  <c r="R429" i="17"/>
  <c r="S429" i="17" s="1"/>
  <c r="T429" i="17" s="1"/>
  <c r="R181" i="17"/>
  <c r="S181" i="17" s="1"/>
  <c r="W181" i="17" s="1"/>
  <c r="R227" i="17"/>
  <c r="S227" i="17" s="1"/>
  <c r="T227" i="17" s="1"/>
  <c r="R345" i="17"/>
  <c r="S345" i="17" s="1"/>
  <c r="W345" i="17" s="1"/>
  <c r="R186" i="17"/>
  <c r="S186" i="17" s="1"/>
  <c r="T186" i="17" s="1"/>
  <c r="R243" i="17"/>
  <c r="S243" i="17" s="1"/>
  <c r="W243" i="17" s="1"/>
  <c r="R313" i="17"/>
  <c r="S313" i="17" s="1"/>
  <c r="T313" i="17" s="1"/>
  <c r="R338" i="17"/>
  <c r="S338" i="17" s="1"/>
  <c r="T338" i="17" s="1"/>
  <c r="R374" i="17"/>
  <c r="S374" i="17" s="1"/>
  <c r="W374" i="17" s="1"/>
  <c r="R378" i="17"/>
  <c r="S378" i="17" s="1"/>
  <c r="W378" i="17" s="1"/>
  <c r="R399" i="17"/>
  <c r="S399" i="17" s="1"/>
  <c r="T399" i="17" s="1"/>
  <c r="R403" i="17"/>
  <c r="S403" i="17" s="1"/>
  <c r="W403" i="17" s="1"/>
  <c r="R406" i="17"/>
  <c r="S406" i="17" s="1"/>
  <c r="W406" i="17" s="1"/>
  <c r="R211" i="17"/>
  <c r="S211" i="17" s="1"/>
  <c r="T211" i="17" s="1"/>
  <c r="R232" i="17"/>
  <c r="S232" i="17" s="1"/>
  <c r="W232" i="17" s="1"/>
  <c r="R244" i="17"/>
  <c r="S244" i="17" s="1"/>
  <c r="W244" i="17" s="1"/>
  <c r="R311" i="17"/>
  <c r="S311" i="17" s="1"/>
  <c r="T311" i="17" s="1"/>
  <c r="R343" i="17"/>
  <c r="S343" i="17" s="1"/>
  <c r="W343" i="17" s="1"/>
  <c r="R351" i="17"/>
  <c r="S351" i="17" s="1"/>
  <c r="W351" i="17" s="1"/>
  <c r="R383" i="17"/>
  <c r="S383" i="17" s="1"/>
  <c r="T383" i="17" s="1"/>
  <c r="P394" i="17"/>
  <c r="R394" i="17" s="1"/>
  <c r="S394" i="17" s="1"/>
  <c r="W394" i="17" s="1"/>
  <c r="P397" i="17"/>
  <c r="R397" i="17" s="1"/>
  <c r="S397" i="17" s="1"/>
  <c r="T397" i="17" s="1"/>
  <c r="R167" i="17"/>
  <c r="S167" i="17" s="1"/>
  <c r="W167" i="17" s="1"/>
  <c r="R171" i="17"/>
  <c r="S171" i="17" s="1"/>
  <c r="W171" i="17" s="1"/>
  <c r="R200" i="17"/>
  <c r="S200" i="17" s="1"/>
  <c r="W200" i="17" s="1"/>
  <c r="R208" i="17"/>
  <c r="S208" i="17" s="1"/>
  <c r="W208" i="17" s="1"/>
  <c r="R252" i="17"/>
  <c r="S252" i="17" s="1"/>
  <c r="T252" i="17" s="1"/>
  <c r="R260" i="17"/>
  <c r="S260" i="17" s="1"/>
  <c r="T260" i="17" s="1"/>
  <c r="R315" i="17"/>
  <c r="S315" i="17" s="1"/>
  <c r="T315" i="17" s="1"/>
  <c r="R332" i="17"/>
  <c r="S332" i="17" s="1"/>
  <c r="W332" i="17" s="1"/>
  <c r="P366" i="17"/>
  <c r="R366" i="17" s="1"/>
  <c r="S366" i="17" s="1"/>
  <c r="T366" i="17" s="1"/>
  <c r="P372" i="17"/>
  <c r="R372" i="17" s="1"/>
  <c r="S372" i="17" s="1"/>
  <c r="W372" i="17" s="1"/>
  <c r="R411" i="17"/>
  <c r="S411" i="17" s="1"/>
  <c r="W411" i="17" s="1"/>
  <c r="R428" i="17"/>
  <c r="S428" i="17" s="1"/>
  <c r="W428" i="17" s="1"/>
  <c r="R435" i="17"/>
  <c r="S435" i="17" s="1"/>
  <c r="W435" i="17" s="1"/>
  <c r="P439" i="17"/>
  <c r="R439" i="17" s="1"/>
  <c r="S439" i="17" s="1"/>
  <c r="W439" i="17" s="1"/>
  <c r="P483" i="18"/>
  <c r="Q404" i="18"/>
  <c r="P394" i="18"/>
  <c r="Q414" i="18"/>
  <c r="P437" i="18"/>
  <c r="Q474" i="18"/>
  <c r="W475" i="18"/>
  <c r="V475" i="18" s="1"/>
  <c r="W482" i="18"/>
  <c r="V482" i="18" s="1"/>
  <c r="Q489" i="18"/>
  <c r="Q492" i="18"/>
  <c r="Q499" i="18"/>
  <c r="P480" i="18"/>
  <c r="T401" i="18"/>
  <c r="Q405" i="18"/>
  <c r="Q413" i="18"/>
  <c r="P418" i="18"/>
  <c r="Q426" i="18"/>
  <c r="T429" i="18"/>
  <c r="V429" i="18" s="1"/>
  <c r="W435" i="18"/>
  <c r="V435" i="18" s="1"/>
  <c r="Q441" i="18"/>
  <c r="P443" i="18"/>
  <c r="T447" i="18"/>
  <c r="U447" i="18" s="1"/>
  <c r="Q461" i="18"/>
  <c r="W464" i="18"/>
  <c r="V464" i="18" s="1"/>
  <c r="T474" i="18"/>
  <c r="V474" i="18" s="1"/>
  <c r="P488" i="18"/>
  <c r="Q503" i="18"/>
  <c r="T397" i="18"/>
  <c r="U397" i="18" s="1"/>
  <c r="W400" i="18"/>
  <c r="V400" i="18" s="1"/>
  <c r="P402" i="18"/>
  <c r="P407" i="18"/>
  <c r="Q410" i="18"/>
  <c r="W411" i="18"/>
  <c r="V411" i="18" s="1"/>
  <c r="P415" i="18"/>
  <c r="Q420" i="18"/>
  <c r="P432" i="18"/>
  <c r="Q433" i="18"/>
  <c r="T434" i="18"/>
  <c r="V434" i="18" s="1"/>
  <c r="Q445" i="18"/>
  <c r="P447" i="18"/>
  <c r="T449" i="18"/>
  <c r="V449" i="18" s="1"/>
  <c r="Q453" i="18"/>
  <c r="Q460" i="18"/>
  <c r="P472" i="18"/>
  <c r="T484" i="18"/>
  <c r="U484" i="18" s="1"/>
  <c r="Q490" i="18"/>
  <c r="P500" i="18"/>
  <c r="P401" i="18"/>
  <c r="P487" i="18"/>
  <c r="Q495" i="18"/>
  <c r="P497" i="18"/>
  <c r="P504" i="18"/>
  <c r="W396" i="18"/>
  <c r="V396" i="18" s="1"/>
  <c r="Q427" i="18"/>
  <c r="T443" i="18"/>
  <c r="U443" i="18" s="1"/>
  <c r="W451" i="18"/>
  <c r="V451" i="18" s="1"/>
  <c r="P459" i="18"/>
  <c r="P474" i="18"/>
  <c r="Q477" i="18"/>
  <c r="Q479" i="18"/>
  <c r="Q485" i="18"/>
  <c r="T491" i="18"/>
  <c r="V491" i="18" s="1"/>
  <c r="Q504" i="18"/>
  <c r="Q509" i="18"/>
  <c r="P481" i="18"/>
  <c r="Q409" i="18"/>
  <c r="P409" i="18"/>
  <c r="P461" i="18"/>
  <c r="U464" i="18"/>
  <c r="P469" i="18"/>
  <c r="P503" i="18"/>
  <c r="P425" i="18"/>
  <c r="P471" i="18"/>
  <c r="U405" i="18"/>
  <c r="T406" i="18"/>
  <c r="V406" i="18" s="1"/>
  <c r="T417" i="18"/>
  <c r="T427" i="18"/>
  <c r="U427" i="18" s="1"/>
  <c r="T440" i="18"/>
  <c r="U440" i="18" s="1"/>
  <c r="T441" i="18"/>
  <c r="U441" i="18" s="1"/>
  <c r="T477" i="18"/>
  <c r="U477" i="18" s="1"/>
  <c r="T485" i="18"/>
  <c r="T489" i="18"/>
  <c r="U489" i="18" s="1"/>
  <c r="T498" i="18"/>
  <c r="U498" i="18" s="1"/>
  <c r="W508" i="18"/>
  <c r="V508" i="18" s="1"/>
  <c r="P395" i="18"/>
  <c r="P399" i="18"/>
  <c r="Q400" i="18"/>
  <c r="W412" i="18"/>
  <c r="V412" i="18" s="1"/>
  <c r="T421" i="18"/>
  <c r="V421" i="18" s="1"/>
  <c r="P423" i="18"/>
  <c r="Q429" i="18"/>
  <c r="W430" i="18"/>
  <c r="V430" i="18" s="1"/>
  <c r="T436" i="18"/>
  <c r="V436" i="18" s="1"/>
  <c r="Q438" i="18"/>
  <c r="Q449" i="18"/>
  <c r="R458" i="18"/>
  <c r="S458" i="18" s="1"/>
  <c r="T458" i="18" s="1"/>
  <c r="Q465" i="18"/>
  <c r="W476" i="18"/>
  <c r="V476" i="18" s="1"/>
  <c r="T481" i="18"/>
  <c r="Q487" i="18"/>
  <c r="P492" i="18"/>
  <c r="T497" i="18"/>
  <c r="V497" i="18" s="1"/>
  <c r="T507" i="18"/>
  <c r="V507" i="18" s="1"/>
  <c r="P479" i="18"/>
  <c r="W398" i="18"/>
  <c r="V398" i="18" s="1"/>
  <c r="P440" i="18"/>
  <c r="P446" i="18"/>
  <c r="P491" i="18"/>
  <c r="T506" i="18"/>
  <c r="V506" i="18" s="1"/>
  <c r="W420" i="18"/>
  <c r="V420" i="18" s="1"/>
  <c r="Q428" i="18"/>
  <c r="Q432" i="18"/>
  <c r="Q444" i="18"/>
  <c r="T450" i="18"/>
  <c r="U450" i="18" s="1"/>
  <c r="R456" i="18"/>
  <c r="S456" i="18" s="1"/>
  <c r="W456" i="18" s="1"/>
  <c r="R473" i="18"/>
  <c r="S473" i="18" s="1"/>
  <c r="W473" i="18" s="1"/>
  <c r="Q478" i="18"/>
  <c r="T493" i="18"/>
  <c r="U493" i="18" s="1"/>
  <c r="T501" i="18"/>
  <c r="P403" i="18"/>
  <c r="Q398" i="18"/>
  <c r="T402" i="18"/>
  <c r="U402" i="18" s="1"/>
  <c r="T409" i="18"/>
  <c r="T419" i="18"/>
  <c r="U419" i="18" s="1"/>
  <c r="P430" i="18"/>
  <c r="P436" i="18"/>
  <c r="T448" i="18"/>
  <c r="U448" i="18" s="1"/>
  <c r="P452" i="18"/>
  <c r="R454" i="18"/>
  <c r="S454" i="18" s="1"/>
  <c r="T454" i="18" s="1"/>
  <c r="T465" i="18"/>
  <c r="U465" i="18" s="1"/>
  <c r="R467" i="18"/>
  <c r="S467" i="18" s="1"/>
  <c r="W467" i="18" s="1"/>
  <c r="W492" i="18"/>
  <c r="V492" i="18" s="1"/>
  <c r="Q498" i="18"/>
  <c r="W500" i="18"/>
  <c r="V500" i="18" s="1"/>
  <c r="Q412" i="18"/>
  <c r="Q421" i="18"/>
  <c r="P426" i="18"/>
  <c r="P439" i="18"/>
  <c r="Q452" i="18"/>
  <c r="R457" i="18"/>
  <c r="S457" i="18" s="1"/>
  <c r="W457" i="18" s="1"/>
  <c r="Q459" i="18"/>
  <c r="Q476" i="18"/>
  <c r="Q483" i="18"/>
  <c r="Q494" i="18"/>
  <c r="P496" i="18"/>
  <c r="Q497" i="18"/>
  <c r="Q502" i="18"/>
  <c r="Q505" i="18"/>
  <c r="Q507" i="18"/>
  <c r="P179" i="17"/>
  <c r="R179" i="17" s="1"/>
  <c r="S179" i="17" s="1"/>
  <c r="W179" i="17" s="1"/>
  <c r="R183" i="17"/>
  <c r="S183" i="17" s="1"/>
  <c r="W183" i="17" s="1"/>
  <c r="P236" i="17"/>
  <c r="R236" i="17" s="1"/>
  <c r="S236" i="17" s="1"/>
  <c r="W236" i="17" s="1"/>
  <c r="R239" i="17"/>
  <c r="S239" i="17" s="1"/>
  <c r="W239" i="17" s="1"/>
  <c r="R246" i="17"/>
  <c r="S246" i="17" s="1"/>
  <c r="T246" i="17" s="1"/>
  <c r="R347" i="17"/>
  <c r="S347" i="17" s="1"/>
  <c r="W347" i="17" s="1"/>
  <c r="R362" i="17"/>
  <c r="S362" i="17" s="1"/>
  <c r="W362" i="17" s="1"/>
  <c r="P392" i="17"/>
  <c r="R308" i="17"/>
  <c r="S308" i="17" s="1"/>
  <c r="W308" i="17" s="1"/>
  <c r="R323" i="17"/>
  <c r="S323" i="17" s="1"/>
  <c r="W323" i="17" s="1"/>
  <c r="P335" i="17"/>
  <c r="R335" i="17" s="1"/>
  <c r="S335" i="17" s="1"/>
  <c r="W335" i="17" s="1"/>
  <c r="R390" i="17"/>
  <c r="S390" i="17" s="1"/>
  <c r="T390" i="17" s="1"/>
  <c r="Q392" i="17"/>
  <c r="R187" i="17"/>
  <c r="S187" i="17" s="1"/>
  <c r="W187" i="17" s="1"/>
  <c r="P193" i="17"/>
  <c r="R193" i="17" s="1"/>
  <c r="S193" i="17" s="1"/>
  <c r="W193" i="17" s="1"/>
  <c r="P224" i="17"/>
  <c r="R224" i="17" s="1"/>
  <c r="S224" i="17" s="1"/>
  <c r="W224" i="17" s="1"/>
  <c r="R240" i="17"/>
  <c r="S240" i="17" s="1"/>
  <c r="T240" i="17" s="1"/>
  <c r="R247" i="17"/>
  <c r="S247" i="17" s="1"/>
  <c r="W247" i="17" s="1"/>
  <c r="R254" i="17"/>
  <c r="S254" i="17" s="1"/>
  <c r="W254" i="17" s="1"/>
  <c r="R339" i="17"/>
  <c r="S339" i="17" s="1"/>
  <c r="W339" i="17" s="1"/>
  <c r="P393" i="17"/>
  <c r="R393" i="17" s="1"/>
  <c r="S393" i="17" s="1"/>
  <c r="T393" i="17" s="1"/>
  <c r="P396" i="17"/>
  <c r="R396" i="17" s="1"/>
  <c r="S396" i="17" s="1"/>
  <c r="W396" i="17" s="1"/>
  <c r="R185" i="17"/>
  <c r="S185" i="17" s="1"/>
  <c r="W185" i="17" s="1"/>
  <c r="P191" i="17"/>
  <c r="R191" i="17" s="1"/>
  <c r="S191" i="17" s="1"/>
  <c r="T191" i="17" s="1"/>
  <c r="R248" i="17"/>
  <c r="S248" i="17" s="1"/>
  <c r="W248" i="17" s="1"/>
  <c r="R255" i="17"/>
  <c r="S255" i="17" s="1"/>
  <c r="W255" i="17" s="1"/>
  <c r="R262" i="17"/>
  <c r="S262" i="17" s="1"/>
  <c r="W262" i="17" s="1"/>
  <c r="R321" i="17"/>
  <c r="S321" i="17" s="1"/>
  <c r="W321" i="17" s="1"/>
  <c r="R340" i="17"/>
  <c r="S340" i="17" s="1"/>
  <c r="W340" i="17" s="1"/>
  <c r="R358" i="17"/>
  <c r="S358" i="17" s="1"/>
  <c r="W358" i="17" s="1"/>
  <c r="R364" i="17"/>
  <c r="S364" i="17" s="1"/>
  <c r="T364" i="17" s="1"/>
  <c r="P373" i="17"/>
  <c r="R373" i="17" s="1"/>
  <c r="S373" i="17" s="1"/>
  <c r="T373" i="17" s="1"/>
  <c r="P388" i="17"/>
  <c r="R388" i="17" s="1"/>
  <c r="S388" i="17" s="1"/>
  <c r="W388" i="17" s="1"/>
  <c r="P436" i="17"/>
  <c r="R436" i="17" s="1"/>
  <c r="S436" i="17" s="1"/>
  <c r="W436" i="17" s="1"/>
  <c r="R440" i="17"/>
  <c r="S440" i="17" s="1"/>
  <c r="W440" i="17" s="1"/>
  <c r="R189" i="17"/>
  <c r="S189" i="17" s="1"/>
  <c r="W189" i="17" s="1"/>
  <c r="P197" i="17"/>
  <c r="R197" i="17" s="1"/>
  <c r="S197" i="17" s="1"/>
  <c r="T197" i="17" s="1"/>
  <c r="R204" i="17"/>
  <c r="S204" i="17" s="1"/>
  <c r="W204" i="17" s="1"/>
  <c r="R231" i="17"/>
  <c r="S231" i="17" s="1"/>
  <c r="T231" i="17" s="1"/>
  <c r="R238" i="17"/>
  <c r="S238" i="17" s="1"/>
  <c r="W238" i="17" s="1"/>
  <c r="R256" i="17"/>
  <c r="S256" i="17" s="1"/>
  <c r="T256" i="17" s="1"/>
  <c r="P263" i="17"/>
  <c r="R263" i="17" s="1"/>
  <c r="S263" i="17" s="1"/>
  <c r="W263" i="17" s="1"/>
  <c r="R325" i="17"/>
  <c r="S325" i="17" s="1"/>
  <c r="W325" i="17" s="1"/>
  <c r="R331" i="17"/>
  <c r="S331" i="17" s="1"/>
  <c r="T331" i="17" s="1"/>
  <c r="P337" i="17"/>
  <c r="R337" i="17" s="1"/>
  <c r="S337" i="17" s="1"/>
  <c r="R376" i="17"/>
  <c r="S376" i="17" s="1"/>
  <c r="R382" i="17"/>
  <c r="S382" i="17" s="1"/>
  <c r="T382" i="17" s="1"/>
  <c r="T361" i="17"/>
  <c r="P371" i="17"/>
  <c r="R371" i="17" s="1"/>
  <c r="S371" i="17" s="1"/>
  <c r="R379" i="17"/>
  <c r="S379" i="17" s="1"/>
  <c r="R389" i="17"/>
  <c r="S389" i="17" s="1"/>
  <c r="P328" i="17"/>
  <c r="R328" i="17" s="1"/>
  <c r="S328" i="17" s="1"/>
  <c r="R375" i="17"/>
  <c r="S375" i="17" s="1"/>
  <c r="R395" i="17"/>
  <c r="S395" i="17" s="1"/>
  <c r="P414" i="17"/>
  <c r="R414" i="17" s="1"/>
  <c r="S414" i="17" s="1"/>
  <c r="P416" i="17"/>
  <c r="R416" i="17" s="1"/>
  <c r="S416" i="17" s="1"/>
  <c r="P418" i="17"/>
  <c r="R418" i="17" s="1"/>
  <c r="S418" i="17" s="1"/>
  <c r="P415" i="17"/>
  <c r="R415" i="17" s="1"/>
  <c r="S415" i="17" s="1"/>
  <c r="P417" i="17"/>
  <c r="R417" i="17" s="1"/>
  <c r="S417" i="17" s="1"/>
  <c r="W431" i="17"/>
  <c r="P225" i="17"/>
  <c r="R225" i="17" s="1"/>
  <c r="S225" i="17" s="1"/>
  <c r="P229" i="17"/>
  <c r="R229" i="17" s="1"/>
  <c r="S229" i="17" s="1"/>
  <c r="P234" i="17"/>
  <c r="R234" i="17" s="1"/>
  <c r="S234" i="17" s="1"/>
  <c r="P226" i="17"/>
  <c r="R226" i="17" s="1"/>
  <c r="S226" i="17" s="1"/>
  <c r="P228" i="17"/>
  <c r="R228" i="17" s="1"/>
  <c r="S228" i="17" s="1"/>
  <c r="R233" i="17"/>
  <c r="S233" i="17" s="1"/>
  <c r="R266" i="17"/>
  <c r="S266" i="17" s="1"/>
  <c r="R270" i="17"/>
  <c r="S270" i="17" s="1"/>
  <c r="R274" i="17"/>
  <c r="S274" i="17" s="1"/>
  <c r="R278" i="17"/>
  <c r="S278" i="17" s="1"/>
  <c r="R282" i="17"/>
  <c r="S282" i="17" s="1"/>
  <c r="R286" i="17"/>
  <c r="S286" i="17" s="1"/>
  <c r="R290" i="17"/>
  <c r="S290" i="17" s="1"/>
  <c r="R294" i="17"/>
  <c r="S294" i="17" s="1"/>
  <c r="R298" i="17"/>
  <c r="S298" i="17" s="1"/>
  <c r="R302" i="17"/>
  <c r="S302" i="17" s="1"/>
  <c r="R306" i="17"/>
  <c r="S306" i="17" s="1"/>
  <c r="R310" i="17"/>
  <c r="S310" i="17" s="1"/>
  <c r="R267" i="17"/>
  <c r="S267" i="17" s="1"/>
  <c r="R271" i="17"/>
  <c r="S271" i="17" s="1"/>
  <c r="R275" i="17"/>
  <c r="S275" i="17" s="1"/>
  <c r="R279" i="17"/>
  <c r="S279" i="17" s="1"/>
  <c r="R283" i="17"/>
  <c r="S283" i="17" s="1"/>
  <c r="R287" i="17"/>
  <c r="S287" i="17" s="1"/>
  <c r="R291" i="17"/>
  <c r="S291" i="17" s="1"/>
  <c r="R295" i="17"/>
  <c r="S295" i="17" s="1"/>
  <c r="R299" i="17"/>
  <c r="S299" i="17" s="1"/>
  <c r="R303" i="17"/>
  <c r="S303" i="17" s="1"/>
  <c r="R307" i="17"/>
  <c r="S307" i="17" s="1"/>
  <c r="P397" i="18"/>
  <c r="U398" i="18"/>
  <c r="P405" i="18"/>
  <c r="U395" i="18"/>
  <c r="P416" i="18"/>
  <c r="P460" i="18"/>
  <c r="T394" i="18"/>
  <c r="P411" i="18"/>
  <c r="P412" i="18"/>
  <c r="P413" i="18"/>
  <c r="P419" i="18"/>
  <c r="P420" i="18"/>
  <c r="P421" i="18"/>
  <c r="Q422" i="18"/>
  <c r="P427" i="18"/>
  <c r="P428" i="18"/>
  <c r="P429" i="18"/>
  <c r="Q430" i="18"/>
  <c r="Q434" i="18"/>
  <c r="Q435" i="18"/>
  <c r="P435" i="18"/>
  <c r="P445" i="18"/>
  <c r="T479" i="18"/>
  <c r="W479" i="18"/>
  <c r="U482" i="18"/>
  <c r="U483" i="18"/>
  <c r="Q493" i="18"/>
  <c r="P493" i="18"/>
  <c r="P400" i="18"/>
  <c r="T403" i="18"/>
  <c r="W408" i="18"/>
  <c r="T408" i="18"/>
  <c r="W424" i="18"/>
  <c r="T424" i="18"/>
  <c r="T437" i="18"/>
  <c r="W437" i="18"/>
  <c r="U435" i="18"/>
  <c r="W445" i="18"/>
  <c r="T445" i="18"/>
  <c r="Q468" i="18"/>
  <c r="P468" i="18"/>
  <c r="W478" i="18"/>
  <c r="T478" i="18"/>
  <c r="U487" i="18"/>
  <c r="Q501" i="18"/>
  <c r="P501" i="18"/>
  <c r="U407" i="18"/>
  <c r="P414" i="18"/>
  <c r="W416" i="18"/>
  <c r="T416" i="18"/>
  <c r="P417" i="18"/>
  <c r="W407" i="18"/>
  <c r="V407" i="18" s="1"/>
  <c r="U430" i="18"/>
  <c r="T431" i="18"/>
  <c r="W433" i="18"/>
  <c r="V433" i="18" s="1"/>
  <c r="Q442" i="18"/>
  <c r="U476" i="18"/>
  <c r="P404" i="18"/>
  <c r="P408" i="18"/>
  <c r="U412" i="18"/>
  <c r="U420" i="18"/>
  <c r="W423" i="18"/>
  <c r="T423" i="18"/>
  <c r="U428" i="18"/>
  <c r="W439" i="18"/>
  <c r="T439" i="18"/>
  <c r="P453" i="18"/>
  <c r="U462" i="18"/>
  <c r="P495" i="18"/>
  <c r="Q395" i="18"/>
  <c r="P396" i="18"/>
  <c r="W404" i="18"/>
  <c r="V404" i="18" s="1"/>
  <c r="Q406" i="18"/>
  <c r="T410" i="18"/>
  <c r="W415" i="18"/>
  <c r="T415" i="18"/>
  <c r="T418" i="18"/>
  <c r="P424" i="18"/>
  <c r="T426" i="18"/>
  <c r="U495" i="18"/>
  <c r="P502" i="18"/>
  <c r="P442" i="18"/>
  <c r="W444" i="18"/>
  <c r="T444" i="18"/>
  <c r="T446" i="18"/>
  <c r="W446" i="18"/>
  <c r="Q450" i="18"/>
  <c r="Q451" i="18"/>
  <c r="Q475" i="18"/>
  <c r="W480" i="18"/>
  <c r="T480" i="18"/>
  <c r="W486" i="18"/>
  <c r="T486" i="18"/>
  <c r="P489" i="18"/>
  <c r="P494" i="18"/>
  <c r="W496" i="18"/>
  <c r="T496" i="18"/>
  <c r="W453" i="18"/>
  <c r="T453" i="18"/>
  <c r="T469" i="18"/>
  <c r="W469" i="18"/>
  <c r="W494" i="18"/>
  <c r="T494" i="18"/>
  <c r="P498" i="18"/>
  <c r="P499" i="18"/>
  <c r="Q500" i="18"/>
  <c r="P505" i="18"/>
  <c r="P508" i="18"/>
  <c r="P434" i="18"/>
  <c r="Q436" i="18"/>
  <c r="P448" i="18"/>
  <c r="W452" i="18"/>
  <c r="T452" i="18"/>
  <c r="P463" i="18"/>
  <c r="P464" i="18"/>
  <c r="W468" i="18"/>
  <c r="T468" i="18"/>
  <c r="U475" i="18"/>
  <c r="P482" i="18"/>
  <c r="P484" i="18"/>
  <c r="W502" i="18"/>
  <c r="T502" i="18"/>
  <c r="P506" i="18"/>
  <c r="P507" i="18"/>
  <c r="Q508" i="18"/>
  <c r="T438" i="18"/>
  <c r="W438" i="18"/>
  <c r="P441" i="18"/>
  <c r="T459" i="18"/>
  <c r="W459" i="18"/>
  <c r="Q463" i="18"/>
  <c r="Q464" i="18"/>
  <c r="Q484" i="18"/>
  <c r="P486" i="18"/>
  <c r="U492" i="18"/>
  <c r="Q437" i="18"/>
  <c r="P449" i="18"/>
  <c r="W471" i="18"/>
  <c r="T471" i="18"/>
  <c r="P476" i="18"/>
  <c r="W488" i="18"/>
  <c r="T488" i="18"/>
  <c r="U500" i="18"/>
  <c r="W487" i="18"/>
  <c r="V487" i="18" s="1"/>
  <c r="W495" i="18"/>
  <c r="V495" i="18" s="1"/>
  <c r="T509" i="18"/>
  <c r="W174" i="17" l="1"/>
  <c r="W424" i="17"/>
  <c r="V424" i="17" s="1"/>
  <c r="T433" i="17"/>
  <c r="V433" i="17" s="1"/>
  <c r="T455" i="18"/>
  <c r="U455" i="18" s="1"/>
  <c r="V461" i="18"/>
  <c r="R396" i="18"/>
  <c r="R498" i="18"/>
  <c r="W434" i="17"/>
  <c r="V434" i="17" s="1"/>
  <c r="W369" i="17"/>
  <c r="V369" i="17" s="1"/>
  <c r="T391" i="17"/>
  <c r="V391" i="17" s="1"/>
  <c r="T441" i="17"/>
  <c r="V441" i="17" s="1"/>
  <c r="W350" i="17"/>
  <c r="V350" i="17" s="1"/>
  <c r="T426" i="17"/>
  <c r="V426" i="17" s="1"/>
  <c r="T258" i="17"/>
  <c r="V258" i="17" s="1"/>
  <c r="R408" i="18"/>
  <c r="W458" i="18"/>
  <c r="V458" i="18" s="1"/>
  <c r="R416" i="18"/>
  <c r="W383" i="17"/>
  <c r="V383" i="17" s="1"/>
  <c r="W246" i="17"/>
  <c r="V246" i="17" s="1"/>
  <c r="W442" i="17"/>
  <c r="V442" i="17" s="1"/>
  <c r="T438" i="17"/>
  <c r="U438" i="17" s="1"/>
  <c r="W216" i="17"/>
  <c r="V216" i="17" s="1"/>
  <c r="W223" i="17"/>
  <c r="V223" i="17" s="1"/>
  <c r="T354" i="17"/>
  <c r="U354" i="17" s="1"/>
  <c r="W195" i="17"/>
  <c r="V195" i="17" s="1"/>
  <c r="W367" i="17"/>
  <c r="V367" i="17" s="1"/>
  <c r="T365" i="17"/>
  <c r="U365" i="17" s="1"/>
  <c r="W352" i="17"/>
  <c r="V352" i="17" s="1"/>
  <c r="T409" i="17"/>
  <c r="V409" i="17" s="1"/>
  <c r="W288" i="17"/>
  <c r="V288" i="17" s="1"/>
  <c r="W400" i="17"/>
  <c r="V400" i="17" s="1"/>
  <c r="T293" i="17"/>
  <c r="V293" i="17" s="1"/>
  <c r="W211" i="17"/>
  <c r="V211" i="17" s="1"/>
  <c r="T205" i="17"/>
  <c r="U205" i="17" s="1"/>
  <c r="W210" i="17"/>
  <c r="V210" i="17" s="1"/>
  <c r="T341" i="17"/>
  <c r="U341" i="17" s="1"/>
  <c r="W355" i="17"/>
  <c r="V355" i="17" s="1"/>
  <c r="T207" i="17"/>
  <c r="V207" i="17" s="1"/>
  <c r="W284" i="17"/>
  <c r="V284" i="17" s="1"/>
  <c r="T179" i="17"/>
  <c r="V179" i="17" s="1"/>
  <c r="T381" i="17"/>
  <c r="V381" i="17" s="1"/>
  <c r="W363" i="17"/>
  <c r="V363" i="17" s="1"/>
  <c r="T245" i="17"/>
  <c r="V245" i="17" s="1"/>
  <c r="T243" i="17"/>
  <c r="U243" i="17" s="1"/>
  <c r="T249" i="17"/>
  <c r="V249" i="17" s="1"/>
  <c r="T168" i="17"/>
  <c r="U168" i="17" s="1"/>
  <c r="T443" i="17"/>
  <c r="U443" i="17" s="1"/>
  <c r="T394" i="17"/>
  <c r="U394" i="17" s="1"/>
  <c r="T427" i="17"/>
  <c r="V427" i="17" s="1"/>
  <c r="W370" i="17"/>
  <c r="V370" i="17" s="1"/>
  <c r="T332" i="17"/>
  <c r="U332" i="17" s="1"/>
  <c r="W218" i="17"/>
  <c r="V218" i="17" s="1"/>
  <c r="T377" i="17"/>
  <c r="V377" i="17" s="1"/>
  <c r="W315" i="17"/>
  <c r="V315" i="17" s="1"/>
  <c r="T326" i="17"/>
  <c r="V326" i="17" s="1"/>
  <c r="T333" i="17"/>
  <c r="U333" i="17" s="1"/>
  <c r="T398" i="17"/>
  <c r="U398" i="17" s="1"/>
  <c r="T404" i="17"/>
  <c r="V404" i="17" s="1"/>
  <c r="T209" i="17"/>
  <c r="U209" i="17" s="1"/>
  <c r="V489" i="18"/>
  <c r="R403" i="18"/>
  <c r="R402" i="18"/>
  <c r="T232" i="17"/>
  <c r="V232" i="17" s="1"/>
  <c r="T220" i="17"/>
  <c r="V220" i="17" s="1"/>
  <c r="T172" i="17"/>
  <c r="V172" i="17" s="1"/>
  <c r="W407" i="17"/>
  <c r="V407" i="17" s="1"/>
  <c r="W385" i="17"/>
  <c r="V385" i="17" s="1"/>
  <c r="T169" i="17"/>
  <c r="U169" i="17" s="1"/>
  <c r="W413" i="17"/>
  <c r="V413" i="17" s="1"/>
  <c r="W297" i="17"/>
  <c r="V297" i="17" s="1"/>
  <c r="W242" i="17"/>
  <c r="V242" i="17" s="1"/>
  <c r="T238" i="17"/>
  <c r="V238" i="17" s="1"/>
  <c r="R448" i="18"/>
  <c r="R444" i="18"/>
  <c r="R446" i="18"/>
  <c r="R432" i="18"/>
  <c r="R507" i="18"/>
  <c r="T261" i="17"/>
  <c r="U261" i="17" s="1"/>
  <c r="T296" i="17"/>
  <c r="V296" i="17" s="1"/>
  <c r="T167" i="17"/>
  <c r="V167" i="17" s="1"/>
  <c r="T180" i="17"/>
  <c r="V180" i="17" s="1"/>
  <c r="T349" i="17"/>
  <c r="U349" i="17" s="1"/>
  <c r="T334" i="17"/>
  <c r="V334" i="17" s="1"/>
  <c r="T319" i="17"/>
  <c r="U319" i="17" s="1"/>
  <c r="T251" i="17"/>
  <c r="V251" i="17" s="1"/>
  <c r="T257" i="17"/>
  <c r="U257" i="17" s="1"/>
  <c r="W191" i="17"/>
  <c r="V191" i="17" s="1"/>
  <c r="W422" i="17"/>
  <c r="V422" i="17" s="1"/>
  <c r="T421" i="17"/>
  <c r="U421" i="17" s="1"/>
  <c r="W313" i="17"/>
  <c r="V313" i="17" s="1"/>
  <c r="W368" i="17"/>
  <c r="V368" i="17" s="1"/>
  <c r="T324" i="17"/>
  <c r="V324" i="17" s="1"/>
  <c r="T401" i="17"/>
  <c r="V401" i="17" s="1"/>
  <c r="T253" i="17"/>
  <c r="V253" i="17" s="1"/>
  <c r="W265" i="17"/>
  <c r="V265" i="17" s="1"/>
  <c r="T230" i="17"/>
  <c r="U497" i="18"/>
  <c r="R480" i="18"/>
  <c r="U434" i="18"/>
  <c r="R447" i="18"/>
  <c r="R437" i="18"/>
  <c r="R433" i="18"/>
  <c r="R489" i="18"/>
  <c r="R424" i="18"/>
  <c r="R477" i="18"/>
  <c r="R506" i="18"/>
  <c r="V422" i="18"/>
  <c r="R425" i="18"/>
  <c r="R509" i="18"/>
  <c r="R418" i="18"/>
  <c r="R478" i="18"/>
  <c r="R445" i="18"/>
  <c r="R410" i="18"/>
  <c r="R500" i="18"/>
  <c r="V443" i="18"/>
  <c r="R475" i="18"/>
  <c r="T177" i="17"/>
  <c r="V177" i="17" s="1"/>
  <c r="T236" i="17"/>
  <c r="U236" i="17" s="1"/>
  <c r="T359" i="17"/>
  <c r="U359" i="17" s="1"/>
  <c r="T432" i="17"/>
  <c r="V432" i="17" s="1"/>
  <c r="T387" i="17"/>
  <c r="V387" i="17" s="1"/>
  <c r="W317" i="17"/>
  <c r="V317" i="17" s="1"/>
  <c r="W314" i="17"/>
  <c r="V314" i="17" s="1"/>
  <c r="T277" i="17"/>
  <c r="V277" i="17" s="1"/>
  <c r="T247" i="17"/>
  <c r="U247" i="17" s="1"/>
  <c r="W240" i="17"/>
  <c r="V240" i="17" s="1"/>
  <c r="T304" i="17"/>
  <c r="U304" i="17" s="1"/>
  <c r="T316" i="17"/>
  <c r="U316" i="17" s="1"/>
  <c r="W197" i="17"/>
  <c r="V197" i="17" s="1"/>
  <c r="T437" i="17"/>
  <c r="V437" i="17" s="1"/>
  <c r="T178" i="17"/>
  <c r="U178" i="17" s="1"/>
  <c r="W342" i="17"/>
  <c r="V342" i="17" s="1"/>
  <c r="T380" i="17"/>
  <c r="V380" i="17" s="1"/>
  <c r="W212" i="17"/>
  <c r="V212" i="17" s="1"/>
  <c r="T412" i="17"/>
  <c r="U412" i="17" s="1"/>
  <c r="T420" i="17"/>
  <c r="U420" i="17" s="1"/>
  <c r="T301" i="17"/>
  <c r="V301" i="17" s="1"/>
  <c r="T269" i="17"/>
  <c r="V269" i="17" s="1"/>
  <c r="T259" i="17"/>
  <c r="V259" i="17" s="1"/>
  <c r="T410" i="17"/>
  <c r="V410" i="17" s="1"/>
  <c r="W429" i="17"/>
  <c r="V429" i="17" s="1"/>
  <c r="T244" i="17"/>
  <c r="V244" i="17" s="1"/>
  <c r="T408" i="17"/>
  <c r="V408" i="17" s="1"/>
  <c r="T264" i="17"/>
  <c r="U264" i="17" s="1"/>
  <c r="T166" i="17"/>
  <c r="V166" i="17" s="1"/>
  <c r="T353" i="17"/>
  <c r="U353" i="17" s="1"/>
  <c r="T357" i="17"/>
  <c r="U357" i="17" s="1"/>
  <c r="W425" i="17"/>
  <c r="V425" i="17" s="1"/>
  <c r="W300" i="17"/>
  <c r="V300" i="17" s="1"/>
  <c r="T170" i="17"/>
  <c r="U170" i="17" s="1"/>
  <c r="T323" i="17"/>
  <c r="V323" i="17" s="1"/>
  <c r="T268" i="17"/>
  <c r="V268" i="17" s="1"/>
  <c r="T198" i="17"/>
  <c r="V198" i="17" s="1"/>
  <c r="T384" i="17"/>
  <c r="V384" i="17" s="1"/>
  <c r="W364" i="17"/>
  <c r="V364" i="17" s="1"/>
  <c r="T305" i="17"/>
  <c r="U305" i="17" s="1"/>
  <c r="T250" i="17"/>
  <c r="V250" i="17" s="1"/>
  <c r="T346" i="17"/>
  <c r="U346" i="17" s="1"/>
  <c r="T327" i="17"/>
  <c r="U327" i="17" s="1"/>
  <c r="T430" i="17"/>
  <c r="U430" i="17" s="1"/>
  <c r="T374" i="17"/>
  <c r="U374" i="17" s="1"/>
  <c r="T273" i="17"/>
  <c r="V273" i="17" s="1"/>
  <c r="W221" i="17"/>
  <c r="V221" i="17" s="1"/>
  <c r="T176" i="17"/>
  <c r="V176" i="17" s="1"/>
  <c r="T175" i="17"/>
  <c r="V175" i="17" s="1"/>
  <c r="T351" i="17"/>
  <c r="U351" i="17" s="1"/>
  <c r="R423" i="18"/>
  <c r="R465" i="18"/>
  <c r="R431" i="18"/>
  <c r="W454" i="18"/>
  <c r="V454" i="18" s="1"/>
  <c r="R453" i="18"/>
  <c r="R451" i="18"/>
  <c r="R502" i="18"/>
  <c r="R491" i="18"/>
  <c r="R472" i="18"/>
  <c r="R488" i="18"/>
  <c r="R486" i="18"/>
  <c r="R440" i="18"/>
  <c r="V472" i="18"/>
  <c r="U421" i="18"/>
  <c r="R401" i="18"/>
  <c r="R499" i="18"/>
  <c r="R399" i="18"/>
  <c r="W196" i="17"/>
  <c r="T196" i="17"/>
  <c r="W252" i="17"/>
  <c r="V252" i="17" s="1"/>
  <c r="W338" i="17"/>
  <c r="V338" i="17" s="1"/>
  <c r="T435" i="17"/>
  <c r="V435" i="17" s="1"/>
  <c r="R415" i="18"/>
  <c r="R414" i="18"/>
  <c r="R450" i="18"/>
  <c r="R497" i="18"/>
  <c r="U474" i="18"/>
  <c r="R505" i="18"/>
  <c r="S505" i="18" s="1"/>
  <c r="W470" i="18"/>
  <c r="V470" i="18" s="1"/>
  <c r="R404" i="18"/>
  <c r="R426" i="18"/>
  <c r="T466" i="18"/>
  <c r="U466" i="18" s="1"/>
  <c r="R438" i="18"/>
  <c r="R490" i="18"/>
  <c r="T457" i="18"/>
  <c r="V457" i="18" s="1"/>
  <c r="R492" i="18"/>
  <c r="R443" i="18"/>
  <c r="U413" i="18"/>
  <c r="R397" i="18"/>
  <c r="U429" i="18"/>
  <c r="T456" i="18"/>
  <c r="U456" i="18" s="1"/>
  <c r="R487" i="18"/>
  <c r="R459" i="18"/>
  <c r="R504" i="18"/>
  <c r="S504" i="18" s="1"/>
  <c r="V460" i="18"/>
  <c r="R394" i="18"/>
  <c r="R405" i="18"/>
  <c r="T473" i="18"/>
  <c r="R471" i="18"/>
  <c r="T467" i="18"/>
  <c r="V467" i="18" s="1"/>
  <c r="V448" i="18"/>
  <c r="R398" i="18"/>
  <c r="R481" i="18"/>
  <c r="R395" i="18"/>
  <c r="U436" i="18"/>
  <c r="V399" i="18"/>
  <c r="V397" i="18"/>
  <c r="R474" i="18"/>
  <c r="U490" i="18"/>
  <c r="R436" i="18"/>
  <c r="U499" i="18"/>
  <c r="V440" i="18"/>
  <c r="V402" i="18"/>
  <c r="R503" i="18"/>
  <c r="S503" i="18" s="1"/>
  <c r="R417" i="18"/>
  <c r="R469" i="18"/>
  <c r="W312" i="17"/>
  <c r="V312" i="17" s="1"/>
  <c r="T309" i="17"/>
  <c r="V309" i="17" s="1"/>
  <c r="W235" i="17"/>
  <c r="V235" i="17" s="1"/>
  <c r="W397" i="17"/>
  <c r="V397" i="17" s="1"/>
  <c r="W366" i="17"/>
  <c r="V366" i="17" s="1"/>
  <c r="W206" i="17"/>
  <c r="V206" i="17" s="1"/>
  <c r="T255" i="17"/>
  <c r="V255" i="17" s="1"/>
  <c r="T239" i="17"/>
  <c r="U239" i="17" s="1"/>
  <c r="T276" i="17"/>
  <c r="U276" i="17" s="1"/>
  <c r="T272" i="17"/>
  <c r="U272" i="17" s="1"/>
  <c r="T192" i="17"/>
  <c r="V192" i="17" s="1"/>
  <c r="T419" i="17"/>
  <c r="V419" i="17" s="1"/>
  <c r="T372" i="17"/>
  <c r="V372" i="17" s="1"/>
  <c r="T199" i="17"/>
  <c r="T182" i="17"/>
  <c r="U182" i="17" s="1"/>
  <c r="T285" i="17"/>
  <c r="V285" i="17" s="1"/>
  <c r="T188" i="17"/>
  <c r="V188" i="17" s="1"/>
  <c r="W382" i="17"/>
  <c r="V382" i="17" s="1"/>
  <c r="T388" i="17"/>
  <c r="U388" i="17" s="1"/>
  <c r="T335" i="17"/>
  <c r="V335" i="17" s="1"/>
  <c r="T347" i="17"/>
  <c r="U347" i="17" s="1"/>
  <c r="W318" i="17"/>
  <c r="V318" i="17" s="1"/>
  <c r="W231" i="17"/>
  <c r="V231" i="17" s="1"/>
  <c r="W390" i="17"/>
  <c r="V390" i="17" s="1"/>
  <c r="T171" i="17"/>
  <c r="U171" i="17" s="1"/>
  <c r="T254" i="17"/>
  <c r="U254" i="17" s="1"/>
  <c r="T204" i="17"/>
  <c r="U204" i="17" s="1"/>
  <c r="T184" i="17"/>
  <c r="V184" i="17" s="1"/>
  <c r="T322" i="17"/>
  <c r="V322" i="17" s="1"/>
  <c r="W373" i="17"/>
  <c r="V373" i="17" s="1"/>
  <c r="T202" i="17"/>
  <c r="V202" i="17" s="1"/>
  <c r="T281" i="17"/>
  <c r="V281" i="17" s="1"/>
  <c r="W214" i="17"/>
  <c r="V214" i="17" s="1"/>
  <c r="W280" i="17"/>
  <c r="V280" i="17" s="1"/>
  <c r="T336" i="17"/>
  <c r="V336" i="17" s="1"/>
  <c r="U186" i="17"/>
  <c r="T185" i="17"/>
  <c r="V185" i="17" s="1"/>
  <c r="T200" i="17"/>
  <c r="U200" i="17" s="1"/>
  <c r="T402" i="17"/>
  <c r="V402" i="17" s="1"/>
  <c r="T343" i="17"/>
  <c r="U343" i="17" s="1"/>
  <c r="T358" i="17"/>
  <c r="U358" i="17" s="1"/>
  <c r="T396" i="17"/>
  <c r="V396" i="17" s="1"/>
  <c r="W311" i="17"/>
  <c r="V311" i="17" s="1"/>
  <c r="W260" i="17"/>
  <c r="V260" i="17" s="1"/>
  <c r="W215" i="17"/>
  <c r="V215" i="17" s="1"/>
  <c r="W227" i="17"/>
  <c r="V227" i="17" s="1"/>
  <c r="T405" i="17"/>
  <c r="V405" i="17" s="1"/>
  <c r="W399" i="17"/>
  <c r="V399" i="17" s="1"/>
  <c r="T378" i="17"/>
  <c r="V378" i="17" s="1"/>
  <c r="T411" i="17"/>
  <c r="V411" i="17" s="1"/>
  <c r="W393" i="17"/>
  <c r="V393" i="17" s="1"/>
  <c r="W203" i="17"/>
  <c r="V203" i="17" s="1"/>
  <c r="W186" i="17"/>
  <c r="V186" i="17" s="1"/>
  <c r="T439" i="17"/>
  <c r="U439" i="17" s="1"/>
  <c r="W331" i="17"/>
  <c r="V331" i="17" s="1"/>
  <c r="T237" i="17"/>
  <c r="V237" i="17" s="1"/>
  <c r="T292" i="17"/>
  <c r="U292" i="17" s="1"/>
  <c r="W219" i="17"/>
  <c r="V219" i="17" s="1"/>
  <c r="T263" i="17"/>
  <c r="U263" i="17" s="1"/>
  <c r="T241" i="17"/>
  <c r="U241" i="17" s="1"/>
  <c r="T208" i="17"/>
  <c r="U208" i="17" s="1"/>
  <c r="T193" i="17"/>
  <c r="U193" i="17" s="1"/>
  <c r="T428" i="17"/>
  <c r="V428" i="17" s="1"/>
  <c r="T321" i="17"/>
  <c r="V321" i="17" s="1"/>
  <c r="T356" i="17"/>
  <c r="U356" i="17" s="1"/>
  <c r="T436" i="17"/>
  <c r="V436" i="17" s="1"/>
  <c r="T289" i="17"/>
  <c r="V289" i="17" s="1"/>
  <c r="T201" i="17"/>
  <c r="V201" i="17" s="1"/>
  <c r="W217" i="17"/>
  <c r="V217" i="17" s="1"/>
  <c r="T308" i="17"/>
  <c r="V308" i="17" s="1"/>
  <c r="T189" i="17"/>
  <c r="U189" i="17" s="1"/>
  <c r="T423" i="17"/>
  <c r="V423" i="17" s="1"/>
  <c r="T344" i="17"/>
  <c r="U344" i="17" s="1"/>
  <c r="T406" i="17"/>
  <c r="U406" i="17" s="1"/>
  <c r="T320" i="17"/>
  <c r="V320" i="17" s="1"/>
  <c r="R439" i="18"/>
  <c r="R461" i="18"/>
  <c r="R413" i="18"/>
  <c r="R483" i="18"/>
  <c r="R434" i="18"/>
  <c r="V498" i="18"/>
  <c r="R429" i="18"/>
  <c r="V442" i="18"/>
  <c r="R428" i="18"/>
  <c r="R411" i="18"/>
  <c r="R496" i="18"/>
  <c r="V493" i="18"/>
  <c r="R407" i="18"/>
  <c r="V419" i="18"/>
  <c r="R406" i="18"/>
  <c r="R412" i="18"/>
  <c r="R479" i="18"/>
  <c r="R409" i="18"/>
  <c r="R476" i="18"/>
  <c r="V484" i="18"/>
  <c r="U406" i="18"/>
  <c r="R422" i="18"/>
  <c r="R482" i="18"/>
  <c r="R495" i="18"/>
  <c r="R460" i="18"/>
  <c r="U506" i="18"/>
  <c r="V465" i="18"/>
  <c r="R419" i="18"/>
  <c r="R485" i="18"/>
  <c r="T183" i="17"/>
  <c r="V183" i="17" s="1"/>
  <c r="R392" i="17"/>
  <c r="S392" i="17" s="1"/>
  <c r="W213" i="17"/>
  <c r="V213" i="17" s="1"/>
  <c r="T360" i="17"/>
  <c r="U360" i="17" s="1"/>
  <c r="W256" i="17"/>
  <c r="V256" i="17" s="1"/>
  <c r="W222" i="17"/>
  <c r="V222" i="17" s="1"/>
  <c r="T403" i="17"/>
  <c r="V403" i="17" s="1"/>
  <c r="T345" i="17"/>
  <c r="U345" i="17" s="1"/>
  <c r="T262" i="17"/>
  <c r="V262" i="17" s="1"/>
  <c r="T348" i="17"/>
  <c r="U348" i="17" s="1"/>
  <c r="T187" i="17"/>
  <c r="U187" i="17" s="1"/>
  <c r="T181" i="17"/>
  <c r="V181" i="17" s="1"/>
  <c r="T362" i="17"/>
  <c r="U362" i="17" s="1"/>
  <c r="U401" i="18"/>
  <c r="V401" i="18"/>
  <c r="R427" i="18"/>
  <c r="R441" i="18"/>
  <c r="U449" i="18"/>
  <c r="V427" i="18"/>
  <c r="V447" i="18"/>
  <c r="R493" i="18"/>
  <c r="R421" i="18"/>
  <c r="U491" i="18"/>
  <c r="R420" i="18"/>
  <c r="V441" i="18"/>
  <c r="V450" i="18"/>
  <c r="R494" i="18"/>
  <c r="R452" i="18"/>
  <c r="V501" i="18"/>
  <c r="U501" i="18"/>
  <c r="R449" i="18"/>
  <c r="V477" i="18"/>
  <c r="R442" i="18"/>
  <c r="R430" i="18"/>
  <c r="U481" i="18"/>
  <c r="V481" i="18"/>
  <c r="U507" i="18"/>
  <c r="U417" i="18"/>
  <c r="V417" i="18"/>
  <c r="R400" i="18"/>
  <c r="U409" i="18"/>
  <c r="V409" i="18"/>
  <c r="V485" i="18"/>
  <c r="U485" i="18"/>
  <c r="T440" i="17"/>
  <c r="U440" i="17" s="1"/>
  <c r="T325" i="17"/>
  <c r="V325" i="17" s="1"/>
  <c r="U203" i="17"/>
  <c r="T330" i="17"/>
  <c r="V330" i="17" s="1"/>
  <c r="T224" i="17"/>
  <c r="V224" i="17" s="1"/>
  <c r="T340" i="17"/>
  <c r="U340" i="17" s="1"/>
  <c r="T339" i="17"/>
  <c r="U339" i="17" s="1"/>
  <c r="W376" i="17"/>
  <c r="T376" i="17"/>
  <c r="T248" i="17"/>
  <c r="V248" i="17" s="1"/>
  <c r="W386" i="17"/>
  <c r="T386" i="17"/>
  <c r="W417" i="17"/>
  <c r="T417" i="17"/>
  <c r="U399" i="17"/>
  <c r="U429" i="17"/>
  <c r="U434" i="17"/>
  <c r="W389" i="17"/>
  <c r="T389" i="17"/>
  <c r="U369" i="17"/>
  <c r="U361" i="17"/>
  <c r="V361" i="17"/>
  <c r="U397" i="17"/>
  <c r="W329" i="17"/>
  <c r="T329" i="17"/>
  <c r="U318" i="17"/>
  <c r="W415" i="17"/>
  <c r="T415" i="17"/>
  <c r="W418" i="17"/>
  <c r="T418" i="17"/>
  <c r="U383" i="17"/>
  <c r="W337" i="17"/>
  <c r="T337" i="17"/>
  <c r="U313" i="17"/>
  <c r="U315" i="17"/>
  <c r="W416" i="17"/>
  <c r="T416" i="17"/>
  <c r="U442" i="17"/>
  <c r="U413" i="17"/>
  <c r="U424" i="17"/>
  <c r="U382" i="17"/>
  <c r="U390" i="17"/>
  <c r="U331" i="17"/>
  <c r="U373" i="17"/>
  <c r="U367" i="17"/>
  <c r="U363" i="17"/>
  <c r="W414" i="17"/>
  <c r="T414" i="17"/>
  <c r="W379" i="17"/>
  <c r="T379" i="17"/>
  <c r="U312" i="17"/>
  <c r="U317" i="17"/>
  <c r="V431" i="17"/>
  <c r="U431" i="17"/>
  <c r="U433" i="17"/>
  <c r="U400" i="17"/>
  <c r="W375" i="17"/>
  <c r="T375" i="17"/>
  <c r="U385" i="17"/>
  <c r="U355" i="17"/>
  <c r="U364" i="17"/>
  <c r="U314" i="17"/>
  <c r="U368" i="17"/>
  <c r="W328" i="17"/>
  <c r="T328" i="17"/>
  <c r="U370" i="17"/>
  <c r="U366" i="17"/>
  <c r="U338" i="17"/>
  <c r="U350" i="17"/>
  <c r="U425" i="17"/>
  <c r="U422" i="17"/>
  <c r="W395" i="17"/>
  <c r="T395" i="17"/>
  <c r="U407" i="17"/>
  <c r="W371" i="17"/>
  <c r="T371" i="17"/>
  <c r="U393" i="17"/>
  <c r="U342" i="17"/>
  <c r="W291" i="17"/>
  <c r="T291" i="17"/>
  <c r="W302" i="17"/>
  <c r="T302" i="17"/>
  <c r="U297" i="17"/>
  <c r="U265" i="17"/>
  <c r="U311" i="17"/>
  <c r="W298" i="17"/>
  <c r="T298" i="17"/>
  <c r="U222" i="17"/>
  <c r="U212" i="17"/>
  <c r="U210" i="17"/>
  <c r="W194" i="17"/>
  <c r="T194" i="17"/>
  <c r="W279" i="17"/>
  <c r="T279" i="17"/>
  <c r="W294" i="17"/>
  <c r="T294" i="17"/>
  <c r="U219" i="17"/>
  <c r="U260" i="17"/>
  <c r="W229" i="17"/>
  <c r="T229" i="17"/>
  <c r="U227" i="17"/>
  <c r="W287" i="17"/>
  <c r="T287" i="17"/>
  <c r="W283" i="17"/>
  <c r="T283" i="17"/>
  <c r="U240" i="17"/>
  <c r="W307" i="17"/>
  <c r="T307" i="17"/>
  <c r="W290" i="17"/>
  <c r="T290" i="17"/>
  <c r="U242" i="17"/>
  <c r="T225" i="17"/>
  <c r="W225" i="17"/>
  <c r="V174" i="17"/>
  <c r="U174" i="17"/>
  <c r="U197" i="17"/>
  <c r="T173" i="17"/>
  <c r="W173" i="17"/>
  <c r="W226" i="17"/>
  <c r="T226" i="17"/>
  <c r="U246" i="17"/>
  <c r="W266" i="17"/>
  <c r="T266" i="17"/>
  <c r="W275" i="17"/>
  <c r="T275" i="17"/>
  <c r="W303" i="17"/>
  <c r="T303" i="17"/>
  <c r="W271" i="17"/>
  <c r="T271" i="17"/>
  <c r="W286" i="17"/>
  <c r="T286" i="17"/>
  <c r="W233" i="17"/>
  <c r="T233" i="17"/>
  <c r="U216" i="17"/>
  <c r="U252" i="17"/>
  <c r="U300" i="17"/>
  <c r="U218" i="17"/>
  <c r="U213" i="17"/>
  <c r="W270" i="17"/>
  <c r="T270" i="17"/>
  <c r="W267" i="17"/>
  <c r="T267" i="17"/>
  <c r="W306" i="17"/>
  <c r="T306" i="17"/>
  <c r="U231" i="17"/>
  <c r="W190" i="17"/>
  <c r="T190" i="17"/>
  <c r="W299" i="17"/>
  <c r="T299" i="17"/>
  <c r="W282" i="17"/>
  <c r="T282" i="17"/>
  <c r="U256" i="17"/>
  <c r="U280" i="17"/>
  <c r="U284" i="17"/>
  <c r="U217" i="17"/>
  <c r="U223" i="17"/>
  <c r="U235" i="17"/>
  <c r="W295" i="17"/>
  <c r="T295" i="17"/>
  <c r="W310" i="17"/>
  <c r="T310" i="17"/>
  <c r="W278" i="17"/>
  <c r="T278" i="17"/>
  <c r="U221" i="17"/>
  <c r="U211" i="17"/>
  <c r="U191" i="17"/>
  <c r="W274" i="17"/>
  <c r="T274" i="17"/>
  <c r="U288" i="17"/>
  <c r="T228" i="17"/>
  <c r="W228" i="17"/>
  <c r="W234" i="17"/>
  <c r="T234" i="17"/>
  <c r="U214" i="17"/>
  <c r="U215" i="17"/>
  <c r="U195" i="17"/>
  <c r="U439" i="18"/>
  <c r="V439" i="18"/>
  <c r="U445" i="18"/>
  <c r="V445" i="18"/>
  <c r="V437" i="18"/>
  <c r="U437" i="18"/>
  <c r="V488" i="18"/>
  <c r="U488" i="18"/>
  <c r="V502" i="18"/>
  <c r="U502" i="18"/>
  <c r="V452" i="18"/>
  <c r="U452" i="18"/>
  <c r="V426" i="18"/>
  <c r="U426" i="18"/>
  <c r="V478" i="18"/>
  <c r="U478" i="18"/>
  <c r="V424" i="18"/>
  <c r="U424" i="18"/>
  <c r="R435" i="18"/>
  <c r="V394" i="18"/>
  <c r="U394" i="18"/>
  <c r="V468" i="18"/>
  <c r="U468" i="18"/>
  <c r="R508" i="18"/>
  <c r="V496" i="18"/>
  <c r="U496" i="18"/>
  <c r="U446" i="18"/>
  <c r="V446" i="18"/>
  <c r="V408" i="18"/>
  <c r="U408" i="18"/>
  <c r="V509" i="18"/>
  <c r="U509" i="18"/>
  <c r="R484" i="18"/>
  <c r="V444" i="18"/>
  <c r="U444" i="18"/>
  <c r="V423" i="18"/>
  <c r="U423" i="18"/>
  <c r="V416" i="18"/>
  <c r="U416" i="18"/>
  <c r="U471" i="18"/>
  <c r="V471" i="18"/>
  <c r="U438" i="18"/>
  <c r="V438" i="18"/>
  <c r="R464" i="18"/>
  <c r="U469" i="18"/>
  <c r="V469" i="18"/>
  <c r="U470" i="18"/>
  <c r="V418" i="18"/>
  <c r="U418" i="18"/>
  <c r="V431" i="18"/>
  <c r="U431" i="18"/>
  <c r="R468" i="18"/>
  <c r="U403" i="18"/>
  <c r="V403" i="18"/>
  <c r="U480" i="18"/>
  <c r="V480" i="18"/>
  <c r="V410" i="18"/>
  <c r="U410" i="18"/>
  <c r="R463" i="18"/>
  <c r="V453" i="18"/>
  <c r="U453" i="18"/>
  <c r="U454" i="18"/>
  <c r="V415" i="18"/>
  <c r="U415" i="18"/>
  <c r="U459" i="18"/>
  <c r="V459" i="18"/>
  <c r="V494" i="18"/>
  <c r="U494" i="18"/>
  <c r="U458" i="18"/>
  <c r="V486" i="18"/>
  <c r="U486" i="18"/>
  <c r="R501" i="18"/>
  <c r="U479" i="18"/>
  <c r="V479" i="18"/>
  <c r="T503" i="18" l="1"/>
  <c r="U503" i="18" s="1"/>
  <c r="W503" i="18"/>
  <c r="T504" i="18"/>
  <c r="W504" i="18"/>
  <c r="W505" i="18"/>
  <c r="T505" i="18"/>
  <c r="V455" i="18"/>
  <c r="U232" i="17"/>
  <c r="V443" i="17"/>
  <c r="U326" i="17"/>
  <c r="U391" i="17"/>
  <c r="U441" i="17"/>
  <c r="U426" i="17"/>
  <c r="V168" i="17"/>
  <c r="V236" i="17"/>
  <c r="V170" i="17"/>
  <c r="V261" i="17"/>
  <c r="V346" i="17"/>
  <c r="V257" i="17"/>
  <c r="U377" i="17"/>
  <c r="U258" i="17"/>
  <c r="U249" i="17"/>
  <c r="U409" i="17"/>
  <c r="V243" i="17"/>
  <c r="V438" i="17"/>
  <c r="V412" i="17"/>
  <c r="V359" i="17"/>
  <c r="V351" i="17"/>
  <c r="U207" i="17"/>
  <c r="V341" i="17"/>
  <c r="V169" i="17"/>
  <c r="V353" i="17"/>
  <c r="U269" i="17"/>
  <c r="U437" i="17"/>
  <c r="V394" i="17"/>
  <c r="V354" i="17"/>
  <c r="V205" i="17"/>
  <c r="V365" i="17"/>
  <c r="U404" i="17"/>
  <c r="V276" i="17"/>
  <c r="V349" i="17"/>
  <c r="V421" i="17"/>
  <c r="V398" i="17"/>
  <c r="U427" i="17"/>
  <c r="U198" i="17"/>
  <c r="U301" i="17"/>
  <c r="V264" i="17"/>
  <c r="U172" i="17"/>
  <c r="U166" i="17"/>
  <c r="U293" i="17"/>
  <c r="U381" i="17"/>
  <c r="U387" i="17"/>
  <c r="U179" i="17"/>
  <c r="U180" i="17"/>
  <c r="V189" i="17"/>
  <c r="V333" i="17"/>
  <c r="V209" i="17"/>
  <c r="U245" i="17"/>
  <c r="U334" i="17"/>
  <c r="V332" i="17"/>
  <c r="U220" i="17"/>
  <c r="V316" i="17"/>
  <c r="U268" i="17"/>
  <c r="U238" i="17"/>
  <c r="U167" i="17"/>
  <c r="V430" i="17"/>
  <c r="V292" i="17"/>
  <c r="U259" i="17"/>
  <c r="V178" i="17"/>
  <c r="U335" i="17"/>
  <c r="U177" i="17"/>
  <c r="U435" i="17"/>
  <c r="V187" i="17"/>
  <c r="U244" i="17"/>
  <c r="U253" i="17"/>
  <c r="U436" i="17"/>
  <c r="U192" i="17"/>
  <c r="V304" i="17"/>
  <c r="U184" i="17"/>
  <c r="U408" i="17"/>
  <c r="U323" i="17"/>
  <c r="U419" i="17"/>
  <c r="U296" i="17"/>
  <c r="V456" i="18"/>
  <c r="V247" i="17"/>
  <c r="U411" i="17"/>
  <c r="U250" i="17"/>
  <c r="U396" i="17"/>
  <c r="V319" i="17"/>
  <c r="U380" i="17"/>
  <c r="V204" i="17"/>
  <c r="U401" i="17"/>
  <c r="V196" i="17"/>
  <c r="U251" i="17"/>
  <c r="U324" i="17"/>
  <c r="V230" i="17"/>
  <c r="U230" i="17"/>
  <c r="U175" i="17"/>
  <c r="U457" i="18"/>
  <c r="U467" i="18"/>
  <c r="U281" i="17"/>
  <c r="U321" i="17"/>
  <c r="U405" i="17"/>
  <c r="V362" i="17"/>
  <c r="V420" i="17"/>
  <c r="V239" i="17"/>
  <c r="U237" i="17"/>
  <c r="U428" i="17"/>
  <c r="V171" i="17"/>
  <c r="U432" i="17"/>
  <c r="U196" i="17"/>
  <c r="U308" i="17"/>
  <c r="V241" i="17"/>
  <c r="U277" i="17"/>
  <c r="V357" i="17"/>
  <c r="V327" i="17"/>
  <c r="U410" i="17"/>
  <c r="V272" i="17"/>
  <c r="V305" i="17"/>
  <c r="U188" i="17"/>
  <c r="V358" i="17"/>
  <c r="U423" i="17"/>
  <c r="V356" i="17"/>
  <c r="V254" i="17"/>
  <c r="U285" i="17"/>
  <c r="U273" i="17"/>
  <c r="U176" i="17"/>
  <c r="U384" i="17"/>
  <c r="U309" i="17"/>
  <c r="V193" i="17"/>
  <c r="V439" i="17"/>
  <c r="V374" i="17"/>
  <c r="V347" i="17"/>
  <c r="U378" i="17"/>
  <c r="V466" i="18"/>
  <c r="U473" i="18"/>
  <c r="V473" i="18"/>
  <c r="U402" i="17"/>
  <c r="V208" i="17"/>
  <c r="U262" i="17"/>
  <c r="V199" i="17"/>
  <c r="U199" i="17"/>
  <c r="V182" i="17"/>
  <c r="U255" i="17"/>
  <c r="V263" i="17"/>
  <c r="U325" i="17"/>
  <c r="V440" i="17"/>
  <c r="U289" i="17"/>
  <c r="U185" i="17"/>
  <c r="U183" i="17"/>
  <c r="U322" i="17"/>
  <c r="U336" i="17"/>
  <c r="U403" i="17"/>
  <c r="U372" i="17"/>
  <c r="V388" i="17"/>
  <c r="U202" i="17"/>
  <c r="U330" i="17"/>
  <c r="V406" i="17"/>
  <c r="U201" i="17"/>
  <c r="V343" i="17"/>
  <c r="V339" i="17"/>
  <c r="V348" i="17"/>
  <c r="V345" i="17"/>
  <c r="U320" i="17"/>
  <c r="V344" i="17"/>
  <c r="V200" i="17"/>
  <c r="U181" i="17"/>
  <c r="W392" i="17"/>
  <c r="T392" i="17"/>
  <c r="U248" i="17"/>
  <c r="U224" i="17"/>
  <c r="V360" i="17"/>
  <c r="V340" i="17"/>
  <c r="V376" i="17"/>
  <c r="U376" i="17"/>
  <c r="U417" i="17"/>
  <c r="V417" i="17"/>
  <c r="U375" i="17"/>
  <c r="V375" i="17"/>
  <c r="V414" i="17"/>
  <c r="U414" i="17"/>
  <c r="V416" i="17"/>
  <c r="U416" i="17"/>
  <c r="V371" i="17"/>
  <c r="U371" i="17"/>
  <c r="V328" i="17"/>
  <c r="U328" i="17"/>
  <c r="U337" i="17"/>
  <c r="V337" i="17"/>
  <c r="V418" i="17"/>
  <c r="U418" i="17"/>
  <c r="U386" i="17"/>
  <c r="V386" i="17"/>
  <c r="U395" i="17"/>
  <c r="V395" i="17"/>
  <c r="V379" i="17"/>
  <c r="U379" i="17"/>
  <c r="U415" i="17"/>
  <c r="V415" i="17"/>
  <c r="V329" i="17"/>
  <c r="U329" i="17"/>
  <c r="U389" i="17"/>
  <c r="V389" i="17"/>
  <c r="V298" i="17"/>
  <c r="U298" i="17"/>
  <c r="V283" i="17"/>
  <c r="U283" i="17"/>
  <c r="V278" i="17"/>
  <c r="U278" i="17"/>
  <c r="V274" i="17"/>
  <c r="U274" i="17"/>
  <c r="V295" i="17"/>
  <c r="U295" i="17"/>
  <c r="V299" i="17"/>
  <c r="U299" i="17"/>
  <c r="V270" i="17"/>
  <c r="U270" i="17"/>
  <c r="V271" i="17"/>
  <c r="U271" i="17"/>
  <c r="V266" i="17"/>
  <c r="U266" i="17"/>
  <c r="V307" i="17"/>
  <c r="U307" i="17"/>
  <c r="V302" i="17"/>
  <c r="U302" i="17"/>
  <c r="V310" i="17"/>
  <c r="U310" i="17"/>
  <c r="V233" i="17"/>
  <c r="U233" i="17"/>
  <c r="U228" i="17"/>
  <c r="V228" i="17"/>
  <c r="V173" i="17"/>
  <c r="U173" i="17"/>
  <c r="V267" i="17"/>
  <c r="U267" i="17"/>
  <c r="V287" i="17"/>
  <c r="U287" i="17"/>
  <c r="V279" i="17"/>
  <c r="U279" i="17"/>
  <c r="V234" i="17"/>
  <c r="U234" i="17"/>
  <c r="V190" i="17"/>
  <c r="U190" i="17"/>
  <c r="V306" i="17"/>
  <c r="U306" i="17"/>
  <c r="V303" i="17"/>
  <c r="U303" i="17"/>
  <c r="V229" i="17"/>
  <c r="U229" i="17"/>
  <c r="V194" i="17"/>
  <c r="U194" i="17"/>
  <c r="V291" i="17"/>
  <c r="U291" i="17"/>
  <c r="V275" i="17"/>
  <c r="U275" i="17"/>
  <c r="V294" i="17"/>
  <c r="U294" i="17"/>
  <c r="V282" i="17"/>
  <c r="U282" i="17"/>
  <c r="V286" i="17"/>
  <c r="U286" i="17"/>
  <c r="V226" i="17"/>
  <c r="U226" i="17"/>
  <c r="V290" i="17"/>
  <c r="U290" i="17"/>
  <c r="V225" i="17"/>
  <c r="U225" i="17"/>
  <c r="V503" i="18" l="1"/>
  <c r="U505" i="18"/>
  <c r="V505" i="18"/>
  <c r="V504" i="18"/>
  <c r="U504" i="18"/>
  <c r="V392" i="17"/>
  <c r="U392" i="17"/>
  <c r="S393" i="18" l="1"/>
  <c r="W393" i="18" s="1"/>
  <c r="Q393" i="18"/>
  <c r="P393" i="18"/>
  <c r="S392" i="18"/>
  <c r="W392" i="18" s="1"/>
  <c r="Q392" i="18"/>
  <c r="P392" i="18"/>
  <c r="Q391" i="18"/>
  <c r="P391" i="18"/>
  <c r="Q390" i="18"/>
  <c r="P390" i="18"/>
  <c r="Q389" i="18"/>
  <c r="P389" i="18"/>
  <c r="S388" i="18"/>
  <c r="W388" i="18" s="1"/>
  <c r="Q388" i="18"/>
  <c r="P388" i="18"/>
  <c r="S387" i="18"/>
  <c r="W387" i="18" s="1"/>
  <c r="Q387" i="18"/>
  <c r="P387" i="18"/>
  <c r="S386" i="18"/>
  <c r="W386" i="18" s="1"/>
  <c r="Q386" i="18"/>
  <c r="P386" i="18"/>
  <c r="S385" i="18"/>
  <c r="W385" i="18" s="1"/>
  <c r="Q385" i="18"/>
  <c r="P385" i="18"/>
  <c r="S384" i="18"/>
  <c r="W384" i="18" s="1"/>
  <c r="Q384" i="18"/>
  <c r="P384" i="18"/>
  <c r="Q383" i="18"/>
  <c r="P383" i="18"/>
  <c r="Q382" i="18"/>
  <c r="P382" i="18"/>
  <c r="Q381" i="18"/>
  <c r="P381" i="18"/>
  <c r="Q380" i="18"/>
  <c r="P380" i="18"/>
  <c r="Q379" i="18"/>
  <c r="P379" i="18"/>
  <c r="S378" i="18"/>
  <c r="Q378" i="18"/>
  <c r="P378" i="18"/>
  <c r="S377" i="18"/>
  <c r="Q377" i="18"/>
  <c r="P377" i="18"/>
  <c r="S376" i="18"/>
  <c r="Q376" i="18"/>
  <c r="P376" i="18"/>
  <c r="S375" i="18"/>
  <c r="Q375" i="18"/>
  <c r="P375" i="18"/>
  <c r="S374" i="18"/>
  <c r="Q374" i="18"/>
  <c r="P374" i="18"/>
  <c r="Q373" i="18"/>
  <c r="P373" i="18"/>
  <c r="Q372" i="18"/>
  <c r="P372" i="18"/>
  <c r="Q371" i="18"/>
  <c r="P371" i="18"/>
  <c r="Q370" i="18"/>
  <c r="P370" i="18"/>
  <c r="S369" i="18"/>
  <c r="Q369" i="18"/>
  <c r="P369" i="18"/>
  <c r="S368" i="18"/>
  <c r="Q368" i="18"/>
  <c r="P368" i="18"/>
  <c r="S367" i="18"/>
  <c r="Q367" i="18"/>
  <c r="P367" i="18"/>
  <c r="S366" i="18"/>
  <c r="Q366" i="18"/>
  <c r="P366" i="18"/>
  <c r="Q365" i="18"/>
  <c r="P365" i="18"/>
  <c r="Q364" i="18"/>
  <c r="P364" i="18"/>
  <c r="S363" i="18"/>
  <c r="S362" i="18"/>
  <c r="T362" i="18" s="1"/>
  <c r="U362" i="18" s="1"/>
  <c r="S361" i="18"/>
  <c r="W361" i="18" s="1"/>
  <c r="Q360" i="18"/>
  <c r="P360" i="18"/>
  <c r="S359" i="18"/>
  <c r="T359" i="18" s="1"/>
  <c r="Q359" i="18"/>
  <c r="P359" i="18"/>
  <c r="S358" i="18"/>
  <c r="W358" i="18" s="1"/>
  <c r="Q358" i="18"/>
  <c r="P358" i="18"/>
  <c r="S357" i="18"/>
  <c r="T357" i="18" s="1"/>
  <c r="Q357" i="18"/>
  <c r="P357" i="18"/>
  <c r="S356" i="18"/>
  <c r="T356" i="18" s="1"/>
  <c r="Q356" i="18"/>
  <c r="P356" i="18"/>
  <c r="S355" i="18"/>
  <c r="T355" i="18" s="1"/>
  <c r="Q355" i="18"/>
  <c r="P355" i="18"/>
  <c r="S354" i="18"/>
  <c r="T354" i="18" s="1"/>
  <c r="Q354" i="18"/>
  <c r="P354" i="18"/>
  <c r="Q353" i="18"/>
  <c r="P353" i="18"/>
  <c r="Q352" i="18"/>
  <c r="P352" i="18"/>
  <c r="Q351" i="18"/>
  <c r="P351" i="18"/>
  <c r="Q350" i="18"/>
  <c r="P350" i="18"/>
  <c r="Q349" i="18"/>
  <c r="P349" i="18"/>
  <c r="Q348" i="18"/>
  <c r="P348" i="18"/>
  <c r="Q347" i="18"/>
  <c r="P347" i="18"/>
  <c r="S346" i="18"/>
  <c r="Q346" i="18"/>
  <c r="P346" i="18"/>
  <c r="S345" i="18"/>
  <c r="T345" i="18" s="1"/>
  <c r="Q345" i="18"/>
  <c r="P345" i="18"/>
  <c r="S344" i="18"/>
  <c r="T344" i="18" s="1"/>
  <c r="Q344" i="18"/>
  <c r="P344" i="18"/>
  <c r="S343" i="18"/>
  <c r="T343" i="18" s="1"/>
  <c r="Q343" i="18"/>
  <c r="P343" i="18"/>
  <c r="Q342" i="18"/>
  <c r="P342" i="18"/>
  <c r="Q341" i="18"/>
  <c r="P341" i="18"/>
  <c r="S340" i="18"/>
  <c r="T340" i="18" s="1"/>
  <c r="Q340" i="18"/>
  <c r="P340" i="18"/>
  <c r="S339" i="18"/>
  <c r="T339" i="18" s="1"/>
  <c r="Q339" i="18"/>
  <c r="P339" i="18"/>
  <c r="S338" i="18"/>
  <c r="Q338" i="18"/>
  <c r="P338" i="18"/>
  <c r="S337" i="18"/>
  <c r="T337" i="18" s="1"/>
  <c r="Q337" i="18"/>
  <c r="P337" i="18"/>
  <c r="Q336" i="18"/>
  <c r="P336" i="18"/>
  <c r="S335" i="18"/>
  <c r="T335" i="18" s="1"/>
  <c r="Q335" i="18"/>
  <c r="P335" i="18"/>
  <c r="S334" i="18"/>
  <c r="T334" i="18" s="1"/>
  <c r="Q334" i="18"/>
  <c r="P334" i="18"/>
  <c r="S333" i="18"/>
  <c r="T333" i="18" s="1"/>
  <c r="Q333" i="18"/>
  <c r="P333" i="18"/>
  <c r="S332" i="18"/>
  <c r="T332" i="18" s="1"/>
  <c r="Q332" i="18"/>
  <c r="P332" i="18"/>
  <c r="S331" i="18"/>
  <c r="T331" i="18" s="1"/>
  <c r="Q331" i="18"/>
  <c r="P331" i="18"/>
  <c r="S330" i="18"/>
  <c r="Q330" i="18"/>
  <c r="P330" i="18"/>
  <c r="S329" i="18"/>
  <c r="T329" i="18" s="1"/>
  <c r="Q329" i="18"/>
  <c r="P329" i="18"/>
  <c r="Q328" i="18"/>
  <c r="P328" i="18"/>
  <c r="Q327" i="18"/>
  <c r="P327" i="18"/>
  <c r="Q326" i="18"/>
  <c r="P326" i="18"/>
  <c r="Q325" i="18"/>
  <c r="P325" i="18"/>
  <c r="Q324" i="18"/>
  <c r="P324" i="18"/>
  <c r="Q323" i="18"/>
  <c r="P323" i="18"/>
  <c r="Q322" i="18"/>
  <c r="P322" i="18"/>
  <c r="S321" i="18"/>
  <c r="T321" i="18" s="1"/>
  <c r="Q321" i="18"/>
  <c r="P321" i="18"/>
  <c r="Q320" i="18"/>
  <c r="P320" i="18"/>
  <c r="Q319" i="18"/>
  <c r="P319" i="18"/>
  <c r="Q318" i="18"/>
  <c r="P318" i="18"/>
  <c r="Q317" i="18"/>
  <c r="P317" i="18"/>
  <c r="Q316" i="18"/>
  <c r="P316" i="18"/>
  <c r="Q315" i="18"/>
  <c r="P315" i="18"/>
  <c r="Q314" i="18"/>
  <c r="P314" i="18"/>
  <c r="S313" i="18"/>
  <c r="T313" i="18" s="1"/>
  <c r="U313" i="18" s="1"/>
  <c r="Q313" i="18"/>
  <c r="P313" i="18"/>
  <c r="S312" i="18"/>
  <c r="T312" i="18" s="1"/>
  <c r="U312" i="18" s="1"/>
  <c r="Q312" i="18"/>
  <c r="P312" i="18"/>
  <c r="S311" i="18"/>
  <c r="T311" i="18" s="1"/>
  <c r="U311" i="18" s="1"/>
  <c r="Q311" i="18"/>
  <c r="P311" i="18"/>
  <c r="S310" i="18"/>
  <c r="Q310" i="18"/>
  <c r="P310" i="18"/>
  <c r="S309" i="18"/>
  <c r="Q309" i="18"/>
  <c r="P309" i="18"/>
  <c r="S308" i="18"/>
  <c r="Q308" i="18"/>
  <c r="P308" i="18"/>
  <c r="S307" i="18"/>
  <c r="Q307" i="18"/>
  <c r="P307" i="18"/>
  <c r="S306" i="18"/>
  <c r="Q306" i="18"/>
  <c r="P306" i="18"/>
  <c r="S305" i="18"/>
  <c r="Q305" i="18"/>
  <c r="P305" i="18"/>
  <c r="S304" i="18"/>
  <c r="Q304" i="18"/>
  <c r="P304" i="18"/>
  <c r="S303" i="18"/>
  <c r="S302" i="18"/>
  <c r="W302" i="18" s="1"/>
  <c r="S301" i="18"/>
  <c r="W301" i="18" s="1"/>
  <c r="S300" i="18"/>
  <c r="W300" i="18" s="1"/>
  <c r="S299" i="18"/>
  <c r="W299" i="18" s="1"/>
  <c r="Q299" i="18"/>
  <c r="P299" i="18"/>
  <c r="S298" i="18"/>
  <c r="W298" i="18" s="1"/>
  <c r="Q298" i="18"/>
  <c r="P298" i="18"/>
  <c r="S297" i="18"/>
  <c r="W297" i="18" s="1"/>
  <c r="Q297" i="18"/>
  <c r="P297" i="18"/>
  <c r="S296" i="18"/>
  <c r="T296" i="18" s="1"/>
  <c r="Q296" i="18"/>
  <c r="P296" i="18"/>
  <c r="S295" i="18"/>
  <c r="W295" i="18" s="1"/>
  <c r="Q295" i="18"/>
  <c r="P295" i="18"/>
  <c r="S294" i="18"/>
  <c r="W294" i="18" s="1"/>
  <c r="Q294" i="18"/>
  <c r="P294" i="18"/>
  <c r="S293" i="18"/>
  <c r="W293" i="18" s="1"/>
  <c r="S292" i="18"/>
  <c r="W292" i="18" s="1"/>
  <c r="S291" i="18"/>
  <c r="W291" i="18" s="1"/>
  <c r="S290" i="18"/>
  <c r="T290" i="18" s="1"/>
  <c r="S289" i="18"/>
  <c r="Q289" i="18"/>
  <c r="P289" i="18"/>
  <c r="S288" i="18"/>
  <c r="S287" i="18"/>
  <c r="W287" i="18" s="1"/>
  <c r="Q286" i="18"/>
  <c r="P286" i="18"/>
  <c r="Q285" i="18"/>
  <c r="P285" i="18"/>
  <c r="S284" i="18"/>
  <c r="T284" i="18" s="1"/>
  <c r="S283" i="18"/>
  <c r="W283" i="18" s="1"/>
  <c r="Q283" i="18"/>
  <c r="P283" i="18"/>
  <c r="S282" i="18"/>
  <c r="W282" i="18" s="1"/>
  <c r="Q282" i="18"/>
  <c r="P282" i="18"/>
  <c r="S281" i="18"/>
  <c r="T281" i="18" s="1"/>
  <c r="U281" i="18" s="1"/>
  <c r="Q281" i="18"/>
  <c r="P281" i="18"/>
  <c r="S280" i="18"/>
  <c r="T280" i="18" s="1"/>
  <c r="U280" i="18" s="1"/>
  <c r="S279" i="18"/>
  <c r="W279" i="18" s="1"/>
  <c r="S278" i="18"/>
  <c r="W278" i="18" s="1"/>
  <c r="S277" i="18"/>
  <c r="W277" i="18" s="1"/>
  <c r="S276" i="18"/>
  <c r="T276" i="18" s="1"/>
  <c r="U276" i="18" s="1"/>
  <c r="Q276" i="18"/>
  <c r="P276" i="18"/>
  <c r="Q275" i="18"/>
  <c r="P275" i="18"/>
  <c r="Q274" i="18"/>
  <c r="P274" i="18"/>
  <c r="Q273" i="18"/>
  <c r="P273" i="18"/>
  <c r="Q272" i="18"/>
  <c r="P272" i="18"/>
  <c r="Q271" i="18"/>
  <c r="P271" i="18"/>
  <c r="Q270" i="18"/>
  <c r="P270" i="18"/>
  <c r="S269" i="18"/>
  <c r="T269" i="18" s="1"/>
  <c r="S268" i="18"/>
  <c r="S267" i="18"/>
  <c r="T267" i="18" s="1"/>
  <c r="U267" i="18" s="1"/>
  <c r="S266" i="18"/>
  <c r="W266" i="18" s="1"/>
  <c r="S265" i="18"/>
  <c r="W265" i="18" s="1"/>
  <c r="S264" i="18"/>
  <c r="W264" i="18" s="1"/>
  <c r="S263" i="18"/>
  <c r="W263" i="18" s="1"/>
  <c r="Q263" i="18"/>
  <c r="P263" i="18"/>
  <c r="S262" i="18"/>
  <c r="W262" i="18" s="1"/>
  <c r="Q262" i="18"/>
  <c r="P262" i="18"/>
  <c r="S261" i="18"/>
  <c r="W261" i="18" s="1"/>
  <c r="Q261" i="18"/>
  <c r="P261" i="18"/>
  <c r="S260" i="18"/>
  <c r="W260" i="18" s="1"/>
  <c r="Q260" i="18"/>
  <c r="P260" i="18"/>
  <c r="S259" i="18"/>
  <c r="W259" i="18" s="1"/>
  <c r="Q259" i="18"/>
  <c r="P259" i="18"/>
  <c r="S258" i="18"/>
  <c r="W258" i="18" s="1"/>
  <c r="S257" i="18"/>
  <c r="W257" i="18" s="1"/>
  <c r="S256" i="18"/>
  <c r="S255" i="18"/>
  <c r="Q255" i="18"/>
  <c r="P255" i="18"/>
  <c r="S254" i="18"/>
  <c r="Q254" i="18"/>
  <c r="P254" i="18"/>
  <c r="S253" i="18"/>
  <c r="S252" i="18"/>
  <c r="W252" i="18" s="1"/>
  <c r="Q252" i="18"/>
  <c r="P252" i="18"/>
  <c r="S251" i="18"/>
  <c r="W251" i="18" s="1"/>
  <c r="S250" i="18"/>
  <c r="W250" i="18" s="1"/>
  <c r="S249" i="18"/>
  <c r="T249" i="18" s="1"/>
  <c r="U249" i="18" s="1"/>
  <c r="S248" i="18"/>
  <c r="W248" i="18" s="1"/>
  <c r="S247" i="18"/>
  <c r="W247" i="18" s="1"/>
  <c r="S246" i="18"/>
  <c r="W246" i="18" s="1"/>
  <c r="S245" i="18"/>
  <c r="Q245" i="18"/>
  <c r="P245" i="18"/>
  <c r="S244" i="18"/>
  <c r="S243" i="18"/>
  <c r="T243" i="18" s="1"/>
  <c r="U243" i="18" s="1"/>
  <c r="S242" i="18"/>
  <c r="W242" i="18" s="1"/>
  <c r="S241" i="18"/>
  <c r="W241" i="18" s="1"/>
  <c r="S240" i="18"/>
  <c r="T240" i="18" s="1"/>
  <c r="Q240" i="18"/>
  <c r="P240" i="18"/>
  <c r="S239" i="18"/>
  <c r="W239" i="18" s="1"/>
  <c r="Q239" i="18"/>
  <c r="P239" i="18"/>
  <c r="S238" i="18"/>
  <c r="T238" i="18" s="1"/>
  <c r="U238" i="18" s="1"/>
  <c r="Q238" i="18"/>
  <c r="P238" i="18"/>
  <c r="S237" i="18"/>
  <c r="T237" i="18" s="1"/>
  <c r="Q237" i="18"/>
  <c r="P237" i="18"/>
  <c r="S236" i="18"/>
  <c r="T236" i="18" s="1"/>
  <c r="Q236" i="18"/>
  <c r="P236" i="18"/>
  <c r="S235" i="18"/>
  <c r="T235" i="18" s="1"/>
  <c r="Q235" i="18"/>
  <c r="P235" i="18"/>
  <c r="S234" i="18"/>
  <c r="T234" i="18" s="1"/>
  <c r="U234" i="18" s="1"/>
  <c r="Q234" i="18"/>
  <c r="P234" i="18"/>
  <c r="S233" i="18"/>
  <c r="T233" i="18" s="1"/>
  <c r="S232" i="18"/>
  <c r="W232" i="18" s="1"/>
  <c r="Q232" i="18"/>
  <c r="P232" i="18"/>
  <c r="S231" i="18"/>
  <c r="W231" i="18" s="1"/>
  <c r="Q231" i="18"/>
  <c r="P231" i="18"/>
  <c r="S230" i="18"/>
  <c r="W230" i="18" s="1"/>
  <c r="S229" i="18"/>
  <c r="W229" i="18" s="1"/>
  <c r="S228" i="18"/>
  <c r="W228" i="18" s="1"/>
  <c r="S227" i="18"/>
  <c r="S226" i="18"/>
  <c r="W226" i="18" s="1"/>
  <c r="S225" i="18"/>
  <c r="W225" i="18" s="1"/>
  <c r="Q225" i="18"/>
  <c r="P225" i="18"/>
  <c r="S224" i="18"/>
  <c r="W224" i="18" s="1"/>
  <c r="S223" i="18"/>
  <c r="T223" i="18" s="1"/>
  <c r="U223" i="18" s="1"/>
  <c r="Q223" i="18"/>
  <c r="P223" i="18"/>
  <c r="S222" i="18"/>
  <c r="T222" i="18" s="1"/>
  <c r="U222" i="18" s="1"/>
  <c r="S221" i="18"/>
  <c r="W221" i="18" s="1"/>
  <c r="S220" i="18"/>
  <c r="W220" i="18" s="1"/>
  <c r="S219" i="18"/>
  <c r="T219" i="18" s="1"/>
  <c r="S218" i="18"/>
  <c r="W218" i="18" s="1"/>
  <c r="S217" i="18"/>
  <c r="T217" i="18" s="1"/>
  <c r="Q217" i="18"/>
  <c r="P217" i="18"/>
  <c r="S216" i="18"/>
  <c r="T216" i="18" s="1"/>
  <c r="S215" i="18"/>
  <c r="W215" i="18" s="1"/>
  <c r="S214" i="18"/>
  <c r="W214" i="18" s="1"/>
  <c r="S213" i="18"/>
  <c r="W213" i="18" s="1"/>
  <c r="S212" i="18"/>
  <c r="W212" i="18" s="1"/>
  <c r="Q212" i="18"/>
  <c r="P212" i="18"/>
  <c r="S211" i="18"/>
  <c r="W211" i="18" s="1"/>
  <c r="Q211" i="18"/>
  <c r="P211" i="18"/>
  <c r="S210" i="18"/>
  <c r="W210" i="18" s="1"/>
  <c r="S209" i="18"/>
  <c r="W209" i="18" s="1"/>
  <c r="Q209" i="18"/>
  <c r="P209" i="18"/>
  <c r="S208" i="18"/>
  <c r="W208" i="18" s="1"/>
  <c r="S207" i="18"/>
  <c r="T207" i="18" s="1"/>
  <c r="S206" i="18"/>
  <c r="T206" i="18" s="1"/>
  <c r="S205" i="18"/>
  <c r="T205" i="18" s="1"/>
  <c r="S204" i="18"/>
  <c r="W204" i="18" s="1"/>
  <c r="S203" i="18"/>
  <c r="W203" i="18" s="1"/>
  <c r="S202" i="18"/>
  <c r="T202" i="18" s="1"/>
  <c r="U202" i="18" s="1"/>
  <c r="Q202" i="18"/>
  <c r="P202" i="18"/>
  <c r="S201" i="18"/>
  <c r="W201" i="18" s="1"/>
  <c r="Q201" i="18"/>
  <c r="P201" i="18"/>
  <c r="R389" i="18" l="1"/>
  <c r="S389" i="18" s="1"/>
  <c r="W389" i="18" s="1"/>
  <c r="R339" i="18"/>
  <c r="R308" i="18"/>
  <c r="W311" i="18"/>
  <c r="R294" i="18"/>
  <c r="P205" i="18"/>
  <c r="P251" i="18"/>
  <c r="Q253" i="18"/>
  <c r="Q229" i="18"/>
  <c r="R254" i="18"/>
  <c r="P215" i="18"/>
  <c r="P242" i="18"/>
  <c r="R273" i="18"/>
  <c r="S273" i="18" s="1"/>
  <c r="T273" i="18" s="1"/>
  <c r="U273" i="18" s="1"/>
  <c r="Q293" i="18"/>
  <c r="T291" i="18"/>
  <c r="U291" i="18" s="1"/>
  <c r="R327" i="18"/>
  <c r="S327" i="18" s="1"/>
  <c r="T327" i="18" s="1"/>
  <c r="U327" i="18" s="1"/>
  <c r="P216" i="18"/>
  <c r="Q218" i="18"/>
  <c r="Q220" i="18"/>
  <c r="Q222" i="18"/>
  <c r="Q213" i="18"/>
  <c r="R232" i="18"/>
  <c r="R276" i="18"/>
  <c r="Q278" i="18"/>
  <c r="R373" i="18"/>
  <c r="S373" i="18" s="1"/>
  <c r="W373" i="18" s="1"/>
  <c r="R345" i="18"/>
  <c r="Q292" i="18"/>
  <c r="Q277" i="18"/>
  <c r="R369" i="18"/>
  <c r="R377" i="18"/>
  <c r="R385" i="18"/>
  <c r="R393" i="18"/>
  <c r="R239" i="18"/>
  <c r="P250" i="18"/>
  <c r="P266" i="18"/>
  <c r="T297" i="18"/>
  <c r="U297" i="18" s="1"/>
  <c r="R360" i="18"/>
  <c r="S360" i="18" s="1"/>
  <c r="T360" i="18" s="1"/>
  <c r="U360" i="18" s="1"/>
  <c r="R391" i="18"/>
  <c r="S391" i="18" s="1"/>
  <c r="W391" i="18" s="1"/>
  <c r="R238" i="18"/>
  <c r="R270" i="18"/>
  <c r="S270" i="18" s="1"/>
  <c r="T270" i="18" s="1"/>
  <c r="U270" i="18" s="1"/>
  <c r="R275" i="18"/>
  <c r="S275" i="18" s="1"/>
  <c r="T275" i="18" s="1"/>
  <c r="U275" i="18" s="1"/>
  <c r="W357" i="18"/>
  <c r="V357" i="18" s="1"/>
  <c r="T215" i="18"/>
  <c r="U215" i="18" s="1"/>
  <c r="Q224" i="18"/>
  <c r="P243" i="18"/>
  <c r="T299" i="18"/>
  <c r="U299" i="18" s="1"/>
  <c r="R335" i="18"/>
  <c r="R353" i="18"/>
  <c r="S353" i="18" s="1"/>
  <c r="T353" i="18" s="1"/>
  <c r="U353" i="18" s="1"/>
  <c r="W240" i="18"/>
  <c r="V240" i="18" s="1"/>
  <c r="W207" i="18"/>
  <c r="V207" i="18" s="1"/>
  <c r="T226" i="18"/>
  <c r="U226" i="18" s="1"/>
  <c r="W234" i="18"/>
  <c r="V234" i="18" s="1"/>
  <c r="R289" i="18"/>
  <c r="T258" i="18"/>
  <c r="V258" i="18" s="1"/>
  <c r="R202" i="18"/>
  <c r="Q206" i="18"/>
  <c r="T241" i="18"/>
  <c r="V241" i="18" s="1"/>
  <c r="R285" i="18"/>
  <c r="S285" i="18" s="1"/>
  <c r="W285" i="18" s="1"/>
  <c r="R312" i="18"/>
  <c r="P227" i="18"/>
  <c r="T239" i="18"/>
  <c r="U239" i="18" s="1"/>
  <c r="Q241" i="18"/>
  <c r="R271" i="18"/>
  <c r="S271" i="18" s="1"/>
  <c r="T271" i="18" s="1"/>
  <c r="U271" i="18" s="1"/>
  <c r="Q284" i="18"/>
  <c r="R307" i="18"/>
  <c r="R330" i="18"/>
  <c r="R333" i="18"/>
  <c r="W359" i="18"/>
  <c r="V359" i="18" s="1"/>
  <c r="P362" i="18"/>
  <c r="R364" i="18"/>
  <c r="S364" i="18" s="1"/>
  <c r="W364" i="18" s="1"/>
  <c r="R372" i="18"/>
  <c r="S372" i="18" s="1"/>
  <c r="W372" i="18" s="1"/>
  <c r="R380" i="18"/>
  <c r="S380" i="18" s="1"/>
  <c r="W380" i="18" s="1"/>
  <c r="R388" i="18"/>
  <c r="P213" i="18"/>
  <c r="P222" i="18"/>
  <c r="W223" i="18"/>
  <c r="V223" i="18" s="1"/>
  <c r="R231" i="18"/>
  <c r="Q247" i="18"/>
  <c r="R255" i="18"/>
  <c r="R282" i="18"/>
  <c r="P287" i="18"/>
  <c r="R297" i="18"/>
  <c r="W355" i="18"/>
  <c r="V355" i="18" s="1"/>
  <c r="R370" i="18"/>
  <c r="S370" i="18" s="1"/>
  <c r="W370" i="18" s="1"/>
  <c r="R378" i="18"/>
  <c r="R386" i="18"/>
  <c r="Q203" i="18"/>
  <c r="Q207" i="18"/>
  <c r="P224" i="18"/>
  <c r="W235" i="18"/>
  <c r="V235" i="18" s="1"/>
  <c r="R331" i="18"/>
  <c r="R334" i="18"/>
  <c r="R336" i="18"/>
  <c r="S336" i="18" s="1"/>
  <c r="T336" i="18" s="1"/>
  <c r="U336" i="18" s="1"/>
  <c r="R344" i="18"/>
  <c r="R351" i="18"/>
  <c r="S351" i="18" s="1"/>
  <c r="T351" i="18" s="1"/>
  <c r="U351" i="18" s="1"/>
  <c r="R356" i="18"/>
  <c r="R272" i="18"/>
  <c r="S272" i="18" s="1"/>
  <c r="T272" i="18" s="1"/>
  <c r="U272" i="18" s="1"/>
  <c r="Q303" i="18"/>
  <c r="R311" i="18"/>
  <c r="R349" i="18"/>
  <c r="S349" i="18" s="1"/>
  <c r="T349" i="18" s="1"/>
  <c r="U349" i="18" s="1"/>
  <c r="P363" i="18"/>
  <c r="R368" i="18"/>
  <c r="R376" i="18"/>
  <c r="R384" i="18"/>
  <c r="T211" i="18"/>
  <c r="U211" i="18" s="1"/>
  <c r="W216" i="18"/>
  <c r="V216" i="18" s="1"/>
  <c r="T295" i="18"/>
  <c r="U295" i="18" s="1"/>
  <c r="P204" i="18"/>
  <c r="P210" i="18"/>
  <c r="P221" i="18"/>
  <c r="Q228" i="18"/>
  <c r="R309" i="18"/>
  <c r="R322" i="18"/>
  <c r="S322" i="18" s="1"/>
  <c r="T322" i="18" s="1"/>
  <c r="R342" i="18"/>
  <c r="S342" i="18" s="1"/>
  <c r="T342" i="18" s="1"/>
  <c r="U342" i="18" s="1"/>
  <c r="W344" i="18"/>
  <c r="V344" i="18" s="1"/>
  <c r="R352" i="18"/>
  <c r="S352" i="18" s="1"/>
  <c r="T352" i="18" s="1"/>
  <c r="U352" i="18" s="1"/>
  <c r="W217" i="18"/>
  <c r="V217" i="18" s="1"/>
  <c r="T287" i="18"/>
  <c r="U287" i="18" s="1"/>
  <c r="R211" i="18"/>
  <c r="W219" i="18"/>
  <c r="V219" i="18" s="1"/>
  <c r="R235" i="18"/>
  <c r="W236" i="18"/>
  <c r="V236" i="18" s="1"/>
  <c r="T246" i="18"/>
  <c r="T252" i="18"/>
  <c r="U252" i="18" s="1"/>
  <c r="T264" i="18"/>
  <c r="U264" i="18" s="1"/>
  <c r="Q268" i="18"/>
  <c r="R274" i="18"/>
  <c r="S274" i="18" s="1"/>
  <c r="T274" i="18" s="1"/>
  <c r="U274" i="18" s="1"/>
  <c r="W280" i="18"/>
  <c r="V280" i="18" s="1"/>
  <c r="R286" i="18"/>
  <c r="S286" i="18" s="1"/>
  <c r="W286" i="18" s="1"/>
  <c r="R296" i="18"/>
  <c r="R298" i="18"/>
  <c r="P300" i="18"/>
  <c r="R306" i="18"/>
  <c r="R316" i="18"/>
  <c r="S316" i="18" s="1"/>
  <c r="T316" i="18" s="1"/>
  <c r="U316" i="18" s="1"/>
  <c r="R321" i="18"/>
  <c r="R326" i="18"/>
  <c r="S326" i="18" s="1"/>
  <c r="T326" i="18" s="1"/>
  <c r="U326" i="18" s="1"/>
  <c r="R328" i="18"/>
  <c r="S328" i="18" s="1"/>
  <c r="T328" i="18" s="1"/>
  <c r="U328" i="18" s="1"/>
  <c r="W340" i="18"/>
  <c r="V340" i="18" s="1"/>
  <c r="R343" i="18"/>
  <c r="R350" i="18"/>
  <c r="S350" i="18" s="1"/>
  <c r="T350" i="18" s="1"/>
  <c r="U350" i="18" s="1"/>
  <c r="R354" i="18"/>
  <c r="R358" i="18"/>
  <c r="Q362" i="18"/>
  <c r="W238" i="18"/>
  <c r="V238" i="18" s="1"/>
  <c r="Q258" i="18"/>
  <c r="R338" i="18"/>
  <c r="R223" i="18"/>
  <c r="R225" i="18"/>
  <c r="R234" i="18"/>
  <c r="R237" i="18"/>
  <c r="R261" i="18"/>
  <c r="P277" i="18"/>
  <c r="R283" i="18"/>
  <c r="W284" i="18"/>
  <c r="V284" i="18" s="1"/>
  <c r="Q290" i="18"/>
  <c r="P292" i="18"/>
  <c r="R295" i="18"/>
  <c r="W296" i="18"/>
  <c r="V296" i="18" s="1"/>
  <c r="Q300" i="18"/>
  <c r="P302" i="18"/>
  <c r="R304" i="18"/>
  <c r="R314" i="18"/>
  <c r="S314" i="18" s="1"/>
  <c r="T314" i="18" s="1"/>
  <c r="R319" i="18"/>
  <c r="S319" i="18" s="1"/>
  <c r="T319" i="18" s="1"/>
  <c r="U319" i="18" s="1"/>
  <c r="W343" i="18"/>
  <c r="V343" i="18" s="1"/>
  <c r="R346" i="18"/>
  <c r="W354" i="18"/>
  <c r="V354" i="18" s="1"/>
  <c r="R357" i="18"/>
  <c r="R359" i="18"/>
  <c r="R365" i="18"/>
  <c r="S365" i="18" s="1"/>
  <c r="W365" i="18" s="1"/>
  <c r="R381" i="18"/>
  <c r="S381" i="18" s="1"/>
  <c r="W381" i="18" s="1"/>
  <c r="T277" i="18"/>
  <c r="U277" i="18" s="1"/>
  <c r="R323" i="18"/>
  <c r="S323" i="18" s="1"/>
  <c r="T323" i="18" s="1"/>
  <c r="U323" i="18" s="1"/>
  <c r="R392" i="18"/>
  <c r="W202" i="18"/>
  <c r="V202" i="18" s="1"/>
  <c r="R212" i="18"/>
  <c r="R217" i="18"/>
  <c r="T228" i="18"/>
  <c r="U228" i="18" s="1"/>
  <c r="Q230" i="18"/>
  <c r="Q269" i="18"/>
  <c r="T278" i="18"/>
  <c r="V278" i="18" s="1"/>
  <c r="Q280" i="18"/>
  <c r="W281" i="18"/>
  <c r="V281" i="18" s="1"/>
  <c r="T283" i="18"/>
  <c r="U283" i="18" s="1"/>
  <c r="T293" i="18"/>
  <c r="U293" i="18" s="1"/>
  <c r="R299" i="18"/>
  <c r="T300" i="18"/>
  <c r="V300" i="18" s="1"/>
  <c r="R310" i="18"/>
  <c r="R320" i="18"/>
  <c r="S320" i="18" s="1"/>
  <c r="T320" i="18" s="1"/>
  <c r="U320" i="18" s="1"/>
  <c r="R355" i="18"/>
  <c r="R318" i="18"/>
  <c r="S318" i="18" s="1"/>
  <c r="T318" i="18" s="1"/>
  <c r="U318" i="18" s="1"/>
  <c r="P203" i="18"/>
  <c r="Q208" i="18"/>
  <c r="Q210" i="18"/>
  <c r="Q219" i="18"/>
  <c r="P226" i="18"/>
  <c r="Q227" i="18"/>
  <c r="Q244" i="18"/>
  <c r="Q246" i="18"/>
  <c r="R252" i="18"/>
  <c r="Q256" i="18"/>
  <c r="Q264" i="18"/>
  <c r="R305" i="18"/>
  <c r="R347" i="18"/>
  <c r="S347" i="18" s="1"/>
  <c r="T347" i="18" s="1"/>
  <c r="U347" i="18" s="1"/>
  <c r="Q291" i="18"/>
  <c r="P291" i="18"/>
  <c r="U284" i="18"/>
  <c r="U296" i="18"/>
  <c r="U233" i="18"/>
  <c r="U237" i="18"/>
  <c r="P219" i="18"/>
  <c r="P280" i="18"/>
  <c r="T201" i="18"/>
  <c r="U201" i="18" s="1"/>
  <c r="T204" i="18"/>
  <c r="T250" i="18"/>
  <c r="T262" i="18"/>
  <c r="V262" i="18" s="1"/>
  <c r="T208" i="18"/>
  <c r="U208" i="18" s="1"/>
  <c r="W222" i="18"/>
  <c r="V222" i="18" s="1"/>
  <c r="Q226" i="18"/>
  <c r="T248" i="18"/>
  <c r="U248" i="18" s="1"/>
  <c r="T251" i="18"/>
  <c r="U251" i="18" s="1"/>
  <c r="T257" i="18"/>
  <c r="T260" i="18"/>
  <c r="V260" i="18" s="1"/>
  <c r="R263" i="18"/>
  <c r="T265" i="18"/>
  <c r="U265" i="18" s="1"/>
  <c r="T266" i="18"/>
  <c r="V266" i="18" s="1"/>
  <c r="R281" i="18"/>
  <c r="T282" i="18"/>
  <c r="U282" i="18" s="1"/>
  <c r="T294" i="18"/>
  <c r="U294" i="18" s="1"/>
  <c r="T301" i="18"/>
  <c r="R324" i="18"/>
  <c r="S324" i="18" s="1"/>
  <c r="T324" i="18" s="1"/>
  <c r="U324" i="18" s="1"/>
  <c r="R340" i="18"/>
  <c r="R367" i="18"/>
  <c r="R375" i="18"/>
  <c r="R383" i="18"/>
  <c r="S383" i="18" s="1"/>
  <c r="W383" i="18" s="1"/>
  <c r="R240" i="18"/>
  <c r="T302" i="18"/>
  <c r="U302" i="18" s="1"/>
  <c r="W233" i="18"/>
  <c r="V233" i="18" s="1"/>
  <c r="W237" i="18"/>
  <c r="V237" i="18" s="1"/>
  <c r="W249" i="18"/>
  <c r="V249" i="18" s="1"/>
  <c r="P253" i="18"/>
  <c r="W267" i="18"/>
  <c r="V267" i="18" s="1"/>
  <c r="W313" i="18"/>
  <c r="V313" i="18" s="1"/>
  <c r="W205" i="18"/>
  <c r="V205" i="18" s="1"/>
  <c r="T221" i="18"/>
  <c r="U221" i="18" s="1"/>
  <c r="R315" i="18"/>
  <c r="S315" i="18" s="1"/>
  <c r="T315" i="18" s="1"/>
  <c r="U315" i="18" s="1"/>
  <c r="P208" i="18"/>
  <c r="R209" i="18"/>
  <c r="T210" i="18"/>
  <c r="V210" i="18" s="1"/>
  <c r="T212" i="18"/>
  <c r="U212" i="18" s="1"/>
  <c r="T213" i="18"/>
  <c r="U213" i="18" s="1"/>
  <c r="Q215" i="18"/>
  <c r="Q216" i="18"/>
  <c r="T229" i="18"/>
  <c r="U229" i="18" s="1"/>
  <c r="U236" i="18"/>
  <c r="U240" i="18"/>
  <c r="R245" i="18"/>
  <c r="R259" i="18"/>
  <c r="P268" i="18"/>
  <c r="T279" i="18"/>
  <c r="T292" i="18"/>
  <c r="V292" i="18" s="1"/>
  <c r="T298" i="18"/>
  <c r="P303" i="18"/>
  <c r="W332" i="18"/>
  <c r="V332" i="18" s="1"/>
  <c r="W334" i="18"/>
  <c r="V334" i="18" s="1"/>
  <c r="R348" i="18"/>
  <c r="S348" i="18" s="1"/>
  <c r="T348" i="18" s="1"/>
  <c r="U348" i="18" s="1"/>
  <c r="W356" i="18"/>
  <c r="V356" i="18" s="1"/>
  <c r="Q361" i="18"/>
  <c r="P228" i="18"/>
  <c r="P230" i="18"/>
  <c r="P258" i="18"/>
  <c r="W335" i="18"/>
  <c r="V335" i="18" s="1"/>
  <c r="R201" i="18"/>
  <c r="Q204" i="18"/>
  <c r="Q205" i="18"/>
  <c r="P207" i="18"/>
  <c r="T209" i="18"/>
  <c r="U209" i="18" s="1"/>
  <c r="P220" i="18"/>
  <c r="Q221" i="18"/>
  <c r="U235" i="18"/>
  <c r="Q242" i="18"/>
  <c r="P247" i="18"/>
  <c r="Q249" i="18"/>
  <c r="Q250" i="18"/>
  <c r="Q251" i="18"/>
  <c r="R262" i="18"/>
  <c r="Q267" i="18"/>
  <c r="P288" i="18"/>
  <c r="Q302" i="18"/>
  <c r="R325" i="18"/>
  <c r="S325" i="18" s="1"/>
  <c r="T325" i="18" s="1"/>
  <c r="U325" i="18" s="1"/>
  <c r="R341" i="18"/>
  <c r="S341" i="18" s="1"/>
  <c r="T341" i="18" s="1"/>
  <c r="U341" i="18" s="1"/>
  <c r="T358" i="18"/>
  <c r="U358" i="18" s="1"/>
  <c r="Q363" i="18"/>
  <c r="R371" i="18"/>
  <c r="S371" i="18" s="1"/>
  <c r="W371" i="18" s="1"/>
  <c r="R379" i="18"/>
  <c r="S379" i="18" s="1"/>
  <c r="T379" i="18" s="1"/>
  <c r="R387" i="18"/>
  <c r="R236" i="18"/>
  <c r="Q214" i="18"/>
  <c r="P229" i="18"/>
  <c r="Q233" i="18"/>
  <c r="P241" i="18"/>
  <c r="P244" i="18"/>
  <c r="P246" i="18"/>
  <c r="Q257" i="18"/>
  <c r="R260" i="18"/>
  <c r="Q265" i="18"/>
  <c r="Q266" i="18"/>
  <c r="P278" i="18"/>
  <c r="P279" i="18"/>
  <c r="Q288" i="18"/>
  <c r="Q301" i="18"/>
  <c r="R317" i="18"/>
  <c r="S317" i="18" s="1"/>
  <c r="T317" i="18" s="1"/>
  <c r="U317" i="18" s="1"/>
  <c r="R329" i="18"/>
  <c r="R337" i="18"/>
  <c r="R366" i="18"/>
  <c r="R374" i="18"/>
  <c r="R382" i="18"/>
  <c r="S382" i="18" s="1"/>
  <c r="W382" i="18" s="1"/>
  <c r="R390" i="18"/>
  <c r="S390" i="18" s="1"/>
  <c r="W390" i="18" s="1"/>
  <c r="P218" i="18"/>
  <c r="U219" i="18"/>
  <c r="P214" i="18"/>
  <c r="U216" i="18"/>
  <c r="U206" i="18"/>
  <c r="U205" i="18"/>
  <c r="P206" i="18"/>
  <c r="U207" i="18"/>
  <c r="U217" i="18"/>
  <c r="T218" i="18"/>
  <c r="T232" i="18"/>
  <c r="W288" i="18"/>
  <c r="T288" i="18"/>
  <c r="T203" i="18"/>
  <c r="T214" i="18"/>
  <c r="T224" i="18"/>
  <c r="T225" i="18"/>
  <c r="T227" i="18"/>
  <c r="W227" i="18"/>
  <c r="T231" i="18"/>
  <c r="T242" i="18"/>
  <c r="T247" i="18"/>
  <c r="W254" i="18"/>
  <c r="T254" i="18"/>
  <c r="W304" i="18"/>
  <c r="T304" i="18"/>
  <c r="W306" i="18"/>
  <c r="T306" i="18"/>
  <c r="W308" i="18"/>
  <c r="T308" i="18"/>
  <c r="T310" i="18"/>
  <c r="W310" i="18"/>
  <c r="U333" i="18"/>
  <c r="T330" i="18"/>
  <c r="W330" i="18"/>
  <c r="T220" i="18"/>
  <c r="T230" i="18"/>
  <c r="T256" i="18"/>
  <c r="W256" i="18"/>
  <c r="P257" i="18"/>
  <c r="U269" i="18"/>
  <c r="U290" i="18"/>
  <c r="P301" i="18"/>
  <c r="W333" i="18"/>
  <c r="V333" i="18" s="1"/>
  <c r="T346" i="18"/>
  <c r="W346" i="18"/>
  <c r="W206" i="18"/>
  <c r="V206" i="18" s="1"/>
  <c r="T245" i="18"/>
  <c r="W245" i="18"/>
  <c r="T259" i="18"/>
  <c r="T261" i="18"/>
  <c r="T263" i="18"/>
  <c r="P267" i="18"/>
  <c r="Q279" i="18"/>
  <c r="R332" i="18"/>
  <c r="T338" i="18"/>
  <c r="W338" i="18"/>
  <c r="P233" i="18"/>
  <c r="P248" i="18"/>
  <c r="W268" i="18"/>
  <c r="T268" i="18"/>
  <c r="W289" i="18"/>
  <c r="T289" i="18"/>
  <c r="W243" i="18"/>
  <c r="V243" i="18" s="1"/>
  <c r="T244" i="18"/>
  <c r="W244" i="18"/>
  <c r="W253" i="18"/>
  <c r="T253" i="18"/>
  <c r="W255" i="18"/>
  <c r="T255" i="18"/>
  <c r="P264" i="18"/>
  <c r="P269" i="18"/>
  <c r="Q287" i="18"/>
  <c r="P290" i="18"/>
  <c r="W303" i="18"/>
  <c r="T303" i="18"/>
  <c r="W305" i="18"/>
  <c r="T305" i="18"/>
  <c r="W307" i="18"/>
  <c r="T307" i="18"/>
  <c r="W309" i="18"/>
  <c r="T309" i="18"/>
  <c r="R313" i="18"/>
  <c r="U354" i="18"/>
  <c r="W367" i="18"/>
  <c r="T367" i="18"/>
  <c r="Q243" i="18"/>
  <c r="Q248" i="18"/>
  <c r="P249" i="18"/>
  <c r="P256" i="18"/>
  <c r="P265" i="18"/>
  <c r="P284" i="18"/>
  <c r="P293" i="18"/>
  <c r="W375" i="18"/>
  <c r="T375" i="18"/>
  <c r="W269" i="18"/>
  <c r="V269" i="18" s="1"/>
  <c r="W276" i="18"/>
  <c r="V276" i="18" s="1"/>
  <c r="W290" i="18"/>
  <c r="V290" i="18" s="1"/>
  <c r="U335" i="18"/>
  <c r="U343" i="18"/>
  <c r="W378" i="18"/>
  <c r="T378" i="18"/>
  <c r="U332" i="18"/>
  <c r="U340" i="18"/>
  <c r="U356" i="18"/>
  <c r="U321" i="18"/>
  <c r="U329" i="18"/>
  <c r="U337" i="18"/>
  <c r="U345" i="18"/>
  <c r="W368" i="18"/>
  <c r="T368" i="18"/>
  <c r="W376" i="18"/>
  <c r="T376" i="18"/>
  <c r="W321" i="18"/>
  <c r="V321" i="18" s="1"/>
  <c r="W329" i="18"/>
  <c r="V329" i="18" s="1"/>
  <c r="U334" i="18"/>
  <c r="W337" i="18"/>
  <c r="V337" i="18" s="1"/>
  <c r="W345" i="18"/>
  <c r="V345" i="18" s="1"/>
  <c r="P361" i="18"/>
  <c r="W363" i="18"/>
  <c r="T363" i="18"/>
  <c r="U331" i="18"/>
  <c r="U339" i="18"/>
  <c r="U355" i="18"/>
  <c r="W366" i="18"/>
  <c r="T366" i="18"/>
  <c r="W374" i="18"/>
  <c r="T374" i="18"/>
  <c r="V311" i="18"/>
  <c r="W312" i="18"/>
  <c r="V312" i="18" s="1"/>
  <c r="W331" i="18"/>
  <c r="V331" i="18" s="1"/>
  <c r="W339" i="18"/>
  <c r="V339" i="18" s="1"/>
  <c r="U344" i="18"/>
  <c r="W369" i="18"/>
  <c r="T369" i="18"/>
  <c r="W377" i="18"/>
  <c r="T377" i="18"/>
  <c r="T361" i="18"/>
  <c r="W362" i="18"/>
  <c r="V362" i="18" s="1"/>
  <c r="T384" i="18"/>
  <c r="T385" i="18"/>
  <c r="T386" i="18"/>
  <c r="T387" i="18"/>
  <c r="T388" i="18"/>
  <c r="T392" i="18"/>
  <c r="T393" i="18"/>
  <c r="U357" i="18"/>
  <c r="U359" i="18"/>
  <c r="V252" i="18" l="1"/>
  <c r="T389" i="18"/>
  <c r="V389" i="18" s="1"/>
  <c r="V239" i="18"/>
  <c r="W273" i="18"/>
  <c r="V273" i="18" s="1"/>
  <c r="W336" i="18"/>
  <c r="V336" i="18" s="1"/>
  <c r="R363" i="18"/>
  <c r="W360" i="18"/>
  <c r="V360" i="18" s="1"/>
  <c r="R251" i="18"/>
  <c r="U258" i="18"/>
  <c r="R293" i="18"/>
  <c r="T391" i="18"/>
  <c r="V391" i="18" s="1"/>
  <c r="T364" i="18"/>
  <c r="U364" i="18" s="1"/>
  <c r="R205" i="18"/>
  <c r="R203" i="18"/>
  <c r="V299" i="18"/>
  <c r="R213" i="18"/>
  <c r="R362" i="18"/>
  <c r="T370" i="18"/>
  <c r="U370" i="18" s="1"/>
  <c r="W347" i="18"/>
  <c r="V347" i="18" s="1"/>
  <c r="W323" i="18"/>
  <c r="V323" i="18" s="1"/>
  <c r="W274" i="18"/>
  <c r="V274" i="18" s="1"/>
  <c r="R247" i="18"/>
  <c r="V358" i="18"/>
  <c r="R241" i="18"/>
  <c r="R210" i="18"/>
  <c r="T380" i="18"/>
  <c r="V380" i="18" s="1"/>
  <c r="W270" i="18"/>
  <c r="V270" i="18" s="1"/>
  <c r="V291" i="18"/>
  <c r="W271" i="18"/>
  <c r="V271" i="18" s="1"/>
  <c r="T372" i="18"/>
  <c r="V372" i="18" s="1"/>
  <c r="T383" i="18"/>
  <c r="V383" i="18" s="1"/>
  <c r="R268" i="18"/>
  <c r="W352" i="18"/>
  <c r="V352" i="18" s="1"/>
  <c r="V248" i="18"/>
  <c r="W379" i="18"/>
  <c r="V379" i="18" s="1"/>
  <c r="W315" i="18"/>
  <c r="V315" i="18" s="1"/>
  <c r="T373" i="18"/>
  <c r="V373" i="18" s="1"/>
  <c r="W275" i="18"/>
  <c r="V275" i="18" s="1"/>
  <c r="R216" i="18"/>
  <c r="U241" i="18"/>
  <c r="W272" i="18"/>
  <c r="V272" i="18" s="1"/>
  <c r="R229" i="18"/>
  <c r="R361" i="18"/>
  <c r="R256" i="18"/>
  <c r="W314" i="18"/>
  <c r="V314" i="18" s="1"/>
  <c r="R206" i="18"/>
  <c r="R278" i="18"/>
  <c r="W327" i="18"/>
  <c r="V327" i="18" s="1"/>
  <c r="R233" i="18"/>
  <c r="W353" i="18"/>
  <c r="V353" i="18" s="1"/>
  <c r="R253" i="18"/>
  <c r="T390" i="18"/>
  <c r="U390" i="18" s="1"/>
  <c r="T381" i="18"/>
  <c r="V381" i="18" s="1"/>
  <c r="R284" i="18"/>
  <c r="V287" i="18"/>
  <c r="W351" i="18"/>
  <c r="V351" i="18" s="1"/>
  <c r="T285" i="18"/>
  <c r="V285" i="18" s="1"/>
  <c r="R218" i="18"/>
  <c r="W316" i="18"/>
  <c r="V316" i="18" s="1"/>
  <c r="T286" i="18"/>
  <c r="U286" i="18" s="1"/>
  <c r="R302" i="18"/>
  <c r="R266" i="18"/>
  <c r="V226" i="18"/>
  <c r="W342" i="18"/>
  <c r="V342" i="18" s="1"/>
  <c r="R215" i="18"/>
  <c r="R220" i="18"/>
  <c r="V295" i="18"/>
  <c r="W317" i="18"/>
  <c r="V317" i="18" s="1"/>
  <c r="W328" i="18"/>
  <c r="V328" i="18" s="1"/>
  <c r="R250" i="18"/>
  <c r="R222" i="18"/>
  <c r="R249" i="18"/>
  <c r="W325" i="18"/>
  <c r="V325" i="18" s="1"/>
  <c r="U210" i="18"/>
  <c r="R303" i="18"/>
  <c r="R224" i="18"/>
  <c r="R242" i="18"/>
  <c r="R204" i="18"/>
  <c r="R301" i="18"/>
  <c r="T371" i="18"/>
  <c r="V371" i="18" s="1"/>
  <c r="W322" i="18"/>
  <c r="V322" i="18" s="1"/>
  <c r="T365" i="18"/>
  <c r="V365" i="18" s="1"/>
  <c r="W349" i="18"/>
  <c r="V349" i="18" s="1"/>
  <c r="W341" i="18"/>
  <c r="V341" i="18" s="1"/>
  <c r="W324" i="18"/>
  <c r="V324" i="18" s="1"/>
  <c r="W350" i="18"/>
  <c r="V350" i="18" s="1"/>
  <c r="W348" i="18"/>
  <c r="V348" i="18" s="1"/>
  <c r="R279" i="18"/>
  <c r="R244" i="18"/>
  <c r="R292" i="18"/>
  <c r="W320" i="18"/>
  <c r="V320" i="18" s="1"/>
  <c r="R277" i="18"/>
  <c r="T382" i="18"/>
  <c r="U382" i="18" s="1"/>
  <c r="W326" i="18"/>
  <c r="V326" i="18" s="1"/>
  <c r="W318" i="18"/>
  <c r="V318" i="18" s="1"/>
  <c r="W319" i="18"/>
  <c r="V319" i="18" s="1"/>
  <c r="V209" i="18"/>
  <c r="V297" i="18"/>
  <c r="R246" i="18"/>
  <c r="V293" i="18"/>
  <c r="U266" i="18"/>
  <c r="R230" i="18"/>
  <c r="U300" i="18"/>
  <c r="R243" i="18"/>
  <c r="R228" i="18"/>
  <c r="V211" i="18"/>
  <c r="V302" i="18"/>
  <c r="R208" i="18"/>
  <c r="R291" i="18"/>
  <c r="V215" i="18"/>
  <c r="R227" i="18"/>
  <c r="R287" i="18"/>
  <c r="R207" i="18"/>
  <c r="U292" i="18"/>
  <c r="R290" i="18"/>
  <c r="V208" i="18"/>
  <c r="V277" i="18"/>
  <c r="R214" i="18"/>
  <c r="V228" i="18"/>
  <c r="R226" i="18"/>
  <c r="V212" i="18"/>
  <c r="R221" i="18"/>
  <c r="V264" i="18"/>
  <c r="U260" i="18"/>
  <c r="R265" i="18"/>
  <c r="R280" i="18"/>
  <c r="V294" i="18"/>
  <c r="R219" i="18"/>
  <c r="V251" i="18"/>
  <c r="R269" i="18"/>
  <c r="R267" i="18"/>
  <c r="U278" i="18"/>
  <c r="V221" i="18"/>
  <c r="V201" i="18"/>
  <c r="R257" i="18"/>
  <c r="R258" i="18"/>
  <c r="R300" i="18"/>
  <c r="V283" i="18"/>
  <c r="R264" i="18"/>
  <c r="U246" i="18"/>
  <c r="V246" i="18"/>
  <c r="U279" i="18"/>
  <c r="V279" i="18"/>
  <c r="V229" i="18"/>
  <c r="V301" i="18"/>
  <c r="U301" i="18"/>
  <c r="V250" i="18"/>
  <c r="U250" i="18"/>
  <c r="V282" i="18"/>
  <c r="R248" i="18"/>
  <c r="U298" i="18"/>
  <c r="V298" i="18"/>
  <c r="R288" i="18"/>
  <c r="V204" i="18"/>
  <c r="U204" i="18"/>
  <c r="U262" i="18"/>
  <c r="V213" i="18"/>
  <c r="V257" i="18"/>
  <c r="U257" i="18"/>
  <c r="V265" i="18"/>
  <c r="V369" i="18"/>
  <c r="U369" i="18"/>
  <c r="U244" i="18"/>
  <c r="V244" i="18"/>
  <c r="U230" i="18"/>
  <c r="V230" i="18"/>
  <c r="V218" i="18"/>
  <c r="U218" i="18"/>
  <c r="V363" i="18"/>
  <c r="U363" i="18"/>
  <c r="V367" i="18"/>
  <c r="U367" i="18"/>
  <c r="V305" i="18"/>
  <c r="U305" i="18"/>
  <c r="V245" i="18"/>
  <c r="U245" i="18"/>
  <c r="V220" i="18"/>
  <c r="U220" i="18"/>
  <c r="V304" i="18"/>
  <c r="U304" i="18"/>
  <c r="V247" i="18"/>
  <c r="U247" i="18"/>
  <c r="V214" i="18"/>
  <c r="U214" i="18"/>
  <c r="V388" i="18"/>
  <c r="U388" i="18"/>
  <c r="U314" i="18"/>
  <c r="V303" i="18"/>
  <c r="U303" i="18"/>
  <c r="V255" i="18"/>
  <c r="U255" i="18"/>
  <c r="V330" i="18"/>
  <c r="U330" i="18"/>
  <c r="U231" i="18"/>
  <c r="V231" i="18"/>
  <c r="V387" i="18"/>
  <c r="U387" i="18"/>
  <c r="V376" i="18"/>
  <c r="U376" i="18"/>
  <c r="V375" i="18"/>
  <c r="U375" i="18"/>
  <c r="V263" i="18"/>
  <c r="U263" i="18"/>
  <c r="V310" i="18"/>
  <c r="U310" i="18"/>
  <c r="V203" i="18"/>
  <c r="U203" i="18"/>
  <c r="V242" i="18"/>
  <c r="U242" i="18"/>
  <c r="V386" i="18"/>
  <c r="U386" i="18"/>
  <c r="V361" i="18"/>
  <c r="U361" i="18"/>
  <c r="V374" i="18"/>
  <c r="U374" i="18"/>
  <c r="U379" i="18"/>
  <c r="V378" i="18"/>
  <c r="U378" i="18"/>
  <c r="V309" i="18"/>
  <c r="U309" i="18"/>
  <c r="V253" i="18"/>
  <c r="U253" i="18"/>
  <c r="V289" i="18"/>
  <c r="U289" i="18"/>
  <c r="V338" i="18"/>
  <c r="U338" i="18"/>
  <c r="V261" i="18"/>
  <c r="U261" i="18"/>
  <c r="V308" i="18"/>
  <c r="U308" i="18"/>
  <c r="V227" i="18"/>
  <c r="U227" i="18"/>
  <c r="V288" i="18"/>
  <c r="U288" i="18"/>
  <c r="V393" i="18"/>
  <c r="U393" i="18"/>
  <c r="V385" i="18"/>
  <c r="U385" i="18"/>
  <c r="V377" i="18"/>
  <c r="U377" i="18"/>
  <c r="V368" i="18"/>
  <c r="U368" i="18"/>
  <c r="V259" i="18"/>
  <c r="U259" i="18"/>
  <c r="V346" i="18"/>
  <c r="U346" i="18"/>
  <c r="V225" i="18"/>
  <c r="U225" i="18"/>
  <c r="V392" i="18"/>
  <c r="U392" i="18"/>
  <c r="V384" i="18"/>
  <c r="U384" i="18"/>
  <c r="V366" i="18"/>
  <c r="U366" i="18"/>
  <c r="U322" i="18"/>
  <c r="V307" i="18"/>
  <c r="U307" i="18"/>
  <c r="V268" i="18"/>
  <c r="U268" i="18"/>
  <c r="V256" i="18"/>
  <c r="U256" i="18"/>
  <c r="V306" i="18"/>
  <c r="U306" i="18"/>
  <c r="V254" i="18"/>
  <c r="U254" i="18"/>
  <c r="V224" i="18"/>
  <c r="U224" i="18"/>
  <c r="U232" i="18"/>
  <c r="V232" i="18"/>
  <c r="U389" i="18" l="1"/>
  <c r="V364" i="18"/>
  <c r="U381" i="18"/>
  <c r="U391" i="18"/>
  <c r="U372" i="18"/>
  <c r="V370" i="18"/>
  <c r="U380" i="18"/>
  <c r="U383" i="18"/>
  <c r="U373" i="18"/>
  <c r="U365" i="18"/>
  <c r="V390" i="18"/>
  <c r="V286" i="18"/>
  <c r="U285" i="18"/>
  <c r="U371" i="18"/>
  <c r="V382" i="18"/>
  <c r="P32" i="17"/>
  <c r="Q32" i="17"/>
  <c r="R32" i="17" l="1"/>
  <c r="S32" i="17" s="1"/>
  <c r="W32" i="17" s="1"/>
  <c r="T32" i="17" l="1"/>
  <c r="V32" i="17" s="1"/>
  <c r="Q143" i="18" l="1"/>
  <c r="U32" i="17"/>
  <c r="P143" i="18"/>
  <c r="R143" i="18" l="1"/>
  <c r="S143" i="18" s="1"/>
  <c r="Q92" i="18" l="1"/>
  <c r="Q23" i="18"/>
  <c r="Q43" i="18"/>
  <c r="P42" i="18"/>
  <c r="Q129" i="18"/>
  <c r="P10" i="18"/>
  <c r="Q42" i="18"/>
  <c r="P32" i="18"/>
  <c r="P23" i="18"/>
  <c r="Q34" i="18"/>
  <c r="Q32" i="18"/>
  <c r="Q37" i="18"/>
  <c r="Q15" i="18"/>
  <c r="Q81" i="18"/>
  <c r="Q10" i="18"/>
  <c r="P34" i="18"/>
  <c r="Q80" i="18"/>
  <c r="P129" i="18"/>
  <c r="P92" i="18"/>
  <c r="P15" i="18"/>
  <c r="P43" i="18"/>
  <c r="P37" i="18"/>
  <c r="P81" i="18"/>
  <c r="P80" i="18"/>
  <c r="R23" i="18" l="1"/>
  <c r="R43" i="18"/>
  <c r="R92" i="18"/>
  <c r="R42" i="18"/>
  <c r="R10" i="18"/>
  <c r="R32" i="18"/>
  <c r="R34" i="18"/>
  <c r="R129" i="18"/>
  <c r="S129" i="18" s="1"/>
  <c r="R80" i="18"/>
  <c r="R37" i="18"/>
  <c r="R15" i="18"/>
  <c r="R81" i="18"/>
  <c r="Q18" i="17"/>
  <c r="P18" i="17" l="1"/>
  <c r="R18" i="17" s="1"/>
  <c r="S18" i="17" s="1"/>
  <c r="T18" i="17" s="1"/>
  <c r="W18" i="17" l="1"/>
  <c r="V18" i="17" s="1"/>
  <c r="U18" i="17"/>
  <c r="Q187" i="18" l="1"/>
  <c r="Q173" i="18" l="1"/>
  <c r="Q93" i="18"/>
  <c r="P113" i="18"/>
  <c r="P93" i="18"/>
  <c r="P173" i="18"/>
  <c r="Q59" i="18"/>
  <c r="P59" i="18"/>
  <c r="Q113" i="18"/>
  <c r="Q199" i="18"/>
  <c r="Q174" i="18"/>
  <c r="P174" i="18"/>
  <c r="P199" i="18"/>
  <c r="P187" i="18"/>
  <c r="R187" i="18" s="1"/>
  <c r="R173" i="18" l="1"/>
  <c r="R174" i="18"/>
  <c r="R59" i="18"/>
  <c r="S59" i="18" s="1"/>
  <c r="R93" i="18"/>
  <c r="R199" i="18"/>
  <c r="R113" i="18"/>
  <c r="S113" i="18" s="1"/>
  <c r="S195" i="18" l="1"/>
  <c r="T195" i="18" s="1"/>
  <c r="R570" i="17"/>
  <c r="S570" i="17" s="1"/>
  <c r="T570" i="17" s="1"/>
  <c r="U570" i="17" s="1"/>
  <c r="E5" i="9"/>
  <c r="E6" i="9"/>
  <c r="E7" i="9"/>
  <c r="S98" i="18" s="1"/>
  <c r="W98" i="18" s="1"/>
  <c r="E8" i="9"/>
  <c r="E9" i="9"/>
  <c r="S199" i="18" s="1"/>
  <c r="E10" i="9"/>
  <c r="E11" i="9"/>
  <c r="S189" i="18" s="1"/>
  <c r="E12" i="9"/>
  <c r="S32" i="18" s="1"/>
  <c r="E13" i="9"/>
  <c r="E14" i="9"/>
  <c r="W44" i="18" s="1"/>
  <c r="E15" i="9"/>
  <c r="T21" i="18" s="1"/>
  <c r="E4" i="9"/>
  <c r="S154" i="18" s="1"/>
  <c r="W154" i="18" s="1"/>
  <c r="P101" i="17"/>
  <c r="Q101" i="17"/>
  <c r="P91" i="17"/>
  <c r="Q91" i="17"/>
  <c r="P41" i="17"/>
  <c r="Q41" i="17"/>
  <c r="P40" i="17"/>
  <c r="Q40" i="17"/>
  <c r="P42" i="17"/>
  <c r="Q42" i="17"/>
  <c r="P63" i="17"/>
  <c r="Q63" i="17"/>
  <c r="P10" i="17"/>
  <c r="Q10" i="17"/>
  <c r="P74" i="17"/>
  <c r="Q74" i="17"/>
  <c r="P84" i="17"/>
  <c r="Q84" i="17"/>
  <c r="P444" i="17"/>
  <c r="Q444" i="17"/>
  <c r="P445" i="17"/>
  <c r="Q445" i="17"/>
  <c r="P446" i="17"/>
  <c r="Q446" i="17"/>
  <c r="P447" i="17"/>
  <c r="Q447" i="17"/>
  <c r="P448" i="17"/>
  <c r="Q448" i="17"/>
  <c r="P449" i="17"/>
  <c r="Q449" i="17"/>
  <c r="P450" i="17"/>
  <c r="Q450" i="17"/>
  <c r="P451" i="17"/>
  <c r="Q451" i="17"/>
  <c r="P452" i="17"/>
  <c r="Q452" i="17"/>
  <c r="P453" i="17"/>
  <c r="Q453" i="17"/>
  <c r="P454" i="17"/>
  <c r="Q454" i="17"/>
  <c r="P455" i="17"/>
  <c r="Q455" i="17"/>
  <c r="P456" i="17"/>
  <c r="Q456" i="17"/>
  <c r="P457" i="17"/>
  <c r="Q457" i="17"/>
  <c r="P458" i="17"/>
  <c r="Q458" i="17"/>
  <c r="P459" i="17"/>
  <c r="Q459" i="17"/>
  <c r="P460" i="17"/>
  <c r="Q460" i="17"/>
  <c r="P461" i="17"/>
  <c r="Q461" i="17"/>
  <c r="P462" i="17"/>
  <c r="Q462" i="17"/>
  <c r="P463" i="17"/>
  <c r="Q463" i="17"/>
  <c r="P464" i="17"/>
  <c r="Q464" i="17"/>
  <c r="P465" i="17"/>
  <c r="Q465" i="17"/>
  <c r="P466" i="17"/>
  <c r="Q466" i="17"/>
  <c r="P467" i="17"/>
  <c r="Q467" i="17"/>
  <c r="P468" i="17"/>
  <c r="Q468" i="17"/>
  <c r="P469" i="17"/>
  <c r="Q469" i="17"/>
  <c r="P470" i="17"/>
  <c r="Q470" i="17"/>
  <c r="P471" i="17"/>
  <c r="Q471" i="17"/>
  <c r="P472" i="17"/>
  <c r="Q472" i="17"/>
  <c r="P473" i="17"/>
  <c r="Q473" i="17"/>
  <c r="P474" i="17"/>
  <c r="Q474" i="17"/>
  <c r="P475" i="17"/>
  <c r="Q475" i="17"/>
  <c r="P476" i="17"/>
  <c r="Q476" i="17"/>
  <c r="P477" i="17"/>
  <c r="Q477" i="17"/>
  <c r="P478" i="17"/>
  <c r="Q478" i="17"/>
  <c r="P479" i="17"/>
  <c r="Q479" i="17"/>
  <c r="P480" i="17"/>
  <c r="Q480" i="17"/>
  <c r="P481" i="17"/>
  <c r="Q481" i="17"/>
  <c r="P482" i="17"/>
  <c r="Q482" i="17"/>
  <c r="P483" i="17"/>
  <c r="Q483" i="17"/>
  <c r="P484" i="17"/>
  <c r="Q484" i="17"/>
  <c r="P485" i="17"/>
  <c r="Q485" i="17"/>
  <c r="P486" i="17"/>
  <c r="Q486" i="17"/>
  <c r="P487" i="17"/>
  <c r="Q487" i="17"/>
  <c r="P488" i="17"/>
  <c r="Q488" i="17"/>
  <c r="P489" i="17"/>
  <c r="Q489" i="17"/>
  <c r="P490" i="17"/>
  <c r="Q490" i="17"/>
  <c r="P491" i="17"/>
  <c r="Q491" i="17"/>
  <c r="P492" i="17"/>
  <c r="Q492" i="17"/>
  <c r="P493" i="17"/>
  <c r="Q493" i="17"/>
  <c r="P494" i="17"/>
  <c r="Q494" i="17"/>
  <c r="P495" i="17"/>
  <c r="Q495" i="17"/>
  <c r="P496" i="17"/>
  <c r="Q496" i="17"/>
  <c r="P497" i="17"/>
  <c r="Q497" i="17"/>
  <c r="P498" i="17"/>
  <c r="Q498" i="17"/>
  <c r="P499" i="17"/>
  <c r="Q499" i="17"/>
  <c r="P500" i="17"/>
  <c r="Q500" i="17"/>
  <c r="P501" i="17"/>
  <c r="Q501" i="17"/>
  <c r="P502" i="17"/>
  <c r="Q502" i="17"/>
  <c r="P503" i="17"/>
  <c r="Q503" i="17"/>
  <c r="P504" i="17"/>
  <c r="Q504" i="17"/>
  <c r="P505" i="17"/>
  <c r="Q505" i="17"/>
  <c r="P506" i="17"/>
  <c r="Q506" i="17"/>
  <c r="P507" i="17"/>
  <c r="Q507" i="17"/>
  <c r="P508" i="17"/>
  <c r="Q508" i="17"/>
  <c r="P509" i="17"/>
  <c r="Q509" i="17"/>
  <c r="P510" i="17"/>
  <c r="Q510" i="17"/>
  <c r="P511" i="17"/>
  <c r="Q511" i="17"/>
  <c r="P512" i="17"/>
  <c r="Q512" i="17"/>
  <c r="P513" i="17"/>
  <c r="Q513" i="17"/>
  <c r="P514" i="17"/>
  <c r="Q514" i="17"/>
  <c r="P515" i="17"/>
  <c r="Q515" i="17"/>
  <c r="P516" i="17"/>
  <c r="Q516" i="17"/>
  <c r="P517" i="17"/>
  <c r="Q517" i="17"/>
  <c r="P518" i="17"/>
  <c r="Q518" i="17"/>
  <c r="P519" i="17"/>
  <c r="Q519" i="17"/>
  <c r="P520" i="17"/>
  <c r="Q520" i="17"/>
  <c r="P521" i="17"/>
  <c r="Q521" i="17"/>
  <c r="P522" i="17"/>
  <c r="Q522" i="17"/>
  <c r="P523" i="17"/>
  <c r="Q523" i="17"/>
  <c r="P524" i="17"/>
  <c r="Q524" i="17"/>
  <c r="P525" i="17"/>
  <c r="Q525" i="17"/>
  <c r="P526" i="17"/>
  <c r="Q526" i="17"/>
  <c r="P527" i="17"/>
  <c r="Q527" i="17"/>
  <c r="P528" i="17"/>
  <c r="Q528" i="17"/>
  <c r="P529" i="17"/>
  <c r="Q529" i="17"/>
  <c r="P530" i="17"/>
  <c r="Q530" i="17"/>
  <c r="P531" i="17"/>
  <c r="Q531" i="17"/>
  <c r="P532" i="17"/>
  <c r="Q532" i="17"/>
  <c r="P533" i="17"/>
  <c r="Q533" i="17"/>
  <c r="P534" i="17"/>
  <c r="Q534" i="17"/>
  <c r="P535" i="17"/>
  <c r="Q535" i="17"/>
  <c r="P536" i="17"/>
  <c r="Q536" i="17"/>
  <c r="P537" i="17"/>
  <c r="Q537" i="17"/>
  <c r="P538" i="17"/>
  <c r="Q538" i="17"/>
  <c r="P539" i="17"/>
  <c r="Q539" i="17"/>
  <c r="P540" i="17"/>
  <c r="Q540" i="17"/>
  <c r="P541" i="17"/>
  <c r="Q541" i="17"/>
  <c r="P542" i="17"/>
  <c r="Q542" i="17"/>
  <c r="P543" i="17"/>
  <c r="Q543" i="17"/>
  <c r="P544" i="17"/>
  <c r="Q544" i="17"/>
  <c r="P545" i="17"/>
  <c r="Q545" i="17"/>
  <c r="P546" i="17"/>
  <c r="Q546" i="17"/>
  <c r="P547" i="17"/>
  <c r="Q547" i="17"/>
  <c r="P548" i="17"/>
  <c r="Q548" i="17"/>
  <c r="P549" i="17"/>
  <c r="Q549" i="17"/>
  <c r="P550" i="17"/>
  <c r="Q550" i="17"/>
  <c r="P551" i="17"/>
  <c r="Q551" i="17"/>
  <c r="P552" i="17"/>
  <c r="Q552" i="17"/>
  <c r="P553" i="17"/>
  <c r="Q553" i="17"/>
  <c r="P554" i="17"/>
  <c r="Q554" i="17"/>
  <c r="P555" i="17"/>
  <c r="Q555" i="17"/>
  <c r="P556" i="17"/>
  <c r="Q556" i="17"/>
  <c r="P557" i="17"/>
  <c r="Q557" i="17"/>
  <c r="P558" i="17"/>
  <c r="Q558" i="17"/>
  <c r="P559" i="17"/>
  <c r="Q559" i="17"/>
  <c r="P560" i="17"/>
  <c r="Q560" i="17"/>
  <c r="P561" i="17"/>
  <c r="Q561" i="17"/>
  <c r="P562" i="17"/>
  <c r="Q562" i="17"/>
  <c r="P563" i="17"/>
  <c r="Q563" i="17"/>
  <c r="P564" i="17"/>
  <c r="Q564" i="17"/>
  <c r="P565" i="17"/>
  <c r="Q565" i="17"/>
  <c r="P566" i="17"/>
  <c r="Q566" i="17"/>
  <c r="P567" i="17"/>
  <c r="Q567" i="17"/>
  <c r="P568" i="17"/>
  <c r="Q568" i="17"/>
  <c r="P569" i="17"/>
  <c r="Q569" i="17"/>
  <c r="S155" i="18" l="1"/>
  <c r="S101" i="18"/>
  <c r="S140" i="18"/>
  <c r="W140" i="18" s="1"/>
  <c r="W36" i="18"/>
  <c r="S112" i="18"/>
  <c r="T112" i="18" s="1"/>
  <c r="U112" i="18" s="1"/>
  <c r="W52" i="18"/>
  <c r="T53" i="18"/>
  <c r="U53" i="18" s="1"/>
  <c r="W6" i="18"/>
  <c r="T74" i="18"/>
  <c r="T77" i="18"/>
  <c r="U77" i="18" s="1"/>
  <c r="S121" i="18"/>
  <c r="W121" i="18" s="1"/>
  <c r="S175" i="18"/>
  <c r="W175" i="18" s="1"/>
  <c r="S180" i="18"/>
  <c r="T180" i="18" s="1"/>
  <c r="S168" i="18"/>
  <c r="W168" i="18" s="1"/>
  <c r="S160" i="18"/>
  <c r="W160" i="18" s="1"/>
  <c r="S105" i="18"/>
  <c r="T105" i="18" s="1"/>
  <c r="W72" i="18"/>
  <c r="T88" i="18"/>
  <c r="U88" i="18" s="1"/>
  <c r="W68" i="18"/>
  <c r="T54" i="18"/>
  <c r="T35" i="18"/>
  <c r="S122" i="18"/>
  <c r="T122" i="18" s="1"/>
  <c r="U122" i="18" s="1"/>
  <c r="W85" i="18"/>
  <c r="T69" i="18"/>
  <c r="U69" i="18" s="1"/>
  <c r="T11" i="18"/>
  <c r="U11" i="18" s="1"/>
  <c r="S172" i="18"/>
  <c r="W172" i="18" s="1"/>
  <c r="S92" i="18"/>
  <c r="S174" i="18"/>
  <c r="S93" i="18"/>
  <c r="T43" i="18"/>
  <c r="U43" i="18" s="1"/>
  <c r="W43" i="18"/>
  <c r="W71" i="18"/>
  <c r="S177" i="18"/>
  <c r="W177" i="18" s="1"/>
  <c r="S165" i="18"/>
  <c r="W165" i="18" s="1"/>
  <c r="S157" i="18"/>
  <c r="T157" i="18" s="1"/>
  <c r="U157" i="18" s="1"/>
  <c r="S153" i="18"/>
  <c r="T153" i="18" s="1"/>
  <c r="U153" i="18" s="1"/>
  <c r="T67" i="18"/>
  <c r="U67" i="18" s="1"/>
  <c r="S91" i="18"/>
  <c r="W91" i="18" s="1"/>
  <c r="T78" i="18"/>
  <c r="U78" i="18" s="1"/>
  <c r="S108" i="18"/>
  <c r="T108" i="18" s="1"/>
  <c r="U108" i="18" s="1"/>
  <c r="S24" i="18"/>
  <c r="T24" i="18" s="1"/>
  <c r="U24" i="18" s="1"/>
  <c r="S12" i="18"/>
  <c r="T12" i="18" s="1"/>
  <c r="U12" i="18" s="1"/>
  <c r="W32" i="18"/>
  <c r="T32" i="18"/>
  <c r="S141" i="18"/>
  <c r="T141" i="18" s="1"/>
  <c r="W5" i="18"/>
  <c r="S182" i="18"/>
  <c r="W182" i="18" s="1"/>
  <c r="S170" i="18"/>
  <c r="T170" i="18" s="1"/>
  <c r="S162" i="18"/>
  <c r="T162" i="18" s="1"/>
  <c r="S185" i="18"/>
  <c r="W185" i="18" s="1"/>
  <c r="T28" i="18"/>
  <c r="U28" i="18" s="1"/>
  <c r="S127" i="18"/>
  <c r="T127" i="18" s="1"/>
  <c r="S99" i="18"/>
  <c r="T99" i="18" s="1"/>
  <c r="U99" i="18" s="1"/>
  <c r="S197" i="18"/>
  <c r="T197" i="18" s="1"/>
  <c r="U197" i="18" s="1"/>
  <c r="W55" i="18"/>
  <c r="T50" i="18"/>
  <c r="U50" i="18" s="1"/>
  <c r="T49" i="18"/>
  <c r="S102" i="18"/>
  <c r="W102" i="18" s="1"/>
  <c r="S107" i="18"/>
  <c r="W107" i="18" s="1"/>
  <c r="W82" i="18"/>
  <c r="S183" i="18"/>
  <c r="T183" i="18" s="1"/>
  <c r="U183" i="18" s="1"/>
  <c r="S163" i="18"/>
  <c r="T163" i="18" s="1"/>
  <c r="T84" i="18"/>
  <c r="S10" i="18"/>
  <c r="W79" i="18"/>
  <c r="S179" i="18"/>
  <c r="W179" i="18" s="1"/>
  <c r="S167" i="18"/>
  <c r="T167" i="18" s="1"/>
  <c r="S159" i="18"/>
  <c r="T159" i="18" s="1"/>
  <c r="S124" i="18"/>
  <c r="W124" i="18" s="1"/>
  <c r="T56" i="18"/>
  <c r="T47" i="18"/>
  <c r="U47" i="18" s="1"/>
  <c r="W76" i="18"/>
  <c r="S109" i="18"/>
  <c r="T109" i="18" s="1"/>
  <c r="U109" i="18" s="1"/>
  <c r="W89" i="18"/>
  <c r="W9" i="18"/>
  <c r="S100" i="18"/>
  <c r="W100" i="18" s="1"/>
  <c r="W41" i="18"/>
  <c r="S171" i="18"/>
  <c r="W171" i="18" s="1"/>
  <c r="S187" i="18"/>
  <c r="S173" i="18"/>
  <c r="S176" i="18"/>
  <c r="W176" i="18" s="1"/>
  <c r="S164" i="18"/>
  <c r="W164" i="18" s="1"/>
  <c r="S156" i="18"/>
  <c r="W156" i="18" s="1"/>
  <c r="S152" i="18"/>
  <c r="T152" i="18" s="1"/>
  <c r="S14" i="18"/>
  <c r="T14" i="18" s="1"/>
  <c r="U14" i="18" s="1"/>
  <c r="T33" i="18"/>
  <c r="U33" i="18" s="1"/>
  <c r="S97" i="18"/>
  <c r="T97" i="18" s="1"/>
  <c r="U97" i="18" s="1"/>
  <c r="T70" i="18"/>
  <c r="U70" i="18" s="1"/>
  <c r="S106" i="18"/>
  <c r="T106" i="18" s="1"/>
  <c r="U106" i="18" s="1"/>
  <c r="T199" i="18"/>
  <c r="U199" i="18" s="1"/>
  <c r="W199" i="18"/>
  <c r="S38" i="18"/>
  <c r="W38" i="18" s="1"/>
  <c r="S181" i="18"/>
  <c r="W181" i="18" s="1"/>
  <c r="S169" i="18"/>
  <c r="T169" i="18" s="1"/>
  <c r="U169" i="18" s="1"/>
  <c r="S161" i="18"/>
  <c r="W161" i="18" s="1"/>
  <c r="S184" i="18"/>
  <c r="T184" i="18" s="1"/>
  <c r="U184" i="18" s="1"/>
  <c r="S94" i="18"/>
  <c r="T94" i="18" s="1"/>
  <c r="U94" i="18" s="1"/>
  <c r="S186" i="18"/>
  <c r="T186" i="18" s="1"/>
  <c r="U186" i="18" s="1"/>
  <c r="S188" i="18"/>
  <c r="T188" i="18" s="1"/>
  <c r="S125" i="18"/>
  <c r="W125" i="18" s="1"/>
  <c r="W83" i="18"/>
  <c r="S126" i="18"/>
  <c r="T126" i="18" s="1"/>
  <c r="U126" i="18" s="1"/>
  <c r="T13" i="18"/>
  <c r="U13" i="18" s="1"/>
  <c r="S103" i="18"/>
  <c r="T103" i="18" s="1"/>
  <c r="U103" i="18" s="1"/>
  <c r="T23" i="18"/>
  <c r="U23" i="18" s="1"/>
  <c r="W23" i="18"/>
  <c r="S196" i="18"/>
  <c r="T196" i="18" s="1"/>
  <c r="S95" i="18"/>
  <c r="T95" i="18" s="1"/>
  <c r="U95" i="18" s="1"/>
  <c r="T73" i="18"/>
  <c r="S178" i="18"/>
  <c r="T178" i="18" s="1"/>
  <c r="U178" i="18" s="1"/>
  <c r="S166" i="18"/>
  <c r="W166" i="18" s="1"/>
  <c r="S158" i="18"/>
  <c r="W158" i="18" s="1"/>
  <c r="W75" i="18"/>
  <c r="W51" i="18"/>
  <c r="S198" i="18"/>
  <c r="W198" i="18" s="1"/>
  <c r="W45" i="18"/>
  <c r="W66" i="18"/>
  <c r="S96" i="18"/>
  <c r="T96" i="18" s="1"/>
  <c r="U96" i="18" s="1"/>
  <c r="T40" i="18"/>
  <c r="S104" i="18"/>
  <c r="T104" i="18" s="1"/>
  <c r="U104" i="18" s="1"/>
  <c r="W27" i="18"/>
  <c r="S200" i="18"/>
  <c r="W200" i="18" s="1"/>
  <c r="Q106" i="18"/>
  <c r="P106" i="18"/>
  <c r="R563" i="17"/>
  <c r="S563" i="17" s="1"/>
  <c r="T563" i="17" s="1"/>
  <c r="R555" i="17"/>
  <c r="S555" i="17" s="1"/>
  <c r="W555" i="17" s="1"/>
  <c r="R551" i="17"/>
  <c r="S551" i="17" s="1"/>
  <c r="W551" i="17" s="1"/>
  <c r="R543" i="17"/>
  <c r="S543" i="17" s="1"/>
  <c r="W543" i="17" s="1"/>
  <c r="R539" i="17"/>
  <c r="S539" i="17" s="1"/>
  <c r="T539" i="17" s="1"/>
  <c r="U539" i="17" s="1"/>
  <c r="R535" i="17"/>
  <c r="S535" i="17" s="1"/>
  <c r="T535" i="17" s="1"/>
  <c r="R531" i="17"/>
  <c r="S531" i="17" s="1"/>
  <c r="T531" i="17" s="1"/>
  <c r="U531" i="17" s="1"/>
  <c r="R527" i="17"/>
  <c r="S527" i="17" s="1"/>
  <c r="W527" i="17" s="1"/>
  <c r="R523" i="17"/>
  <c r="S523" i="17" s="1"/>
  <c r="W523" i="17" s="1"/>
  <c r="R519" i="17"/>
  <c r="S519" i="17" s="1"/>
  <c r="W519" i="17" s="1"/>
  <c r="R515" i="17"/>
  <c r="S515" i="17" s="1"/>
  <c r="W515" i="17" s="1"/>
  <c r="R511" i="17"/>
  <c r="S511" i="17" s="1"/>
  <c r="T511" i="17" s="1"/>
  <c r="U511" i="17" s="1"/>
  <c r="R507" i="17"/>
  <c r="S507" i="17" s="1"/>
  <c r="T507" i="17" s="1"/>
  <c r="U507" i="17" s="1"/>
  <c r="R503" i="17"/>
  <c r="S503" i="17" s="1"/>
  <c r="W503" i="17" s="1"/>
  <c r="R567" i="17"/>
  <c r="S567" i="17" s="1"/>
  <c r="T567" i="17" s="1"/>
  <c r="R559" i="17"/>
  <c r="S559" i="17" s="1"/>
  <c r="W559" i="17" s="1"/>
  <c r="R547" i="17"/>
  <c r="S547" i="17" s="1"/>
  <c r="W547" i="17" s="1"/>
  <c r="R499" i="17"/>
  <c r="S499" i="17" s="1"/>
  <c r="T499" i="17" s="1"/>
  <c r="U499" i="17" s="1"/>
  <c r="P116" i="18"/>
  <c r="R568" i="17"/>
  <c r="S568" i="17" s="1"/>
  <c r="T568" i="17" s="1"/>
  <c r="R556" i="17"/>
  <c r="S556" i="17" s="1"/>
  <c r="W556" i="17" s="1"/>
  <c r="R532" i="17"/>
  <c r="S532" i="17" s="1"/>
  <c r="W532" i="17" s="1"/>
  <c r="R512" i="17"/>
  <c r="S512" i="17" s="1"/>
  <c r="W512" i="17" s="1"/>
  <c r="R492" i="17"/>
  <c r="S492" i="17" s="1"/>
  <c r="T492" i="17" s="1"/>
  <c r="U492" i="17" s="1"/>
  <c r="R480" i="17"/>
  <c r="S480" i="17" s="1"/>
  <c r="T480" i="17" s="1"/>
  <c r="R472" i="17"/>
  <c r="S472" i="17" s="1"/>
  <c r="T472" i="17" s="1"/>
  <c r="R468" i="17"/>
  <c r="S468" i="17" s="1"/>
  <c r="T468" i="17" s="1"/>
  <c r="R456" i="17"/>
  <c r="S456" i="17" s="1"/>
  <c r="W456" i="17" s="1"/>
  <c r="R444" i="17"/>
  <c r="S444" i="17" s="1"/>
  <c r="T444" i="17" s="1"/>
  <c r="U444" i="17" s="1"/>
  <c r="R544" i="17"/>
  <c r="S544" i="17" s="1"/>
  <c r="T544" i="17" s="1"/>
  <c r="U544" i="17" s="1"/>
  <c r="R516" i="17"/>
  <c r="S516" i="17" s="1"/>
  <c r="T516" i="17" s="1"/>
  <c r="U516" i="17" s="1"/>
  <c r="R460" i="17"/>
  <c r="S460" i="17" s="1"/>
  <c r="T460" i="17" s="1"/>
  <c r="R564" i="17"/>
  <c r="S564" i="17" s="1"/>
  <c r="W564" i="17" s="1"/>
  <c r="R536" i="17"/>
  <c r="S536" i="17" s="1"/>
  <c r="T536" i="17" s="1"/>
  <c r="U536" i="17" s="1"/>
  <c r="R504" i="17"/>
  <c r="S504" i="17" s="1"/>
  <c r="T504" i="17" s="1"/>
  <c r="R452" i="17"/>
  <c r="S452" i="17" s="1"/>
  <c r="W452" i="17" s="1"/>
  <c r="R548" i="17"/>
  <c r="S548" i="17" s="1"/>
  <c r="W548" i="17" s="1"/>
  <c r="R524" i="17"/>
  <c r="S524" i="17" s="1"/>
  <c r="W524" i="17" s="1"/>
  <c r="R496" i="17"/>
  <c r="S496" i="17" s="1"/>
  <c r="W496" i="17" s="1"/>
  <c r="R464" i="17"/>
  <c r="S464" i="17" s="1"/>
  <c r="T464" i="17" s="1"/>
  <c r="R560" i="17"/>
  <c r="S560" i="17" s="1"/>
  <c r="W560" i="17" s="1"/>
  <c r="R540" i="17"/>
  <c r="S540" i="17" s="1"/>
  <c r="T540" i="17" s="1"/>
  <c r="U540" i="17" s="1"/>
  <c r="R520" i="17"/>
  <c r="S520" i="17" s="1"/>
  <c r="T520" i="17" s="1"/>
  <c r="R500" i="17"/>
  <c r="S500" i="17" s="1"/>
  <c r="T500" i="17" s="1"/>
  <c r="U500" i="17" s="1"/>
  <c r="R488" i="17"/>
  <c r="S488" i="17" s="1"/>
  <c r="T488" i="17" s="1"/>
  <c r="U488" i="17" s="1"/>
  <c r="R476" i="17"/>
  <c r="S476" i="17" s="1"/>
  <c r="W476" i="17" s="1"/>
  <c r="R448" i="17"/>
  <c r="S448" i="17" s="1"/>
  <c r="T448" i="17" s="1"/>
  <c r="U448" i="17" s="1"/>
  <c r="R552" i="17"/>
  <c r="S552" i="17" s="1"/>
  <c r="W552" i="17" s="1"/>
  <c r="R528" i="17"/>
  <c r="S528" i="17" s="1"/>
  <c r="W528" i="17" s="1"/>
  <c r="R508" i="17"/>
  <c r="S508" i="17" s="1"/>
  <c r="T508" i="17" s="1"/>
  <c r="R484" i="17"/>
  <c r="S484" i="17" s="1"/>
  <c r="W484" i="17" s="1"/>
  <c r="R42" i="17"/>
  <c r="S42" i="17" s="1"/>
  <c r="W42" i="17" s="1"/>
  <c r="Q165" i="18"/>
  <c r="R562" i="17"/>
  <c r="S562" i="17" s="1"/>
  <c r="T562" i="17" s="1"/>
  <c r="U562" i="17" s="1"/>
  <c r="R534" i="17"/>
  <c r="S534" i="17" s="1"/>
  <c r="T534" i="17" s="1"/>
  <c r="U534" i="17" s="1"/>
  <c r="R506" i="17"/>
  <c r="S506" i="17" s="1"/>
  <c r="T506" i="17" s="1"/>
  <c r="R478" i="17"/>
  <c r="S478" i="17" s="1"/>
  <c r="T478" i="17" s="1"/>
  <c r="U478" i="17" s="1"/>
  <c r="R462" i="17"/>
  <c r="S462" i="17" s="1"/>
  <c r="T462" i="17" s="1"/>
  <c r="U462" i="17" s="1"/>
  <c r="R454" i="17"/>
  <c r="S454" i="17" s="1"/>
  <c r="W454" i="17" s="1"/>
  <c r="R450" i="17"/>
  <c r="S450" i="17" s="1"/>
  <c r="T450" i="17" s="1"/>
  <c r="U450" i="17" s="1"/>
  <c r="R554" i="17"/>
  <c r="S554" i="17" s="1"/>
  <c r="W554" i="17" s="1"/>
  <c r="R542" i="17"/>
  <c r="S542" i="17" s="1"/>
  <c r="W542" i="17" s="1"/>
  <c r="R526" i="17"/>
  <c r="S526" i="17" s="1"/>
  <c r="W526" i="17" s="1"/>
  <c r="R514" i="17"/>
  <c r="S514" i="17" s="1"/>
  <c r="T514" i="17" s="1"/>
  <c r="R498" i="17"/>
  <c r="S498" i="17" s="1"/>
  <c r="W498" i="17" s="1"/>
  <c r="R486" i="17"/>
  <c r="S486" i="17" s="1"/>
  <c r="T486" i="17" s="1"/>
  <c r="R466" i="17"/>
  <c r="S466" i="17" s="1"/>
  <c r="W466" i="17" s="1"/>
  <c r="R446" i="17"/>
  <c r="S446" i="17" s="1"/>
  <c r="W446" i="17" s="1"/>
  <c r="R558" i="17"/>
  <c r="S558" i="17" s="1"/>
  <c r="T558" i="17" s="1"/>
  <c r="R546" i="17"/>
  <c r="S546" i="17" s="1"/>
  <c r="T546" i="17" s="1"/>
  <c r="R530" i="17"/>
  <c r="S530" i="17" s="1"/>
  <c r="W530" i="17" s="1"/>
  <c r="R518" i="17"/>
  <c r="S518" i="17" s="1"/>
  <c r="W518" i="17" s="1"/>
  <c r="R502" i="17"/>
  <c r="S502" i="17" s="1"/>
  <c r="T502" i="17" s="1"/>
  <c r="R490" i="17"/>
  <c r="S490" i="17" s="1"/>
  <c r="T490" i="17" s="1"/>
  <c r="R470" i="17"/>
  <c r="S470" i="17" s="1"/>
  <c r="W470" i="17" s="1"/>
  <c r="R566" i="17"/>
  <c r="S566" i="17" s="1"/>
  <c r="T566" i="17" s="1"/>
  <c r="U566" i="17" s="1"/>
  <c r="R550" i="17"/>
  <c r="S550" i="17" s="1"/>
  <c r="W550" i="17" s="1"/>
  <c r="R538" i="17"/>
  <c r="S538" i="17" s="1"/>
  <c r="W538" i="17" s="1"/>
  <c r="R522" i="17"/>
  <c r="S522" i="17" s="1"/>
  <c r="T522" i="17" s="1"/>
  <c r="U522" i="17" s="1"/>
  <c r="R510" i="17"/>
  <c r="S510" i="17" s="1"/>
  <c r="T510" i="17" s="1"/>
  <c r="U510" i="17" s="1"/>
  <c r="R494" i="17"/>
  <c r="S494" i="17" s="1"/>
  <c r="T494" i="17" s="1"/>
  <c r="U494" i="17" s="1"/>
  <c r="R482" i="17"/>
  <c r="S482" i="17" s="1"/>
  <c r="T482" i="17" s="1"/>
  <c r="R474" i="17"/>
  <c r="S474" i="17" s="1"/>
  <c r="T474" i="17" s="1"/>
  <c r="U474" i="17" s="1"/>
  <c r="R458" i="17"/>
  <c r="S458" i="17" s="1"/>
  <c r="T458" i="17" s="1"/>
  <c r="R495" i="17"/>
  <c r="S495" i="17" s="1"/>
  <c r="T495" i="17" s="1"/>
  <c r="U495" i="17" s="1"/>
  <c r="R491" i="17"/>
  <c r="S491" i="17" s="1"/>
  <c r="W491" i="17" s="1"/>
  <c r="R487" i="17"/>
  <c r="S487" i="17" s="1"/>
  <c r="W487" i="17" s="1"/>
  <c r="R483" i="17"/>
  <c r="S483" i="17" s="1"/>
  <c r="W483" i="17" s="1"/>
  <c r="R479" i="17"/>
  <c r="S479" i="17" s="1"/>
  <c r="W479" i="17" s="1"/>
  <c r="R475" i="17"/>
  <c r="S475" i="17" s="1"/>
  <c r="W475" i="17" s="1"/>
  <c r="R471" i="17"/>
  <c r="S471" i="17" s="1"/>
  <c r="T471" i="17" s="1"/>
  <c r="R467" i="17"/>
  <c r="S467" i="17" s="1"/>
  <c r="T467" i="17" s="1"/>
  <c r="U467" i="17" s="1"/>
  <c r="R463" i="17"/>
  <c r="S463" i="17" s="1"/>
  <c r="T463" i="17" s="1"/>
  <c r="U463" i="17" s="1"/>
  <c r="R459" i="17"/>
  <c r="S459" i="17" s="1"/>
  <c r="T459" i="17" s="1"/>
  <c r="U459" i="17" s="1"/>
  <c r="R455" i="17"/>
  <c r="S455" i="17" s="1"/>
  <c r="T455" i="17" s="1"/>
  <c r="R451" i="17"/>
  <c r="S451" i="17" s="1"/>
  <c r="W451" i="17" s="1"/>
  <c r="R447" i="17"/>
  <c r="S447" i="17" s="1"/>
  <c r="T447" i="17" s="1"/>
  <c r="R569" i="17"/>
  <c r="S569" i="17" s="1"/>
  <c r="W569" i="17" s="1"/>
  <c r="R565" i="17"/>
  <c r="S565" i="17" s="1"/>
  <c r="W565" i="17" s="1"/>
  <c r="R561" i="17"/>
  <c r="S561" i="17" s="1"/>
  <c r="W561" i="17" s="1"/>
  <c r="R557" i="17"/>
  <c r="S557" i="17" s="1"/>
  <c r="W557" i="17" s="1"/>
  <c r="R553" i="17"/>
  <c r="S553" i="17" s="1"/>
  <c r="W553" i="17" s="1"/>
  <c r="R549" i="17"/>
  <c r="S549" i="17" s="1"/>
  <c r="T549" i="17" s="1"/>
  <c r="U549" i="17" s="1"/>
  <c r="R545" i="17"/>
  <c r="S545" i="17" s="1"/>
  <c r="T545" i="17" s="1"/>
  <c r="U545" i="17" s="1"/>
  <c r="R541" i="17"/>
  <c r="S541" i="17" s="1"/>
  <c r="W541" i="17" s="1"/>
  <c r="R537" i="17"/>
  <c r="S537" i="17" s="1"/>
  <c r="T537" i="17" s="1"/>
  <c r="R533" i="17"/>
  <c r="S533" i="17" s="1"/>
  <c r="T533" i="17" s="1"/>
  <c r="R529" i="17"/>
  <c r="S529" i="17" s="1"/>
  <c r="T529" i="17" s="1"/>
  <c r="U529" i="17" s="1"/>
  <c r="R525" i="17"/>
  <c r="S525" i="17" s="1"/>
  <c r="T525" i="17" s="1"/>
  <c r="U525" i="17" s="1"/>
  <c r="R521" i="17"/>
  <c r="S521" i="17" s="1"/>
  <c r="W521" i="17" s="1"/>
  <c r="R517" i="17"/>
  <c r="S517" i="17" s="1"/>
  <c r="T517" i="17" s="1"/>
  <c r="R513" i="17"/>
  <c r="S513" i="17" s="1"/>
  <c r="T513" i="17" s="1"/>
  <c r="R509" i="17"/>
  <c r="S509" i="17" s="1"/>
  <c r="W509" i="17" s="1"/>
  <c r="R505" i="17"/>
  <c r="S505" i="17" s="1"/>
  <c r="W505" i="17" s="1"/>
  <c r="R501" i="17"/>
  <c r="S501" i="17" s="1"/>
  <c r="W501" i="17" s="1"/>
  <c r="R497" i="17"/>
  <c r="S497" i="17" s="1"/>
  <c r="T497" i="17" s="1"/>
  <c r="R493" i="17"/>
  <c r="S493" i="17" s="1"/>
  <c r="W493" i="17" s="1"/>
  <c r="R489" i="17"/>
  <c r="S489" i="17" s="1"/>
  <c r="T489" i="17" s="1"/>
  <c r="U489" i="17" s="1"/>
  <c r="R485" i="17"/>
  <c r="S485" i="17" s="1"/>
  <c r="T485" i="17" s="1"/>
  <c r="U485" i="17" s="1"/>
  <c r="R481" i="17"/>
  <c r="S481" i="17" s="1"/>
  <c r="W481" i="17" s="1"/>
  <c r="R477" i="17"/>
  <c r="S477" i="17" s="1"/>
  <c r="W477" i="17" s="1"/>
  <c r="R473" i="17"/>
  <c r="S473" i="17" s="1"/>
  <c r="T473" i="17" s="1"/>
  <c r="U473" i="17" s="1"/>
  <c r="R469" i="17"/>
  <c r="S469" i="17" s="1"/>
  <c r="T469" i="17" s="1"/>
  <c r="R465" i="17"/>
  <c r="S465" i="17" s="1"/>
  <c r="T465" i="17" s="1"/>
  <c r="R461" i="17"/>
  <c r="S461" i="17" s="1"/>
  <c r="W461" i="17" s="1"/>
  <c r="R457" i="17"/>
  <c r="S457" i="17" s="1"/>
  <c r="W457" i="17" s="1"/>
  <c r="R453" i="17"/>
  <c r="S453" i="17" s="1"/>
  <c r="W453" i="17" s="1"/>
  <c r="R449" i="17"/>
  <c r="S449" i="17" s="1"/>
  <c r="T449" i="17" s="1"/>
  <c r="R445" i="17"/>
  <c r="S445" i="17" s="1"/>
  <c r="W445" i="17" s="1"/>
  <c r="R84" i="17"/>
  <c r="S84" i="17" s="1"/>
  <c r="T84" i="17" s="1"/>
  <c r="R63" i="17"/>
  <c r="S63" i="17" s="1"/>
  <c r="T63" i="17" s="1"/>
  <c r="U63" i="17" s="1"/>
  <c r="R74" i="17"/>
  <c r="S74" i="17" s="1"/>
  <c r="T74" i="17" s="1"/>
  <c r="U74" i="17" s="1"/>
  <c r="R40" i="17"/>
  <c r="S40" i="17" s="1"/>
  <c r="W40" i="17" s="1"/>
  <c r="R10" i="17"/>
  <c r="S10" i="17" s="1"/>
  <c r="T10" i="17" s="1"/>
  <c r="U10" i="17" s="1"/>
  <c r="R41" i="17"/>
  <c r="S41" i="17" s="1"/>
  <c r="W41" i="17" s="1"/>
  <c r="R91" i="17"/>
  <c r="S91" i="17" s="1"/>
  <c r="T91" i="17" s="1"/>
  <c r="U91" i="17" s="1"/>
  <c r="R101" i="17"/>
  <c r="S101" i="17" s="1"/>
  <c r="T101" i="17" s="1"/>
  <c r="Q87" i="18"/>
  <c r="P47" i="18"/>
  <c r="P136" i="18"/>
  <c r="P134" i="18"/>
  <c r="Q119" i="18"/>
  <c r="P71" i="18"/>
  <c r="Q191" i="18"/>
  <c r="Q164" i="18"/>
  <c r="P67" i="18"/>
  <c r="Q139" i="18"/>
  <c r="P50" i="18"/>
  <c r="Q138" i="18"/>
  <c r="Q27" i="18"/>
  <c r="Q3" i="18"/>
  <c r="Q8" i="18"/>
  <c r="W570" i="17"/>
  <c r="V570" i="17" s="1"/>
  <c r="T154" i="18"/>
  <c r="U154" i="18" s="1"/>
  <c r="P60" i="18"/>
  <c r="P94" i="18"/>
  <c r="P83" i="18"/>
  <c r="Q86" i="18"/>
  <c r="P115" i="18"/>
  <c r="Q168" i="18"/>
  <c r="Q152" i="18"/>
  <c r="P133" i="18"/>
  <c r="P152" i="18"/>
  <c r="Q128" i="18"/>
  <c r="P122" i="18"/>
  <c r="P200" i="18"/>
  <c r="P26" i="18"/>
  <c r="P13" i="18"/>
  <c r="P25" i="18"/>
  <c r="P30" i="18"/>
  <c r="Q167" i="18"/>
  <c r="P157" i="18"/>
  <c r="P120" i="18"/>
  <c r="Q109" i="18"/>
  <c r="Q85" i="18"/>
  <c r="Q170" i="18"/>
  <c r="Q154" i="18"/>
  <c r="P16" i="18"/>
  <c r="P61" i="18"/>
  <c r="Q75" i="18"/>
  <c r="Q7" i="18"/>
  <c r="Q79" i="18"/>
  <c r="Q123" i="18"/>
  <c r="Q45" i="18"/>
  <c r="P96" i="18"/>
  <c r="Q100" i="18"/>
  <c r="P154" i="18"/>
  <c r="P46" i="18"/>
  <c r="P29" i="18"/>
  <c r="P178" i="18"/>
  <c r="Q161" i="18"/>
  <c r="P45" i="18"/>
  <c r="Q52" i="18"/>
  <c r="P100" i="18"/>
  <c r="P78" i="18"/>
  <c r="Q103" i="18"/>
  <c r="Q26" i="18"/>
  <c r="Q157" i="18"/>
  <c r="Q28" i="18"/>
  <c r="P97" i="18"/>
  <c r="P146" i="18"/>
  <c r="T155" i="18"/>
  <c r="U155" i="18" s="1"/>
  <c r="W155" i="18"/>
  <c r="Q46" i="18"/>
  <c r="Q196" i="18"/>
  <c r="Q71" i="18"/>
  <c r="P167" i="18"/>
  <c r="P184" i="18"/>
  <c r="Q47" i="18"/>
  <c r="Q137" i="18"/>
  <c r="Q134" i="18"/>
  <c r="Q110" i="18"/>
  <c r="P9" i="18"/>
  <c r="P62" i="18"/>
  <c r="Q82" i="18"/>
  <c r="P193" i="18"/>
  <c r="P164" i="18"/>
  <c r="Q162" i="18"/>
  <c r="Q51" i="18"/>
  <c r="P103" i="18"/>
  <c r="P82" i="18"/>
  <c r="P194" i="18"/>
  <c r="P191" i="18"/>
  <c r="P79" i="18"/>
  <c r="Q31" i="18"/>
  <c r="Q73" i="18"/>
  <c r="Q179" i="18"/>
  <c r="Q169" i="18"/>
  <c r="Q155" i="18"/>
  <c r="Q44" i="18"/>
  <c r="P148" i="18"/>
  <c r="P89" i="18"/>
  <c r="P35" i="18"/>
  <c r="Q122" i="18"/>
  <c r="Q20" i="18"/>
  <c r="P165" i="18"/>
  <c r="P153" i="18"/>
  <c r="P63" i="18"/>
  <c r="Q150" i="18"/>
  <c r="Q68" i="18"/>
  <c r="P99" i="18"/>
  <c r="Q55" i="18"/>
  <c r="P140" i="18"/>
  <c r="P138" i="18"/>
  <c r="Q64" i="18"/>
  <c r="Q104" i="18"/>
  <c r="Q192" i="18"/>
  <c r="Q190" i="18"/>
  <c r="P87" i="18"/>
  <c r="P31" i="18"/>
  <c r="P177" i="18"/>
  <c r="P163" i="18"/>
  <c r="Q160" i="18"/>
  <c r="Q56" i="18"/>
  <c r="Q117" i="18"/>
  <c r="Q136" i="18"/>
  <c r="Q127" i="18"/>
  <c r="P54" i="18"/>
  <c r="P86" i="18"/>
  <c r="P52" i="18"/>
  <c r="Q96" i="18"/>
  <c r="P101" i="18"/>
  <c r="P192" i="18"/>
  <c r="P190" i="18"/>
  <c r="P180" i="18"/>
  <c r="Q178" i="18"/>
  <c r="Q12" i="18"/>
  <c r="Q33" i="18"/>
  <c r="Q149" i="18"/>
  <c r="P188" i="18"/>
  <c r="P98" i="18"/>
  <c r="P7" i="18"/>
  <c r="Q195" i="18"/>
  <c r="P112" i="18"/>
  <c r="Q112" i="18"/>
  <c r="Q18" i="18"/>
  <c r="P73" i="18"/>
  <c r="P170" i="18"/>
  <c r="Q116" i="18"/>
  <c r="Q74" i="18"/>
  <c r="Q6" i="18"/>
  <c r="Q14" i="18"/>
  <c r="P14" i="18"/>
  <c r="P53" i="18"/>
  <c r="P85" i="18"/>
  <c r="Q19" i="18"/>
  <c r="P17" i="18"/>
  <c r="Q180" i="18"/>
  <c r="Q184" i="18"/>
  <c r="P196" i="18"/>
  <c r="Q176" i="18"/>
  <c r="P88" i="18"/>
  <c r="Q88" i="18"/>
  <c r="Q121" i="18"/>
  <c r="P198" i="18"/>
  <c r="P90" i="18"/>
  <c r="Q90" i="18"/>
  <c r="P149" i="18"/>
  <c r="W195" i="18"/>
  <c r="V195" i="18" s="1"/>
  <c r="Q193" i="18"/>
  <c r="U54" i="18"/>
  <c r="T189" i="18"/>
  <c r="U189" i="18" s="1"/>
  <c r="W189" i="18"/>
  <c r="Q62" i="18"/>
  <c r="P69" i="18"/>
  <c r="P117" i="18"/>
  <c r="Q53" i="18"/>
  <c r="Q146" i="18"/>
  <c r="Q132" i="18"/>
  <c r="Q94" i="18"/>
  <c r="Q115" i="18"/>
  <c r="Q35" i="18"/>
  <c r="Q9" i="18"/>
  <c r="Q108" i="18"/>
  <c r="P74" i="18"/>
  <c r="Q83" i="18"/>
  <c r="Q98" i="18"/>
  <c r="P126" i="18"/>
  <c r="P160" i="18"/>
  <c r="Q159" i="18"/>
  <c r="Q185" i="18"/>
  <c r="P131" i="18"/>
  <c r="Q67" i="18"/>
  <c r="P121" i="18"/>
  <c r="P12" i="18"/>
  <c r="P109" i="18"/>
  <c r="Q197" i="18"/>
  <c r="Q89" i="18"/>
  <c r="Q188" i="18"/>
  <c r="Q40" i="18"/>
  <c r="Q107" i="18"/>
  <c r="Q5" i="18"/>
  <c r="Q38" i="18"/>
  <c r="P179" i="18"/>
  <c r="Q177" i="18"/>
  <c r="Q166" i="18"/>
  <c r="P28" i="18"/>
  <c r="Q60" i="18"/>
  <c r="W21" i="18"/>
  <c r="V21" i="18" s="1"/>
  <c r="Q144" i="18"/>
  <c r="Q140" i="18"/>
  <c r="P40" i="18"/>
  <c r="P132" i="18"/>
  <c r="P107" i="18"/>
  <c r="P6" i="18"/>
  <c r="P104" i="18"/>
  <c r="Q182" i="18"/>
  <c r="P176" i="18"/>
  <c r="P124" i="18"/>
  <c r="Q153" i="18"/>
  <c r="Q135" i="18"/>
  <c r="Q63" i="18"/>
  <c r="P33" i="18"/>
  <c r="Q97" i="18"/>
  <c r="Q102" i="18"/>
  <c r="Q125" i="18"/>
  <c r="P39" i="18"/>
  <c r="T98" i="18"/>
  <c r="Q13" i="18"/>
  <c r="P75" i="18"/>
  <c r="P55" i="18"/>
  <c r="Q126" i="18"/>
  <c r="Q69" i="18"/>
  <c r="Q70" i="18"/>
  <c r="P3" i="18"/>
  <c r="P58" i="18"/>
  <c r="Q58" i="18"/>
  <c r="Q200" i="18"/>
  <c r="Q77" i="18"/>
  <c r="P77" i="18"/>
  <c r="Q11" i="18"/>
  <c r="P11" i="18"/>
  <c r="Q171" i="18"/>
  <c r="Q25" i="18"/>
  <c r="Q4" i="18"/>
  <c r="P150" i="18"/>
  <c r="P8" i="18"/>
  <c r="P114" i="18"/>
  <c r="P41" i="18"/>
  <c r="T101" i="18"/>
  <c r="W101" i="18"/>
  <c r="P5" i="18"/>
  <c r="Q183" i="18"/>
  <c r="Q172" i="18"/>
  <c r="P172" i="18"/>
  <c r="Q114" i="18"/>
  <c r="Q181" i="18"/>
  <c r="Q41" i="18"/>
  <c r="Q133" i="18"/>
  <c r="U195" i="18"/>
  <c r="P197" i="18"/>
  <c r="P181" i="18"/>
  <c r="P159" i="18"/>
  <c r="P27" i="18"/>
  <c r="Q29" i="18"/>
  <c r="P19" i="18"/>
  <c r="P20" i="18"/>
  <c r="P135" i="18"/>
  <c r="Q95" i="18"/>
  <c r="P166" i="18"/>
  <c r="P195" i="18"/>
  <c r="P95" i="18"/>
  <c r="Q194" i="18"/>
  <c r="P22" i="18"/>
  <c r="Q22" i="18"/>
  <c r="U21" i="18"/>
  <c r="P36" i="18"/>
  <c r="Q36" i="18"/>
  <c r="Q105" i="18"/>
  <c r="P51" i="18"/>
  <c r="Q111" i="18"/>
  <c r="Q145" i="18"/>
  <c r="Q72" i="18"/>
  <c r="P142" i="18"/>
  <c r="Q142" i="18"/>
  <c r="Q186" i="18"/>
  <c r="P145" i="18"/>
  <c r="P57" i="18"/>
  <c r="Q57" i="18"/>
  <c r="P175" i="18"/>
  <c r="Q175" i="18"/>
  <c r="P155" i="18"/>
  <c r="P105" i="18"/>
  <c r="Q21" i="18"/>
  <c r="P111" i="18"/>
  <c r="P49" i="18"/>
  <c r="Q49" i="18"/>
  <c r="Q91" i="18"/>
  <c r="P72" i="18"/>
  <c r="P21" i="18"/>
  <c r="P139" i="18"/>
  <c r="P168" i="18"/>
  <c r="P162" i="18"/>
  <c r="Q54" i="18"/>
  <c r="P183" i="18"/>
  <c r="P68" i="18"/>
  <c r="Q141" i="18"/>
  <c r="P169" i="18"/>
  <c r="P128" i="18"/>
  <c r="P123" i="18"/>
  <c r="P137" i="18"/>
  <c r="Q118" i="18"/>
  <c r="U74" i="18"/>
  <c r="Q30" i="18"/>
  <c r="Q163" i="18"/>
  <c r="P118" i="18"/>
  <c r="P18" i="18"/>
  <c r="P44" i="18"/>
  <c r="Q16" i="18"/>
  <c r="P38" i="18"/>
  <c r="P186" i="18"/>
  <c r="P4" i="18"/>
  <c r="Q156" i="18"/>
  <c r="Q76" i="18"/>
  <c r="Q148" i="18"/>
  <c r="Q99" i="18"/>
  <c r="P130" i="18"/>
  <c r="Q130" i="18"/>
  <c r="P185" i="18"/>
  <c r="P144" i="18"/>
  <c r="P91" i="18"/>
  <c r="P161" i="18"/>
  <c r="P156" i="18"/>
  <c r="P56" i="18"/>
  <c r="P76" i="18"/>
  <c r="P84" i="18"/>
  <c r="Q84" i="18"/>
  <c r="P189" i="18"/>
  <c r="Q189" i="18"/>
  <c r="P151" i="18"/>
  <c r="Q151" i="18"/>
  <c r="P158" i="18"/>
  <c r="Q158" i="18"/>
  <c r="Q120" i="18"/>
  <c r="P110" i="18"/>
  <c r="Q131" i="18"/>
  <c r="P182" i="18"/>
  <c r="Q198" i="18"/>
  <c r="P102" i="18"/>
  <c r="P127" i="18"/>
  <c r="P147" i="18"/>
  <c r="Q147" i="18"/>
  <c r="Q17" i="18"/>
  <c r="Q39" i="18"/>
  <c r="P65" i="18"/>
  <c r="Q65" i="18"/>
  <c r="Q50" i="18"/>
  <c r="P70" i="18"/>
  <c r="Q78" i="18"/>
  <c r="P64" i="18"/>
  <c r="Q124" i="18"/>
  <c r="Q66" i="18"/>
  <c r="Q48" i="18"/>
  <c r="P66" i="18"/>
  <c r="P119" i="18"/>
  <c r="Q24" i="18"/>
  <c r="Q61" i="18"/>
  <c r="T44" i="18"/>
  <c r="P48" i="18"/>
  <c r="P24" i="18"/>
  <c r="P125" i="18"/>
  <c r="Q101" i="18"/>
  <c r="P108" i="18"/>
  <c r="P171" i="18"/>
  <c r="P17" i="5"/>
  <c r="P18" i="5"/>
  <c r="P19" i="5"/>
  <c r="P20" i="5"/>
  <c r="P21" i="5"/>
  <c r="P22" i="5"/>
  <c r="P23" i="5"/>
  <c r="P24" i="5"/>
  <c r="P25" i="5"/>
  <c r="P26" i="5"/>
  <c r="P27" i="5"/>
  <c r="P16" i="5"/>
  <c r="P3" i="17"/>
  <c r="Q3" i="17"/>
  <c r="P119" i="17"/>
  <c r="P51" i="17"/>
  <c r="Q51" i="17"/>
  <c r="P117" i="17"/>
  <c r="Q117" i="17"/>
  <c r="P153" i="17"/>
  <c r="Q153" i="17"/>
  <c r="P116" i="17"/>
  <c r="Q116" i="17"/>
  <c r="P115" i="17"/>
  <c r="Q115" i="17"/>
  <c r="Q157" i="17"/>
  <c r="P158" i="17"/>
  <c r="P155" i="17"/>
  <c r="P156" i="17"/>
  <c r="P49" i="17"/>
  <c r="Q11" i="17"/>
  <c r="P139" i="17"/>
  <c r="P144" i="17"/>
  <c r="Q144" i="17"/>
  <c r="P165" i="17"/>
  <c r="P8" i="17"/>
  <c r="Q69" i="17"/>
  <c r="P70" i="17"/>
  <c r="P71" i="17"/>
  <c r="Q71" i="17"/>
  <c r="P85" i="17"/>
  <c r="P86" i="17"/>
  <c r="P89" i="17"/>
  <c r="Q103" i="17"/>
  <c r="Q104" i="17"/>
  <c r="P162" i="17"/>
  <c r="P163" i="17"/>
  <c r="P87" i="17"/>
  <c r="P121" i="17"/>
  <c r="Q125" i="17"/>
  <c r="Q126" i="17"/>
  <c r="Q127" i="17"/>
  <c r="P151" i="17"/>
  <c r="Q151" i="17"/>
  <c r="P152" i="17"/>
  <c r="Q152" i="17"/>
  <c r="P4" i="17"/>
  <c r="P5" i="17"/>
  <c r="P12" i="17"/>
  <c r="Q134" i="17"/>
  <c r="Q88" i="17"/>
  <c r="Q124" i="17"/>
  <c r="P122" i="17"/>
  <c r="Q122" i="17"/>
  <c r="P123" i="17"/>
  <c r="Q123" i="17"/>
  <c r="P59" i="17"/>
  <c r="P114" i="17"/>
  <c r="P60" i="17"/>
  <c r="Q61" i="17"/>
  <c r="Q62" i="17"/>
  <c r="Q75" i="17"/>
  <c r="P20" i="17"/>
  <c r="Q20" i="17"/>
  <c r="P19" i="17"/>
  <c r="Q19" i="17"/>
  <c r="P58" i="17"/>
  <c r="P48" i="17"/>
  <c r="Q143" i="17"/>
  <c r="P142" i="17"/>
  <c r="Q98" i="17"/>
  <c r="P39" i="17"/>
  <c r="Q52" i="17"/>
  <c r="P77" i="17"/>
  <c r="P78" i="17"/>
  <c r="Q94" i="17"/>
  <c r="P97" i="17"/>
  <c r="P21" i="17"/>
  <c r="Q120" i="17"/>
  <c r="Q100" i="17"/>
  <c r="P9" i="17"/>
  <c r="P29" i="17"/>
  <c r="P33" i="17"/>
  <c r="Q26" i="17"/>
  <c r="P64" i="17"/>
  <c r="P37" i="17"/>
  <c r="Q37" i="17"/>
  <c r="P43" i="17"/>
  <c r="Q43" i="17"/>
  <c r="P54" i="17"/>
  <c r="P129" i="17"/>
  <c r="P130" i="17"/>
  <c r="Q72" i="17"/>
  <c r="Q76" i="17"/>
  <c r="Q90" i="17"/>
  <c r="P50" i="17"/>
  <c r="P149" i="17"/>
  <c r="P150" i="17"/>
  <c r="P135" i="17"/>
  <c r="Q135" i="17"/>
  <c r="P136" i="17"/>
  <c r="Q136" i="17"/>
  <c r="Q83" i="17"/>
  <c r="P22" i="17"/>
  <c r="P23" i="17"/>
  <c r="Q23" i="17"/>
  <c r="Q13" i="17"/>
  <c r="Q14" i="17"/>
  <c r="P132" i="17"/>
  <c r="Q132" i="17"/>
  <c r="Q67" i="17"/>
  <c r="P66" i="17"/>
  <c r="Q6" i="17"/>
  <c r="P7" i="17"/>
  <c r="P131" i="17"/>
  <c r="Q140" i="17"/>
  <c r="P141" i="17"/>
  <c r="Q141" i="17"/>
  <c r="P35" i="17"/>
  <c r="Q35" i="17"/>
  <c r="P160" i="17"/>
  <c r="Q160" i="17"/>
  <c r="P161" i="17"/>
  <c r="M444" i="17" a="1"/>
  <c r="M444" i="17" s="1"/>
  <c r="N444" i="17" a="1"/>
  <c r="N444" i="17" s="1"/>
  <c r="O444" i="17" a="1"/>
  <c r="O444" i="17" s="1"/>
  <c r="M445" i="17" a="1"/>
  <c r="M445" i="17" s="1"/>
  <c r="N445" i="17" a="1"/>
  <c r="N445" i="17" s="1"/>
  <c r="O445" i="17" a="1"/>
  <c r="O445" i="17" s="1"/>
  <c r="M446" i="17" a="1"/>
  <c r="M446" i="17" s="1"/>
  <c r="N446" i="17" a="1"/>
  <c r="N446" i="17" s="1"/>
  <c r="O446" i="17" a="1"/>
  <c r="O446" i="17" s="1"/>
  <c r="M447" i="17" a="1"/>
  <c r="M447" i="17" s="1"/>
  <c r="N447" i="17" a="1"/>
  <c r="N447" i="17" s="1"/>
  <c r="O447" i="17" a="1"/>
  <c r="O447" i="17" s="1"/>
  <c r="M448" i="17" a="1"/>
  <c r="M448" i="17" s="1"/>
  <c r="N448" i="17" a="1"/>
  <c r="N448" i="17" s="1"/>
  <c r="O448" i="17" a="1"/>
  <c r="O448" i="17" s="1"/>
  <c r="M449" i="17" a="1"/>
  <c r="M449" i="17" s="1"/>
  <c r="N449" i="17" a="1"/>
  <c r="N449" i="17" s="1"/>
  <c r="O449" i="17" a="1"/>
  <c r="O449" i="17" s="1"/>
  <c r="M450" i="17" a="1"/>
  <c r="M450" i="17" s="1"/>
  <c r="N450" i="17" a="1"/>
  <c r="N450" i="17" s="1"/>
  <c r="O450" i="17" a="1"/>
  <c r="O450" i="17" s="1"/>
  <c r="M451" i="17" a="1"/>
  <c r="M451" i="17" s="1"/>
  <c r="N451" i="17" a="1"/>
  <c r="N451" i="17" s="1"/>
  <c r="O451" i="17" a="1"/>
  <c r="O451" i="17" s="1"/>
  <c r="M452" i="17" a="1"/>
  <c r="M452" i="17" s="1"/>
  <c r="N452" i="17" a="1"/>
  <c r="N452" i="17" s="1"/>
  <c r="O452" i="17" a="1"/>
  <c r="O452" i="17" s="1"/>
  <c r="M453" i="17" a="1"/>
  <c r="M453" i="17" s="1"/>
  <c r="N453" i="17" a="1"/>
  <c r="N453" i="17" s="1"/>
  <c r="O453" i="17" a="1"/>
  <c r="O453" i="17" s="1"/>
  <c r="M454" i="17" a="1"/>
  <c r="M454" i="17" s="1"/>
  <c r="N454" i="17" a="1"/>
  <c r="N454" i="17" s="1"/>
  <c r="O454" i="17" a="1"/>
  <c r="O454" i="17" s="1"/>
  <c r="M455" i="17" a="1"/>
  <c r="M455" i="17" s="1"/>
  <c r="N455" i="17" a="1"/>
  <c r="N455" i="17" s="1"/>
  <c r="O455" i="17" a="1"/>
  <c r="O455" i="17" s="1"/>
  <c r="M456" i="17" a="1"/>
  <c r="M456" i="17" s="1"/>
  <c r="N456" i="17" a="1"/>
  <c r="N456" i="17" s="1"/>
  <c r="O456" i="17" a="1"/>
  <c r="O456" i="17" s="1"/>
  <c r="M457" i="17" a="1"/>
  <c r="M457" i="17" s="1"/>
  <c r="N457" i="17" a="1"/>
  <c r="N457" i="17" s="1"/>
  <c r="O457" i="17" a="1"/>
  <c r="O457" i="17" s="1"/>
  <c r="M458" i="17" a="1"/>
  <c r="M458" i="17" s="1"/>
  <c r="N458" i="17" a="1"/>
  <c r="N458" i="17" s="1"/>
  <c r="O458" i="17" a="1"/>
  <c r="O458" i="17" s="1"/>
  <c r="M459" i="17" a="1"/>
  <c r="M459" i="17" s="1"/>
  <c r="N459" i="17" a="1"/>
  <c r="N459" i="17" s="1"/>
  <c r="O459" i="17" a="1"/>
  <c r="O459" i="17" s="1"/>
  <c r="M460" i="17" a="1"/>
  <c r="M460" i="17" s="1"/>
  <c r="N460" i="17" a="1"/>
  <c r="N460" i="17" s="1"/>
  <c r="O460" i="17" a="1"/>
  <c r="O460" i="17" s="1"/>
  <c r="M461" i="17" a="1"/>
  <c r="M461" i="17" s="1"/>
  <c r="N461" i="17" a="1"/>
  <c r="N461" i="17" s="1"/>
  <c r="O461" i="17" a="1"/>
  <c r="O461" i="17" s="1"/>
  <c r="M462" i="17" a="1"/>
  <c r="M462" i="17" s="1"/>
  <c r="N462" i="17" a="1"/>
  <c r="N462" i="17" s="1"/>
  <c r="O462" i="17" a="1"/>
  <c r="O462" i="17" s="1"/>
  <c r="M463" i="17" a="1"/>
  <c r="M463" i="17" s="1"/>
  <c r="N463" i="17" a="1"/>
  <c r="N463" i="17" s="1"/>
  <c r="O463" i="17" a="1"/>
  <c r="O463" i="17" s="1"/>
  <c r="M464" i="17" a="1"/>
  <c r="M464" i="17" s="1"/>
  <c r="N464" i="17" a="1"/>
  <c r="N464" i="17" s="1"/>
  <c r="O464" i="17" a="1"/>
  <c r="O464" i="17" s="1"/>
  <c r="M465" i="17" a="1"/>
  <c r="M465" i="17" s="1"/>
  <c r="N465" i="17" a="1"/>
  <c r="N465" i="17" s="1"/>
  <c r="O465" i="17" a="1"/>
  <c r="O465" i="17" s="1"/>
  <c r="M466" i="17" a="1"/>
  <c r="M466" i="17" s="1"/>
  <c r="N466" i="17" a="1"/>
  <c r="N466" i="17" s="1"/>
  <c r="O466" i="17" a="1"/>
  <c r="O466" i="17" s="1"/>
  <c r="M467" i="17" a="1"/>
  <c r="M467" i="17" s="1"/>
  <c r="N467" i="17" a="1"/>
  <c r="N467" i="17" s="1"/>
  <c r="O467" i="17" a="1"/>
  <c r="O467" i="17" s="1"/>
  <c r="M468" i="17" a="1"/>
  <c r="M468" i="17" s="1"/>
  <c r="N468" i="17" a="1"/>
  <c r="N468" i="17" s="1"/>
  <c r="O468" i="17" a="1"/>
  <c r="O468" i="17" s="1"/>
  <c r="M469" i="17" a="1"/>
  <c r="M469" i="17" s="1"/>
  <c r="N469" i="17" a="1"/>
  <c r="N469" i="17" s="1"/>
  <c r="O469" i="17" a="1"/>
  <c r="O469" i="17" s="1"/>
  <c r="M470" i="17" a="1"/>
  <c r="M470" i="17" s="1"/>
  <c r="N470" i="17" a="1"/>
  <c r="N470" i="17" s="1"/>
  <c r="O470" i="17" a="1"/>
  <c r="O470" i="17" s="1"/>
  <c r="M471" i="17" a="1"/>
  <c r="M471" i="17" s="1"/>
  <c r="N471" i="17" a="1"/>
  <c r="N471" i="17" s="1"/>
  <c r="O471" i="17" a="1"/>
  <c r="O471" i="17" s="1"/>
  <c r="M472" i="17" a="1"/>
  <c r="M472" i="17" s="1"/>
  <c r="N472" i="17" a="1"/>
  <c r="N472" i="17" s="1"/>
  <c r="O472" i="17" a="1"/>
  <c r="O472" i="17" s="1"/>
  <c r="M473" i="17" a="1"/>
  <c r="M473" i="17" s="1"/>
  <c r="N473" i="17" a="1"/>
  <c r="N473" i="17" s="1"/>
  <c r="O473" i="17" a="1"/>
  <c r="O473" i="17" s="1"/>
  <c r="M474" i="17" a="1"/>
  <c r="M474" i="17" s="1"/>
  <c r="N474" i="17" a="1"/>
  <c r="N474" i="17" s="1"/>
  <c r="O474" i="17" a="1"/>
  <c r="O474" i="17" s="1"/>
  <c r="M475" i="17" a="1"/>
  <c r="M475" i="17" s="1"/>
  <c r="N475" i="17" a="1"/>
  <c r="N475" i="17" s="1"/>
  <c r="O475" i="17" a="1"/>
  <c r="O475" i="17" s="1"/>
  <c r="M476" i="17" a="1"/>
  <c r="M476" i="17" s="1"/>
  <c r="N476" i="17" a="1"/>
  <c r="N476" i="17" s="1"/>
  <c r="O476" i="17" a="1"/>
  <c r="O476" i="17" s="1"/>
  <c r="M477" i="17" a="1"/>
  <c r="M477" i="17" s="1"/>
  <c r="N477" i="17" a="1"/>
  <c r="N477" i="17" s="1"/>
  <c r="O477" i="17" a="1"/>
  <c r="O477" i="17" s="1"/>
  <c r="M478" i="17" a="1"/>
  <c r="M478" i="17" s="1"/>
  <c r="N478" i="17" a="1"/>
  <c r="N478" i="17" s="1"/>
  <c r="O478" i="17" a="1"/>
  <c r="O478" i="17" s="1"/>
  <c r="M479" i="17" a="1"/>
  <c r="M479" i="17" s="1"/>
  <c r="N479" i="17" a="1"/>
  <c r="N479" i="17" s="1"/>
  <c r="O479" i="17" a="1"/>
  <c r="O479" i="17" s="1"/>
  <c r="M480" i="17" a="1"/>
  <c r="M480" i="17" s="1"/>
  <c r="N480" i="17" a="1"/>
  <c r="N480" i="17" s="1"/>
  <c r="O480" i="17" a="1"/>
  <c r="O480" i="17" s="1"/>
  <c r="M481" i="17" a="1"/>
  <c r="M481" i="17" s="1"/>
  <c r="N481" i="17" a="1"/>
  <c r="N481" i="17" s="1"/>
  <c r="O481" i="17" a="1"/>
  <c r="O481" i="17" s="1"/>
  <c r="M482" i="17" a="1"/>
  <c r="M482" i="17" s="1"/>
  <c r="N482" i="17" a="1"/>
  <c r="N482" i="17" s="1"/>
  <c r="O482" i="17" a="1"/>
  <c r="O482" i="17" s="1"/>
  <c r="M483" i="17" a="1"/>
  <c r="M483" i="17" s="1"/>
  <c r="N483" i="17" a="1"/>
  <c r="N483" i="17" s="1"/>
  <c r="O483" i="17" a="1"/>
  <c r="O483" i="17" s="1"/>
  <c r="M484" i="17" a="1"/>
  <c r="M484" i="17" s="1"/>
  <c r="N484" i="17" a="1"/>
  <c r="N484" i="17" s="1"/>
  <c r="O484" i="17" a="1"/>
  <c r="O484" i="17" s="1"/>
  <c r="M485" i="17" a="1"/>
  <c r="M485" i="17" s="1"/>
  <c r="N485" i="17" a="1"/>
  <c r="N485" i="17" s="1"/>
  <c r="O485" i="17" a="1"/>
  <c r="O485" i="17" s="1"/>
  <c r="M486" i="17" a="1"/>
  <c r="M486" i="17" s="1"/>
  <c r="N486" i="17" a="1"/>
  <c r="N486" i="17" s="1"/>
  <c r="O486" i="17" a="1"/>
  <c r="O486" i="17" s="1"/>
  <c r="M487" i="17" a="1"/>
  <c r="M487" i="17" s="1"/>
  <c r="N487" i="17" a="1"/>
  <c r="N487" i="17" s="1"/>
  <c r="O487" i="17" a="1"/>
  <c r="O487" i="17" s="1"/>
  <c r="M488" i="17" a="1"/>
  <c r="M488" i="17" s="1"/>
  <c r="N488" i="17" a="1"/>
  <c r="N488" i="17" s="1"/>
  <c r="O488" i="17" a="1"/>
  <c r="O488" i="17" s="1"/>
  <c r="M489" i="17" a="1"/>
  <c r="M489" i="17" s="1"/>
  <c r="N489" i="17" a="1"/>
  <c r="N489" i="17" s="1"/>
  <c r="O489" i="17" a="1"/>
  <c r="O489" i="17" s="1"/>
  <c r="M490" i="17" a="1"/>
  <c r="M490" i="17" s="1"/>
  <c r="N490" i="17" a="1"/>
  <c r="N490" i="17" s="1"/>
  <c r="O490" i="17" a="1"/>
  <c r="O490" i="17" s="1"/>
  <c r="M491" i="17" a="1"/>
  <c r="M491" i="17" s="1"/>
  <c r="N491" i="17" a="1"/>
  <c r="N491" i="17" s="1"/>
  <c r="O491" i="17" a="1"/>
  <c r="O491" i="17" s="1"/>
  <c r="M492" i="17" a="1"/>
  <c r="M492" i="17" s="1"/>
  <c r="N492" i="17" a="1"/>
  <c r="N492" i="17" s="1"/>
  <c r="O492" i="17" a="1"/>
  <c r="O492" i="17" s="1"/>
  <c r="M493" i="17" a="1"/>
  <c r="M493" i="17" s="1"/>
  <c r="N493" i="17" a="1"/>
  <c r="N493" i="17" s="1"/>
  <c r="O493" i="17" a="1"/>
  <c r="O493" i="17" s="1"/>
  <c r="M494" i="17" a="1"/>
  <c r="M494" i="17" s="1"/>
  <c r="N494" i="17" a="1"/>
  <c r="N494" i="17" s="1"/>
  <c r="O494" i="17" a="1"/>
  <c r="O494" i="17" s="1"/>
  <c r="M495" i="17" a="1"/>
  <c r="M495" i="17" s="1"/>
  <c r="N495" i="17" a="1"/>
  <c r="N495" i="17" s="1"/>
  <c r="O495" i="17" a="1"/>
  <c r="O495" i="17" s="1"/>
  <c r="M496" i="17" a="1"/>
  <c r="M496" i="17" s="1"/>
  <c r="N496" i="17" a="1"/>
  <c r="N496" i="17" s="1"/>
  <c r="O496" i="17" a="1"/>
  <c r="O496" i="17" s="1"/>
  <c r="M497" i="17" a="1"/>
  <c r="M497" i="17" s="1"/>
  <c r="N497" i="17" a="1"/>
  <c r="N497" i="17" s="1"/>
  <c r="O497" i="17" a="1"/>
  <c r="O497" i="17" s="1"/>
  <c r="M498" i="17" a="1"/>
  <c r="M498" i="17" s="1"/>
  <c r="N498" i="17" a="1"/>
  <c r="N498" i="17" s="1"/>
  <c r="O498" i="17" a="1"/>
  <c r="O498" i="17" s="1"/>
  <c r="M499" i="17" a="1"/>
  <c r="M499" i="17" s="1"/>
  <c r="N499" i="17" a="1"/>
  <c r="N499" i="17" s="1"/>
  <c r="O499" i="17" a="1"/>
  <c r="O499" i="17" s="1"/>
  <c r="M500" i="17" a="1"/>
  <c r="M500" i="17" s="1"/>
  <c r="N500" i="17" a="1"/>
  <c r="N500" i="17" s="1"/>
  <c r="O500" i="17" a="1"/>
  <c r="O500" i="17" s="1"/>
  <c r="M501" i="17" a="1"/>
  <c r="M501" i="17" s="1"/>
  <c r="N501" i="17" a="1"/>
  <c r="N501" i="17" s="1"/>
  <c r="O501" i="17" a="1"/>
  <c r="O501" i="17" s="1"/>
  <c r="M502" i="17" a="1"/>
  <c r="M502" i="17" s="1"/>
  <c r="N502" i="17" a="1"/>
  <c r="N502" i="17" s="1"/>
  <c r="O502" i="17" a="1"/>
  <c r="O502" i="17" s="1"/>
  <c r="M503" i="17" a="1"/>
  <c r="M503" i="17" s="1"/>
  <c r="N503" i="17" a="1"/>
  <c r="N503" i="17" s="1"/>
  <c r="O503" i="17" a="1"/>
  <c r="O503" i="17" s="1"/>
  <c r="M504" i="17" a="1"/>
  <c r="M504" i="17" s="1"/>
  <c r="N504" i="17" a="1"/>
  <c r="N504" i="17" s="1"/>
  <c r="O504" i="17" a="1"/>
  <c r="O504" i="17" s="1"/>
  <c r="M505" i="17" a="1"/>
  <c r="M505" i="17" s="1"/>
  <c r="N505" i="17" a="1"/>
  <c r="N505" i="17" s="1"/>
  <c r="O505" i="17" a="1"/>
  <c r="O505" i="17" s="1"/>
  <c r="M506" i="17" a="1"/>
  <c r="M506" i="17" s="1"/>
  <c r="N506" i="17" a="1"/>
  <c r="N506" i="17" s="1"/>
  <c r="O506" i="17" a="1"/>
  <c r="O506" i="17" s="1"/>
  <c r="M507" i="17" a="1"/>
  <c r="M507" i="17" s="1"/>
  <c r="N507" i="17" a="1"/>
  <c r="N507" i="17" s="1"/>
  <c r="O507" i="17" a="1"/>
  <c r="O507" i="17" s="1"/>
  <c r="M508" i="17" a="1"/>
  <c r="M508" i="17" s="1"/>
  <c r="N508" i="17" a="1"/>
  <c r="N508" i="17" s="1"/>
  <c r="O508" i="17" a="1"/>
  <c r="O508" i="17" s="1"/>
  <c r="M509" i="17" a="1"/>
  <c r="M509" i="17" s="1"/>
  <c r="N509" i="17" a="1"/>
  <c r="N509" i="17" s="1"/>
  <c r="O509" i="17" a="1"/>
  <c r="O509" i="17" s="1"/>
  <c r="M510" i="17" a="1"/>
  <c r="M510" i="17" s="1"/>
  <c r="N510" i="17" a="1"/>
  <c r="N510" i="17" s="1"/>
  <c r="O510" i="17" a="1"/>
  <c r="O510" i="17" s="1"/>
  <c r="M511" i="17" a="1"/>
  <c r="M511" i="17" s="1"/>
  <c r="N511" i="17" a="1"/>
  <c r="N511" i="17" s="1"/>
  <c r="O511" i="17" a="1"/>
  <c r="O511" i="17" s="1"/>
  <c r="M512" i="17" a="1"/>
  <c r="M512" i="17" s="1"/>
  <c r="N512" i="17" a="1"/>
  <c r="N512" i="17" s="1"/>
  <c r="O512" i="17" a="1"/>
  <c r="O512" i="17" s="1"/>
  <c r="M513" i="17" a="1"/>
  <c r="M513" i="17" s="1"/>
  <c r="N513" i="17" a="1"/>
  <c r="N513" i="17" s="1"/>
  <c r="O513" i="17" a="1"/>
  <c r="O513" i="17" s="1"/>
  <c r="M514" i="17" a="1"/>
  <c r="M514" i="17" s="1"/>
  <c r="N514" i="17" a="1"/>
  <c r="N514" i="17" s="1"/>
  <c r="O514" i="17" a="1"/>
  <c r="O514" i="17" s="1"/>
  <c r="M515" i="17" a="1"/>
  <c r="M515" i="17" s="1"/>
  <c r="N515" i="17" a="1"/>
  <c r="N515" i="17" s="1"/>
  <c r="O515" i="17" a="1"/>
  <c r="O515" i="17" s="1"/>
  <c r="M516" i="17" a="1"/>
  <c r="M516" i="17" s="1"/>
  <c r="N516" i="17" a="1"/>
  <c r="N516" i="17" s="1"/>
  <c r="O516" i="17" a="1"/>
  <c r="O516" i="17" s="1"/>
  <c r="M517" i="17" a="1"/>
  <c r="M517" i="17" s="1"/>
  <c r="N517" i="17" a="1"/>
  <c r="N517" i="17" s="1"/>
  <c r="O517" i="17" a="1"/>
  <c r="O517" i="17" s="1"/>
  <c r="M518" i="17" a="1"/>
  <c r="M518" i="17" s="1"/>
  <c r="N518" i="17" a="1"/>
  <c r="N518" i="17" s="1"/>
  <c r="O518" i="17" a="1"/>
  <c r="O518" i="17" s="1"/>
  <c r="M519" i="17" a="1"/>
  <c r="M519" i="17" s="1"/>
  <c r="N519" i="17" a="1"/>
  <c r="N519" i="17" s="1"/>
  <c r="O519" i="17" a="1"/>
  <c r="O519" i="17" s="1"/>
  <c r="M520" i="17" a="1"/>
  <c r="M520" i="17" s="1"/>
  <c r="N520" i="17" a="1"/>
  <c r="N520" i="17" s="1"/>
  <c r="O520" i="17" a="1"/>
  <c r="O520" i="17" s="1"/>
  <c r="M521" i="17" a="1"/>
  <c r="M521" i="17" s="1"/>
  <c r="N521" i="17" a="1"/>
  <c r="N521" i="17" s="1"/>
  <c r="O521" i="17" a="1"/>
  <c r="O521" i="17" s="1"/>
  <c r="M522" i="17" a="1"/>
  <c r="M522" i="17" s="1"/>
  <c r="N522" i="17" a="1"/>
  <c r="N522" i="17" s="1"/>
  <c r="O522" i="17" a="1"/>
  <c r="O522" i="17" s="1"/>
  <c r="M523" i="17" a="1"/>
  <c r="M523" i="17" s="1"/>
  <c r="N523" i="17" a="1"/>
  <c r="N523" i="17" s="1"/>
  <c r="O523" i="17" a="1"/>
  <c r="O523" i="17" s="1"/>
  <c r="M524" i="17" a="1"/>
  <c r="M524" i="17" s="1"/>
  <c r="N524" i="17" a="1"/>
  <c r="N524" i="17" s="1"/>
  <c r="O524" i="17" a="1"/>
  <c r="O524" i="17" s="1"/>
  <c r="M525" i="17" a="1"/>
  <c r="M525" i="17" s="1"/>
  <c r="N525" i="17" a="1"/>
  <c r="N525" i="17" s="1"/>
  <c r="O525" i="17" a="1"/>
  <c r="O525" i="17" s="1"/>
  <c r="M526" i="17" a="1"/>
  <c r="M526" i="17" s="1"/>
  <c r="N526" i="17" a="1"/>
  <c r="N526" i="17" s="1"/>
  <c r="O526" i="17" a="1"/>
  <c r="O526" i="17" s="1"/>
  <c r="M527" i="17" a="1"/>
  <c r="M527" i="17" s="1"/>
  <c r="N527" i="17" a="1"/>
  <c r="N527" i="17" s="1"/>
  <c r="O527" i="17" a="1"/>
  <c r="O527" i="17" s="1"/>
  <c r="M528" i="17" a="1"/>
  <c r="M528" i="17" s="1"/>
  <c r="N528" i="17" a="1"/>
  <c r="N528" i="17" s="1"/>
  <c r="O528" i="17" a="1"/>
  <c r="O528" i="17" s="1"/>
  <c r="M529" i="17" a="1"/>
  <c r="M529" i="17" s="1"/>
  <c r="N529" i="17" a="1"/>
  <c r="N529" i="17" s="1"/>
  <c r="O529" i="17" a="1"/>
  <c r="O529" i="17" s="1"/>
  <c r="M530" i="17" a="1"/>
  <c r="M530" i="17" s="1"/>
  <c r="N530" i="17" a="1"/>
  <c r="N530" i="17" s="1"/>
  <c r="O530" i="17" a="1"/>
  <c r="O530" i="17" s="1"/>
  <c r="M531" i="17" a="1"/>
  <c r="M531" i="17" s="1"/>
  <c r="N531" i="17" a="1"/>
  <c r="N531" i="17" s="1"/>
  <c r="O531" i="17" a="1"/>
  <c r="O531" i="17" s="1"/>
  <c r="M532" i="17" a="1"/>
  <c r="M532" i="17" s="1"/>
  <c r="N532" i="17" a="1"/>
  <c r="N532" i="17" s="1"/>
  <c r="O532" i="17" a="1"/>
  <c r="O532" i="17" s="1"/>
  <c r="M533" i="17" a="1"/>
  <c r="M533" i="17" s="1"/>
  <c r="N533" i="17" a="1"/>
  <c r="N533" i="17" s="1"/>
  <c r="O533" i="17" a="1"/>
  <c r="O533" i="17" s="1"/>
  <c r="M534" i="17" a="1"/>
  <c r="M534" i="17" s="1"/>
  <c r="N534" i="17" a="1"/>
  <c r="N534" i="17" s="1"/>
  <c r="O534" i="17" a="1"/>
  <c r="O534" i="17" s="1"/>
  <c r="M535" i="17" a="1"/>
  <c r="M535" i="17" s="1"/>
  <c r="N535" i="17" a="1"/>
  <c r="N535" i="17" s="1"/>
  <c r="O535" i="17" a="1"/>
  <c r="O535" i="17" s="1"/>
  <c r="M536" i="17" a="1"/>
  <c r="M536" i="17" s="1"/>
  <c r="N536" i="17" a="1"/>
  <c r="N536" i="17" s="1"/>
  <c r="O536" i="17" a="1"/>
  <c r="O536" i="17" s="1"/>
  <c r="M537" i="17" a="1"/>
  <c r="M537" i="17" s="1"/>
  <c r="N537" i="17" a="1"/>
  <c r="N537" i="17" s="1"/>
  <c r="O537" i="17" a="1"/>
  <c r="O537" i="17" s="1"/>
  <c r="M538" i="17" a="1"/>
  <c r="M538" i="17" s="1"/>
  <c r="N538" i="17" a="1"/>
  <c r="N538" i="17" s="1"/>
  <c r="O538" i="17" a="1"/>
  <c r="O538" i="17" s="1"/>
  <c r="M539" i="17" a="1"/>
  <c r="M539" i="17" s="1"/>
  <c r="N539" i="17" a="1"/>
  <c r="N539" i="17" s="1"/>
  <c r="O539" i="17" a="1"/>
  <c r="O539" i="17" s="1"/>
  <c r="M540" i="17" a="1"/>
  <c r="M540" i="17" s="1"/>
  <c r="N540" i="17" a="1"/>
  <c r="N540" i="17" s="1"/>
  <c r="O540" i="17" a="1"/>
  <c r="O540" i="17" s="1"/>
  <c r="M541" i="17" a="1"/>
  <c r="M541" i="17" s="1"/>
  <c r="N541" i="17" a="1"/>
  <c r="N541" i="17" s="1"/>
  <c r="O541" i="17" a="1"/>
  <c r="O541" i="17" s="1"/>
  <c r="M542" i="17" a="1"/>
  <c r="M542" i="17" s="1"/>
  <c r="N542" i="17" a="1"/>
  <c r="N542" i="17" s="1"/>
  <c r="O542" i="17" a="1"/>
  <c r="O542" i="17" s="1"/>
  <c r="M543" i="17" a="1"/>
  <c r="M543" i="17" s="1"/>
  <c r="N543" i="17" a="1"/>
  <c r="N543" i="17" s="1"/>
  <c r="O543" i="17" a="1"/>
  <c r="O543" i="17" s="1"/>
  <c r="M544" i="17" a="1"/>
  <c r="M544" i="17" s="1"/>
  <c r="N544" i="17" a="1"/>
  <c r="N544" i="17" s="1"/>
  <c r="O544" i="17" a="1"/>
  <c r="O544" i="17" s="1"/>
  <c r="M545" i="17" a="1"/>
  <c r="M545" i="17" s="1"/>
  <c r="N545" i="17" a="1"/>
  <c r="N545" i="17" s="1"/>
  <c r="O545" i="17" a="1"/>
  <c r="O545" i="17" s="1"/>
  <c r="M546" i="17" a="1"/>
  <c r="M546" i="17" s="1"/>
  <c r="N546" i="17" a="1"/>
  <c r="N546" i="17" s="1"/>
  <c r="O546" i="17" a="1"/>
  <c r="O546" i="17" s="1"/>
  <c r="M547" i="17" a="1"/>
  <c r="M547" i="17" s="1"/>
  <c r="N547" i="17" a="1"/>
  <c r="N547" i="17" s="1"/>
  <c r="O547" i="17" a="1"/>
  <c r="O547" i="17" s="1"/>
  <c r="M548" i="17" a="1"/>
  <c r="M548" i="17" s="1"/>
  <c r="N548" i="17" a="1"/>
  <c r="N548" i="17" s="1"/>
  <c r="O548" i="17" a="1"/>
  <c r="O548" i="17" s="1"/>
  <c r="M549" i="17" a="1"/>
  <c r="M549" i="17" s="1"/>
  <c r="N549" i="17" a="1"/>
  <c r="N549" i="17" s="1"/>
  <c r="O549" i="17" a="1"/>
  <c r="O549" i="17" s="1"/>
  <c r="M550" i="17" a="1"/>
  <c r="M550" i="17" s="1"/>
  <c r="N550" i="17" a="1"/>
  <c r="N550" i="17" s="1"/>
  <c r="O550" i="17" a="1"/>
  <c r="O550" i="17" s="1"/>
  <c r="M551" i="17" a="1"/>
  <c r="M551" i="17" s="1"/>
  <c r="N551" i="17" a="1"/>
  <c r="N551" i="17" s="1"/>
  <c r="O551" i="17" a="1"/>
  <c r="O551" i="17" s="1"/>
  <c r="M552" i="17" a="1"/>
  <c r="M552" i="17" s="1"/>
  <c r="N552" i="17" a="1"/>
  <c r="N552" i="17" s="1"/>
  <c r="O552" i="17" a="1"/>
  <c r="O552" i="17" s="1"/>
  <c r="M553" i="17" a="1"/>
  <c r="M553" i="17" s="1"/>
  <c r="N553" i="17" a="1"/>
  <c r="N553" i="17" s="1"/>
  <c r="O553" i="17" a="1"/>
  <c r="O553" i="17" s="1"/>
  <c r="M554" i="17" a="1"/>
  <c r="M554" i="17" s="1"/>
  <c r="N554" i="17" a="1"/>
  <c r="N554" i="17" s="1"/>
  <c r="O554" i="17" a="1"/>
  <c r="O554" i="17" s="1"/>
  <c r="M555" i="17" a="1"/>
  <c r="M555" i="17" s="1"/>
  <c r="N555" i="17" a="1"/>
  <c r="N555" i="17" s="1"/>
  <c r="O555" i="17" a="1"/>
  <c r="O555" i="17" s="1"/>
  <c r="M556" i="17" a="1"/>
  <c r="M556" i="17" s="1"/>
  <c r="N556" i="17" a="1"/>
  <c r="N556" i="17" s="1"/>
  <c r="O556" i="17" a="1"/>
  <c r="O556" i="17" s="1"/>
  <c r="M557" i="17" a="1"/>
  <c r="M557" i="17" s="1"/>
  <c r="N557" i="17" a="1"/>
  <c r="N557" i="17" s="1"/>
  <c r="O557" i="17" a="1"/>
  <c r="O557" i="17" s="1"/>
  <c r="M558" i="17" a="1"/>
  <c r="M558" i="17" s="1"/>
  <c r="N558" i="17" a="1"/>
  <c r="N558" i="17" s="1"/>
  <c r="O558" i="17" a="1"/>
  <c r="O558" i="17" s="1"/>
  <c r="M559" i="17" a="1"/>
  <c r="M559" i="17" s="1"/>
  <c r="N559" i="17" a="1"/>
  <c r="N559" i="17" s="1"/>
  <c r="O559" i="17" a="1"/>
  <c r="O559" i="17" s="1"/>
  <c r="M560" i="17" a="1"/>
  <c r="M560" i="17" s="1"/>
  <c r="N560" i="17" a="1"/>
  <c r="N560" i="17" s="1"/>
  <c r="O560" i="17" a="1"/>
  <c r="O560" i="17" s="1"/>
  <c r="M561" i="17" a="1"/>
  <c r="M561" i="17" s="1"/>
  <c r="N561" i="17" a="1"/>
  <c r="N561" i="17" s="1"/>
  <c r="O561" i="17" a="1"/>
  <c r="O561" i="17" s="1"/>
  <c r="M562" i="17" a="1"/>
  <c r="M562" i="17" s="1"/>
  <c r="N562" i="17" a="1"/>
  <c r="N562" i="17" s="1"/>
  <c r="O562" i="17" a="1"/>
  <c r="O562" i="17" s="1"/>
  <c r="M563" i="17" a="1"/>
  <c r="M563" i="17" s="1"/>
  <c r="N563" i="17" a="1"/>
  <c r="N563" i="17" s="1"/>
  <c r="O563" i="17" a="1"/>
  <c r="O563" i="17" s="1"/>
  <c r="M564" i="17" a="1"/>
  <c r="M564" i="17" s="1"/>
  <c r="N564" i="17" a="1"/>
  <c r="N564" i="17" s="1"/>
  <c r="O564" i="17" a="1"/>
  <c r="O564" i="17" s="1"/>
  <c r="M565" i="17" a="1"/>
  <c r="M565" i="17" s="1"/>
  <c r="N565" i="17" a="1"/>
  <c r="N565" i="17" s="1"/>
  <c r="O565" i="17" a="1"/>
  <c r="O565" i="17" s="1"/>
  <c r="M566" i="17" a="1"/>
  <c r="M566" i="17" s="1"/>
  <c r="N566" i="17" a="1"/>
  <c r="N566" i="17" s="1"/>
  <c r="O566" i="17" a="1"/>
  <c r="O566" i="17" s="1"/>
  <c r="M567" i="17" a="1"/>
  <c r="M567" i="17" s="1"/>
  <c r="N567" i="17" a="1"/>
  <c r="N567" i="17" s="1"/>
  <c r="O567" i="17" a="1"/>
  <c r="O567" i="17" s="1"/>
  <c r="M568" i="17" a="1"/>
  <c r="M568" i="17" s="1"/>
  <c r="N568" i="17" a="1"/>
  <c r="N568" i="17" s="1"/>
  <c r="O568" i="17" a="1"/>
  <c r="O568" i="17" s="1"/>
  <c r="M569" i="17" a="1"/>
  <c r="M569" i="17" s="1"/>
  <c r="N569" i="17" a="1"/>
  <c r="N569" i="17" s="1"/>
  <c r="O569" i="17" a="1"/>
  <c r="O569" i="17" s="1"/>
  <c r="Q113" i="17"/>
  <c r="T36" i="18" l="1"/>
  <c r="U36" i="18" s="1"/>
  <c r="T68" i="18"/>
  <c r="T177" i="18"/>
  <c r="U177" i="18" s="1"/>
  <c r="T91" i="18"/>
  <c r="U91" i="18" s="1"/>
  <c r="T171" i="18"/>
  <c r="U171" i="18" s="1"/>
  <c r="W54" i="18"/>
  <c r="V54" i="18" s="1"/>
  <c r="T76" i="18"/>
  <c r="U76" i="18" s="1"/>
  <c r="W141" i="18"/>
  <c r="V141" i="18" s="1"/>
  <c r="T82" i="18"/>
  <c r="V82" i="18" s="1"/>
  <c r="W180" i="18"/>
  <c r="V180" i="18" s="1"/>
  <c r="T45" i="18"/>
  <c r="U45" i="18" s="1"/>
  <c r="W152" i="18"/>
  <c r="V152" i="18" s="1"/>
  <c r="W70" i="18"/>
  <c r="V70" i="18" s="1"/>
  <c r="T161" i="18"/>
  <c r="V161" i="18" s="1"/>
  <c r="T79" i="18"/>
  <c r="V79" i="18" s="1"/>
  <c r="W47" i="18"/>
  <c r="V47" i="18" s="1"/>
  <c r="T160" i="18"/>
  <c r="V160" i="18" s="1"/>
  <c r="W49" i="18"/>
  <c r="V49" i="18" s="1"/>
  <c r="W12" i="18"/>
  <c r="V12" i="18" s="1"/>
  <c r="W84" i="18"/>
  <c r="V84" i="18" s="1"/>
  <c r="W53" i="18"/>
  <c r="V53" i="18" s="1"/>
  <c r="T181" i="18"/>
  <c r="V181" i="18" s="1"/>
  <c r="T168" i="18"/>
  <c r="U168" i="18" s="1"/>
  <c r="T89" i="18"/>
  <c r="U89" i="18" s="1"/>
  <c r="T166" i="18"/>
  <c r="U166" i="18" s="1"/>
  <c r="W163" i="18"/>
  <c r="V163" i="18" s="1"/>
  <c r="W13" i="18"/>
  <c r="V13" i="18" s="1"/>
  <c r="W35" i="18"/>
  <c r="V35" i="18" s="1"/>
  <c r="W183" i="18"/>
  <c r="V183" i="18" s="1"/>
  <c r="T179" i="18"/>
  <c r="U179" i="18" s="1"/>
  <c r="W50" i="18"/>
  <c r="V50" i="18" s="1"/>
  <c r="T102" i="18"/>
  <c r="U102" i="18" s="1"/>
  <c r="T71" i="18"/>
  <c r="U71" i="18" s="1"/>
  <c r="W167" i="18"/>
  <c r="V167" i="18" s="1"/>
  <c r="T172" i="18"/>
  <c r="U172" i="18" s="1"/>
  <c r="W74" i="18"/>
  <c r="V74" i="18" s="1"/>
  <c r="T140" i="18"/>
  <c r="U140" i="18" s="1"/>
  <c r="W97" i="18"/>
  <c r="V97" i="18" s="1"/>
  <c r="T185" i="18"/>
  <c r="U185" i="18" s="1"/>
  <c r="T165" i="18"/>
  <c r="U165" i="18" s="1"/>
  <c r="T83" i="18"/>
  <c r="U83" i="18" s="1"/>
  <c r="W95" i="18"/>
  <c r="V95" i="18" s="1"/>
  <c r="T198" i="18"/>
  <c r="U198" i="18" s="1"/>
  <c r="T38" i="18"/>
  <c r="U38" i="18" s="1"/>
  <c r="T200" i="18"/>
  <c r="U200" i="18" s="1"/>
  <c r="W94" i="18"/>
  <c r="V94" i="18" s="1"/>
  <c r="T6" i="18"/>
  <c r="U6" i="18" s="1"/>
  <c r="W73" i="18"/>
  <c r="V73" i="18" s="1"/>
  <c r="W28" i="18"/>
  <c r="V28" i="18" s="1"/>
  <c r="W126" i="18"/>
  <c r="V126" i="18" s="1"/>
  <c r="W186" i="18"/>
  <c r="V186" i="18" s="1"/>
  <c r="W127" i="18"/>
  <c r="V127" i="18" s="1"/>
  <c r="W78" i="18"/>
  <c r="V78" i="18" s="1"/>
  <c r="W14" i="18"/>
  <c r="V14" i="18" s="1"/>
  <c r="W105" i="18"/>
  <c r="V105" i="18" s="1"/>
  <c r="W157" i="18"/>
  <c r="V157" i="18" s="1"/>
  <c r="W77" i="18"/>
  <c r="V77" i="18" s="1"/>
  <c r="T5" i="18"/>
  <c r="U5" i="18" s="1"/>
  <c r="W122" i="18"/>
  <c r="V122" i="18" s="1"/>
  <c r="W109" i="18"/>
  <c r="V109" i="18" s="1"/>
  <c r="W99" i="18"/>
  <c r="V99" i="18" s="1"/>
  <c r="T27" i="18"/>
  <c r="U27" i="18" s="1"/>
  <c r="T52" i="18"/>
  <c r="U52" i="18" s="1"/>
  <c r="W196" i="18"/>
  <c r="V196" i="18" s="1"/>
  <c r="T9" i="18"/>
  <c r="U9" i="18" s="1"/>
  <c r="T51" i="18"/>
  <c r="U51" i="18" s="1"/>
  <c r="T175" i="18"/>
  <c r="U175" i="18" s="1"/>
  <c r="W169" i="18"/>
  <c r="V169" i="18" s="1"/>
  <c r="W178" i="18"/>
  <c r="V178" i="18" s="1"/>
  <c r="T121" i="18"/>
  <c r="V121" i="18" s="1"/>
  <c r="W143" i="18"/>
  <c r="T143" i="18"/>
  <c r="W112" i="18"/>
  <c r="V112" i="18" s="1"/>
  <c r="T156" i="18"/>
  <c r="U156" i="18" s="1"/>
  <c r="T41" i="18"/>
  <c r="V41" i="18" s="1"/>
  <c r="W56" i="18"/>
  <c r="V56" i="18" s="1"/>
  <c r="T66" i="18"/>
  <c r="U66" i="18" s="1"/>
  <c r="W184" i="18"/>
  <c r="V184" i="18" s="1"/>
  <c r="T182" i="18"/>
  <c r="U182" i="18" s="1"/>
  <c r="T124" i="18"/>
  <c r="V124" i="18" s="1"/>
  <c r="W153" i="18"/>
  <c r="V153" i="18" s="1"/>
  <c r="W33" i="18"/>
  <c r="V33" i="18" s="1"/>
  <c r="T107" i="18"/>
  <c r="V107" i="18" s="1"/>
  <c r="T55" i="18"/>
  <c r="V55" i="18" s="1"/>
  <c r="W67" i="18"/>
  <c r="V67" i="18" s="1"/>
  <c r="W11" i="18"/>
  <c r="V11" i="18" s="1"/>
  <c r="W162" i="18"/>
  <c r="V162" i="18" s="1"/>
  <c r="W24" i="18"/>
  <c r="V24" i="18" s="1"/>
  <c r="W104" i="18"/>
  <c r="V104" i="18" s="1"/>
  <c r="T75" i="18"/>
  <c r="U75" i="18" s="1"/>
  <c r="W108" i="18"/>
  <c r="V108" i="18" s="1"/>
  <c r="T100" i="18"/>
  <c r="U100" i="18" s="1"/>
  <c r="W88" i="18"/>
  <c r="V88" i="18" s="1"/>
  <c r="T164" i="18"/>
  <c r="U164" i="18" s="1"/>
  <c r="W96" i="18"/>
  <c r="V96" i="18" s="1"/>
  <c r="V23" i="18"/>
  <c r="V199" i="18"/>
  <c r="W40" i="18"/>
  <c r="V40" i="18" s="1"/>
  <c r="W69" i="18"/>
  <c r="V69" i="18" s="1"/>
  <c r="W170" i="18"/>
  <c r="V170" i="18" s="1"/>
  <c r="T85" i="18"/>
  <c r="U85" i="18" s="1"/>
  <c r="T72" i="18"/>
  <c r="U72" i="18" s="1"/>
  <c r="T125" i="18"/>
  <c r="U125" i="18" s="1"/>
  <c r="T176" i="18"/>
  <c r="U176" i="18" s="1"/>
  <c r="W159" i="18"/>
  <c r="V159" i="18" s="1"/>
  <c r="T158" i="18"/>
  <c r="V158" i="18" s="1"/>
  <c r="W188" i="18"/>
  <c r="V188" i="18" s="1"/>
  <c r="W197" i="18"/>
  <c r="V197" i="18" s="1"/>
  <c r="W106" i="18"/>
  <c r="V106" i="18" s="1"/>
  <c r="W103" i="18"/>
  <c r="V103" i="18" s="1"/>
  <c r="W34" i="18"/>
  <c r="T34" i="18"/>
  <c r="W10" i="18"/>
  <c r="T10" i="18"/>
  <c r="W113" i="18"/>
  <c r="T113" i="18"/>
  <c r="T15" i="18"/>
  <c r="U15" i="18" s="1"/>
  <c r="W15" i="18"/>
  <c r="T93" i="18"/>
  <c r="U93" i="18" s="1"/>
  <c r="W93" i="18"/>
  <c r="T173" i="18"/>
  <c r="U173" i="18" s="1"/>
  <c r="W173" i="18"/>
  <c r="T80" i="18"/>
  <c r="U80" i="18" s="1"/>
  <c r="W80" i="18"/>
  <c r="T59" i="18"/>
  <c r="U59" i="18" s="1"/>
  <c r="W59" i="18"/>
  <c r="T187" i="18"/>
  <c r="U187" i="18" s="1"/>
  <c r="W187" i="18"/>
  <c r="W174" i="18"/>
  <c r="T174" i="18"/>
  <c r="T129" i="18"/>
  <c r="U129" i="18" s="1"/>
  <c r="W129" i="18"/>
  <c r="U32" i="18"/>
  <c r="V32" i="18"/>
  <c r="W92" i="18"/>
  <c r="T92" i="18"/>
  <c r="W81" i="18"/>
  <c r="T81" i="18"/>
  <c r="T37" i="18"/>
  <c r="U37" i="18" s="1"/>
  <c r="W37" i="18"/>
  <c r="W42" i="18"/>
  <c r="T42" i="18"/>
  <c r="V43" i="18"/>
  <c r="R132" i="17"/>
  <c r="S132" i="17" s="1"/>
  <c r="W132" i="17" s="1"/>
  <c r="R160" i="17"/>
  <c r="S160" i="17" s="1"/>
  <c r="T160" i="17" s="1"/>
  <c r="U160" i="17" s="1"/>
  <c r="R136" i="17"/>
  <c r="S136" i="17" s="1"/>
  <c r="W136" i="17" s="1"/>
  <c r="R35" i="17"/>
  <c r="S35" i="17" s="1"/>
  <c r="W35" i="17" s="1"/>
  <c r="R141" i="17"/>
  <c r="S141" i="17" s="1"/>
  <c r="W141" i="17" s="1"/>
  <c r="Q128" i="17"/>
  <c r="P128" i="17"/>
  <c r="P67" i="17"/>
  <c r="R67" i="17" s="1"/>
  <c r="S67" i="17" s="1"/>
  <c r="T67" i="17" s="1"/>
  <c r="U67" i="17" s="1"/>
  <c r="P159" i="17"/>
  <c r="Q45" i="17"/>
  <c r="P6" i="17"/>
  <c r="R6" i="17" s="1"/>
  <c r="S6" i="17" s="1"/>
  <c r="W6" i="17" s="1"/>
  <c r="Q133" i="17"/>
  <c r="Q161" i="17"/>
  <c r="R161" i="17" s="1"/>
  <c r="S161" i="17" s="1"/>
  <c r="P45" i="17"/>
  <c r="Q131" i="17"/>
  <c r="R131" i="17" s="1"/>
  <c r="S131" i="17" s="1"/>
  <c r="P133" i="17"/>
  <c r="Q159" i="17"/>
  <c r="Q66" i="17"/>
  <c r="R66" i="17" s="1"/>
  <c r="S66" i="17" s="1"/>
  <c r="P140" i="17"/>
  <c r="R140" i="17" s="1"/>
  <c r="S140" i="17" s="1"/>
  <c r="W140" i="17" s="1"/>
  <c r="Q7" i="17"/>
  <c r="R7" i="17" s="1"/>
  <c r="S7" i="17" s="1"/>
  <c r="P14" i="17"/>
  <c r="R14" i="17" s="1"/>
  <c r="S14" i="17" s="1"/>
  <c r="W14" i="17" s="1"/>
  <c r="P13" i="17"/>
  <c r="R13" i="17" s="1"/>
  <c r="S13" i="17" s="1"/>
  <c r="T13" i="17" s="1"/>
  <c r="U13" i="17" s="1"/>
  <c r="R23" i="17"/>
  <c r="S23" i="17" s="1"/>
  <c r="W23" i="17" s="1"/>
  <c r="Q22" i="17"/>
  <c r="R22" i="17" s="1"/>
  <c r="S22" i="17" s="1"/>
  <c r="T22" i="17" s="1"/>
  <c r="U22" i="17" s="1"/>
  <c r="P25" i="17"/>
  <c r="Q25" i="17"/>
  <c r="P83" i="17"/>
  <c r="R83" i="17" s="1"/>
  <c r="S83" i="17" s="1"/>
  <c r="T83" i="17" s="1"/>
  <c r="U83" i="17" s="1"/>
  <c r="R135" i="17"/>
  <c r="S135" i="17" s="1"/>
  <c r="T135" i="17" s="1"/>
  <c r="U135" i="17" s="1"/>
  <c r="T547" i="17"/>
  <c r="U547" i="17" s="1"/>
  <c r="W563" i="17"/>
  <c r="V563" i="17" s="1"/>
  <c r="R37" i="17"/>
  <c r="S37" i="17" s="1"/>
  <c r="T37" i="17" s="1"/>
  <c r="U37" i="17" s="1"/>
  <c r="R43" i="17"/>
  <c r="S43" i="17" s="1"/>
  <c r="T43" i="17" s="1"/>
  <c r="U43" i="17" s="1"/>
  <c r="Q50" i="17"/>
  <c r="R50" i="17" s="1"/>
  <c r="S50" i="17" s="1"/>
  <c r="P108" i="17"/>
  <c r="Q54" i="17"/>
  <c r="R54" i="17" s="1"/>
  <c r="S54" i="17" s="1"/>
  <c r="Q150" i="17"/>
  <c r="R150" i="17" s="1"/>
  <c r="S150" i="17" s="1"/>
  <c r="P72" i="17"/>
  <c r="R72" i="17" s="1"/>
  <c r="S72" i="17" s="1"/>
  <c r="T72" i="17" s="1"/>
  <c r="U72" i="17" s="1"/>
  <c r="Q130" i="17"/>
  <c r="R130" i="17" s="1"/>
  <c r="S130" i="17" s="1"/>
  <c r="P90" i="17"/>
  <c r="R90" i="17" s="1"/>
  <c r="S90" i="17" s="1"/>
  <c r="T90" i="17" s="1"/>
  <c r="U90" i="17" s="1"/>
  <c r="Q95" i="17"/>
  <c r="Q149" i="17"/>
  <c r="R149" i="17" s="1"/>
  <c r="S149" i="17" s="1"/>
  <c r="P95" i="17"/>
  <c r="Q129" i="17"/>
  <c r="R129" i="17" s="1"/>
  <c r="S129" i="17" s="1"/>
  <c r="P76" i="17"/>
  <c r="R76" i="17" s="1"/>
  <c r="S76" i="17" s="1"/>
  <c r="W76" i="17" s="1"/>
  <c r="Q108" i="17"/>
  <c r="P81" i="17"/>
  <c r="Q27" i="17"/>
  <c r="Q64" i="17"/>
  <c r="R64" i="17" s="1"/>
  <c r="S64" i="17" s="1"/>
  <c r="P24" i="17"/>
  <c r="Q15" i="17"/>
  <c r="P100" i="17"/>
  <c r="R100" i="17" s="1"/>
  <c r="S100" i="17" s="1"/>
  <c r="T100" i="17" s="1"/>
  <c r="U100" i="17" s="1"/>
  <c r="Q110" i="17"/>
  <c r="P96" i="17"/>
  <c r="Q79" i="17"/>
  <c r="P53" i="17"/>
  <c r="Q102" i="17"/>
  <c r="P99" i="17"/>
  <c r="Q57" i="17"/>
  <c r="P148" i="17"/>
  <c r="Q146" i="17"/>
  <c r="P46" i="17"/>
  <c r="Q138" i="17"/>
  <c r="P82" i="17"/>
  <c r="P34" i="17"/>
  <c r="Q9" i="17"/>
  <c r="R9" i="17" s="1"/>
  <c r="S9" i="17" s="1"/>
  <c r="T9" i="17" s="1"/>
  <c r="U9" i="17" s="1"/>
  <c r="P107" i="17"/>
  <c r="Q97" i="17"/>
  <c r="R97" i="17" s="1"/>
  <c r="S97" i="17" s="1"/>
  <c r="P93" i="17"/>
  <c r="Q77" i="17"/>
  <c r="R77" i="17" s="1"/>
  <c r="S77" i="17" s="1"/>
  <c r="P56" i="17"/>
  <c r="Q105" i="17"/>
  <c r="P73" i="17"/>
  <c r="Q47" i="17"/>
  <c r="P137" i="17"/>
  <c r="Q65" i="17"/>
  <c r="P105" i="17"/>
  <c r="P47" i="17"/>
  <c r="P65" i="17"/>
  <c r="P15" i="17"/>
  <c r="Q29" i="17"/>
  <c r="R29" i="17" s="1"/>
  <c r="S29" i="17" s="1"/>
  <c r="P110" i="17"/>
  <c r="Q21" i="17"/>
  <c r="R21" i="17" s="1"/>
  <c r="S21" i="17" s="1"/>
  <c r="P79" i="17"/>
  <c r="Q78" i="17"/>
  <c r="R78" i="17" s="1"/>
  <c r="S78" i="17" s="1"/>
  <c r="P102" i="17"/>
  <c r="Q39" i="17"/>
  <c r="R39" i="17" s="1"/>
  <c r="S39" i="17" s="1"/>
  <c r="P57" i="17"/>
  <c r="Q142" i="17"/>
  <c r="R142" i="17" s="1"/>
  <c r="S142" i="17" s="1"/>
  <c r="P146" i="17"/>
  <c r="Q48" i="17"/>
  <c r="R48" i="17" s="1"/>
  <c r="S48" i="17" s="1"/>
  <c r="Q82" i="17"/>
  <c r="P26" i="17"/>
  <c r="R26" i="17" s="1"/>
  <c r="S26" i="17" s="1"/>
  <c r="W26" i="17" s="1"/>
  <c r="Q36" i="17"/>
  <c r="Q28" i="17"/>
  <c r="P36" i="17"/>
  <c r="Q34" i="17"/>
  <c r="P120" i="17"/>
  <c r="R120" i="17" s="1"/>
  <c r="S120" i="17" s="1"/>
  <c r="T120" i="17" s="1"/>
  <c r="U120" i="17" s="1"/>
  <c r="Q107" i="17"/>
  <c r="P94" i="17"/>
  <c r="R94" i="17" s="1"/>
  <c r="S94" i="17" s="1"/>
  <c r="W94" i="17" s="1"/>
  <c r="Q93" i="17"/>
  <c r="P52" i="17"/>
  <c r="R52" i="17" s="1"/>
  <c r="S52" i="17" s="1"/>
  <c r="T52" i="17" s="1"/>
  <c r="U52" i="17" s="1"/>
  <c r="Q56" i="17"/>
  <c r="P98" i="17"/>
  <c r="R98" i="17" s="1"/>
  <c r="S98" i="17" s="1"/>
  <c r="W98" i="17" s="1"/>
  <c r="Q73" i="17"/>
  <c r="P143" i="17"/>
  <c r="R143" i="17" s="1"/>
  <c r="S143" i="17" s="1"/>
  <c r="T143" i="17" s="1"/>
  <c r="U143" i="17" s="1"/>
  <c r="Q137" i="17"/>
  <c r="P138" i="17"/>
  <c r="P28" i="17"/>
  <c r="Q17" i="17"/>
  <c r="Q81" i="17"/>
  <c r="P17" i="17"/>
  <c r="Q16" i="17"/>
  <c r="Q111" i="17"/>
  <c r="Q80" i="17"/>
  <c r="Q118" i="17"/>
  <c r="Q68" i="17"/>
  <c r="Q147" i="17"/>
  <c r="P16" i="17"/>
  <c r="Q33" i="17"/>
  <c r="R33" i="17" s="1"/>
  <c r="S33" i="17" s="1"/>
  <c r="P111" i="17"/>
  <c r="Q106" i="17"/>
  <c r="P80" i="17"/>
  <c r="Q92" i="17"/>
  <c r="P118" i="17"/>
  <c r="Q55" i="17"/>
  <c r="P68" i="17"/>
  <c r="Q145" i="17"/>
  <c r="P147" i="17"/>
  <c r="Q44" i="17"/>
  <c r="P27" i="17"/>
  <c r="Q24" i="17"/>
  <c r="P106" i="17"/>
  <c r="Q96" i="17"/>
  <c r="P92" i="17"/>
  <c r="Q53" i="17"/>
  <c r="P55" i="17"/>
  <c r="Q99" i="17"/>
  <c r="P145" i="17"/>
  <c r="Q148" i="17"/>
  <c r="P44" i="17"/>
  <c r="Q46" i="17"/>
  <c r="W499" i="17"/>
  <c r="V499" i="17" s="1"/>
  <c r="T519" i="17"/>
  <c r="V519" i="17" s="1"/>
  <c r="T523" i="17"/>
  <c r="U523" i="17" s="1"/>
  <c r="T483" i="17"/>
  <c r="U483" i="17" s="1"/>
  <c r="T543" i="17"/>
  <c r="U543" i="17" s="1"/>
  <c r="T515" i="17"/>
  <c r="U515" i="17" s="1"/>
  <c r="T551" i="17"/>
  <c r="U551" i="17" s="1"/>
  <c r="W537" i="17"/>
  <c r="V537" i="17" s="1"/>
  <c r="W478" i="17"/>
  <c r="V478" i="17" s="1"/>
  <c r="W490" i="17"/>
  <c r="V490" i="17" s="1"/>
  <c r="T548" i="17"/>
  <c r="U548" i="17" s="1"/>
  <c r="T532" i="17"/>
  <c r="V532" i="17" s="1"/>
  <c r="W511" i="17"/>
  <c r="V511" i="17" s="1"/>
  <c r="W488" i="17"/>
  <c r="V488" i="17" s="1"/>
  <c r="W486" i="17"/>
  <c r="V486" i="17" s="1"/>
  <c r="R106" i="18"/>
  <c r="W535" i="17"/>
  <c r="V535" i="17" s="1"/>
  <c r="T503" i="17"/>
  <c r="U503" i="17" s="1"/>
  <c r="T505" i="17"/>
  <c r="U505" i="17" s="1"/>
  <c r="W492" i="17"/>
  <c r="V492" i="17" s="1"/>
  <c r="W506" i="17"/>
  <c r="V506" i="17" s="1"/>
  <c r="T524" i="17"/>
  <c r="U524" i="17" s="1"/>
  <c r="W448" i="17"/>
  <c r="V448" i="17" s="1"/>
  <c r="T475" i="17"/>
  <c r="V475" i="17" s="1"/>
  <c r="T496" i="17"/>
  <c r="U496" i="17" s="1"/>
  <c r="T493" i="17"/>
  <c r="V493" i="17" s="1"/>
  <c r="W482" i="17"/>
  <c r="V482" i="17" s="1"/>
  <c r="W507" i="17"/>
  <c r="V507" i="17" s="1"/>
  <c r="W539" i="17"/>
  <c r="V539" i="17" s="1"/>
  <c r="W462" i="17"/>
  <c r="V462" i="17" s="1"/>
  <c r="W447" i="17"/>
  <c r="V447" i="17" s="1"/>
  <c r="W465" i="17"/>
  <c r="V465" i="17" s="1"/>
  <c r="T512" i="17"/>
  <c r="U512" i="17" s="1"/>
  <c r="W529" i="17"/>
  <c r="V529" i="17" s="1"/>
  <c r="T476" i="17"/>
  <c r="U476" i="17" s="1"/>
  <c r="W544" i="17"/>
  <c r="V544" i="17" s="1"/>
  <c r="T470" i="17"/>
  <c r="U470" i="17" s="1"/>
  <c r="V154" i="18"/>
  <c r="R154" i="18"/>
  <c r="R8" i="18"/>
  <c r="R28" i="18"/>
  <c r="R116" i="18"/>
  <c r="S116" i="18" s="1"/>
  <c r="T116" i="18" s="1"/>
  <c r="U116" i="18" s="1"/>
  <c r="R167" i="18"/>
  <c r="W101" i="17"/>
  <c r="V101" i="17" s="1"/>
  <c r="T559" i="17"/>
  <c r="U559" i="17" s="1"/>
  <c r="W531" i="17"/>
  <c r="V531" i="17" s="1"/>
  <c r="W567" i="17"/>
  <c r="V567" i="17" s="1"/>
  <c r="T527" i="17"/>
  <c r="U527" i="17" s="1"/>
  <c r="W10" i="17"/>
  <c r="V10" i="17" s="1"/>
  <c r="W494" i="17"/>
  <c r="V494" i="17" s="1"/>
  <c r="T451" i="17"/>
  <c r="U451" i="17" s="1"/>
  <c r="T466" i="17"/>
  <c r="V466" i="17" s="1"/>
  <c r="T479" i="17"/>
  <c r="U479" i="17" s="1"/>
  <c r="T569" i="17"/>
  <c r="U569" i="17" s="1"/>
  <c r="T557" i="17"/>
  <c r="U557" i="17" s="1"/>
  <c r="T553" i="17"/>
  <c r="V553" i="17" s="1"/>
  <c r="T477" i="17"/>
  <c r="U477" i="17" s="1"/>
  <c r="T509" i="17"/>
  <c r="U509" i="17" s="1"/>
  <c r="T541" i="17"/>
  <c r="U541" i="17" s="1"/>
  <c r="T457" i="17"/>
  <c r="U457" i="17" s="1"/>
  <c r="W480" i="17"/>
  <c r="V480" i="17" s="1"/>
  <c r="T454" i="17"/>
  <c r="V454" i="17" s="1"/>
  <c r="W516" i="17"/>
  <c r="V516" i="17" s="1"/>
  <c r="W474" i="17"/>
  <c r="V474" i="17" s="1"/>
  <c r="T446" i="17"/>
  <c r="V446" i="17" s="1"/>
  <c r="W497" i="17"/>
  <c r="V497" i="17" s="1"/>
  <c r="W489" i="17"/>
  <c r="V489" i="17" s="1"/>
  <c r="W74" i="17"/>
  <c r="V74" i="17" s="1"/>
  <c r="W464" i="17"/>
  <c r="V464" i="17" s="1"/>
  <c r="W525" i="17"/>
  <c r="V525" i="17" s="1"/>
  <c r="W84" i="17"/>
  <c r="V84" i="17" s="1"/>
  <c r="T521" i="17"/>
  <c r="U521" i="17" s="1"/>
  <c r="T453" i="17"/>
  <c r="U453" i="17" s="1"/>
  <c r="W495" i="17"/>
  <c r="V495" i="17" s="1"/>
  <c r="T530" i="17"/>
  <c r="V530" i="17" s="1"/>
  <c r="T481" i="17"/>
  <c r="U481" i="17" s="1"/>
  <c r="W562" i="17"/>
  <c r="V562" i="17" s="1"/>
  <c r="W508" i="17"/>
  <c r="V508" i="17" s="1"/>
  <c r="W468" i="17"/>
  <c r="V468" i="17" s="1"/>
  <c r="W517" i="17"/>
  <c r="V517" i="17" s="1"/>
  <c r="W460" i="17"/>
  <c r="V460" i="17" s="1"/>
  <c r="T552" i="17"/>
  <c r="V552" i="17" s="1"/>
  <c r="W449" i="17"/>
  <c r="V449" i="17" s="1"/>
  <c r="T461" i="17"/>
  <c r="U461" i="17" s="1"/>
  <c r="T491" i="17"/>
  <c r="U491" i="17" s="1"/>
  <c r="W534" i="17"/>
  <c r="V534" i="17" s="1"/>
  <c r="T42" i="17"/>
  <c r="U42" i="17" s="1"/>
  <c r="U568" i="17"/>
  <c r="W520" i="17"/>
  <c r="V520" i="17" s="1"/>
  <c r="W514" i="17"/>
  <c r="V514" i="17" s="1"/>
  <c r="W463" i="17"/>
  <c r="V463" i="17" s="1"/>
  <c r="W536" i="17"/>
  <c r="V536" i="17" s="1"/>
  <c r="T518" i="17"/>
  <c r="T538" i="17"/>
  <c r="U538" i="17" s="1"/>
  <c r="T456" i="17"/>
  <c r="U456" i="17" s="1"/>
  <c r="W540" i="17"/>
  <c r="V540" i="17" s="1"/>
  <c r="W522" i="17"/>
  <c r="V522" i="17" s="1"/>
  <c r="T484" i="17"/>
  <c r="U484" i="17" s="1"/>
  <c r="W504" i="17"/>
  <c r="V504" i="17" s="1"/>
  <c r="W473" i="17"/>
  <c r="V473" i="17" s="1"/>
  <c r="T41" i="17"/>
  <c r="V41" i="17" s="1"/>
  <c r="T526" i="17"/>
  <c r="U526" i="17" s="1"/>
  <c r="W568" i="17"/>
  <c r="V568" i="17" s="1"/>
  <c r="W459" i="17"/>
  <c r="V459" i="17" s="1"/>
  <c r="R157" i="18"/>
  <c r="R165" i="18"/>
  <c r="R119" i="18"/>
  <c r="S119" i="18" s="1"/>
  <c r="T119" i="18" s="1"/>
  <c r="U119" i="18" s="1"/>
  <c r="R89" i="18"/>
  <c r="R63" i="18"/>
  <c r="R30" i="18"/>
  <c r="T30" i="18" s="1"/>
  <c r="U30" i="18" s="1"/>
  <c r="R139" i="18"/>
  <c r="S139" i="18" s="1"/>
  <c r="W139" i="18" s="1"/>
  <c r="R123" i="18"/>
  <c r="S123" i="18" s="1"/>
  <c r="R52" i="18"/>
  <c r="R188" i="18"/>
  <c r="R87" i="18"/>
  <c r="R16" i="18"/>
  <c r="R168" i="18"/>
  <c r="R163" i="18"/>
  <c r="R198" i="18"/>
  <c r="R131" i="18"/>
  <c r="S131" i="18" s="1"/>
  <c r="W131" i="18" s="1"/>
  <c r="R184" i="18"/>
  <c r="R46" i="18"/>
  <c r="R196" i="18"/>
  <c r="R71" i="18"/>
  <c r="R99" i="18"/>
  <c r="R177" i="18"/>
  <c r="R67" i="18"/>
  <c r="U455" i="17"/>
  <c r="T498" i="17"/>
  <c r="V498" i="17" s="1"/>
  <c r="W502" i="17"/>
  <c r="V502" i="17" s="1"/>
  <c r="T452" i="17"/>
  <c r="W455" i="17"/>
  <c r="V455" i="17" s="1"/>
  <c r="W510" i="17"/>
  <c r="V510" i="17" s="1"/>
  <c r="T556" i="17"/>
  <c r="U556" i="17" s="1"/>
  <c r="T487" i="17"/>
  <c r="U487" i="17" s="1"/>
  <c r="W500" i="17"/>
  <c r="V500" i="17" s="1"/>
  <c r="W444" i="17"/>
  <c r="V444" i="17" s="1"/>
  <c r="R26" i="18"/>
  <c r="R171" i="18"/>
  <c r="R149" i="18"/>
  <c r="S149" i="18" s="1"/>
  <c r="R170" i="18"/>
  <c r="R9" i="18"/>
  <c r="R31" i="18"/>
  <c r="R133" i="18"/>
  <c r="S133" i="18" s="1"/>
  <c r="W133" i="18" s="1"/>
  <c r="R61" i="18"/>
  <c r="S61" i="18" s="1"/>
  <c r="T61" i="18" s="1"/>
  <c r="U61" i="18" s="1"/>
  <c r="R164" i="18"/>
  <c r="R185" i="18"/>
  <c r="R169" i="18"/>
  <c r="R162" i="18"/>
  <c r="R150" i="18"/>
  <c r="S150" i="18" s="1"/>
  <c r="V155" i="18"/>
  <c r="R38" i="18"/>
  <c r="R54" i="18"/>
  <c r="R20" i="18"/>
  <c r="R35" i="18"/>
  <c r="U84" i="17"/>
  <c r="T542" i="17"/>
  <c r="V542" i="17" s="1"/>
  <c r="T550" i="17"/>
  <c r="U550" i="17" s="1"/>
  <c r="W546" i="17"/>
  <c r="V546" i="17" s="1"/>
  <c r="W472" i="17"/>
  <c r="V472" i="17" s="1"/>
  <c r="W545" i="17"/>
  <c r="V545" i="17" s="1"/>
  <c r="T560" i="17"/>
  <c r="U560" i="17" s="1"/>
  <c r="W513" i="17"/>
  <c r="V513" i="17" s="1"/>
  <c r="W467" i="17"/>
  <c r="V467" i="17" s="1"/>
  <c r="T564" i="17"/>
  <c r="V564" i="17" s="1"/>
  <c r="W63" i="17"/>
  <c r="V63" i="17" s="1"/>
  <c r="U558" i="17"/>
  <c r="W458" i="17"/>
  <c r="V458" i="17" s="1"/>
  <c r="W471" i="17"/>
  <c r="V471" i="17" s="1"/>
  <c r="T554" i="17"/>
  <c r="U554" i="17" s="1"/>
  <c r="W450" i="17"/>
  <c r="V450" i="17" s="1"/>
  <c r="T40" i="17"/>
  <c r="V40" i="17" s="1"/>
  <c r="W549" i="17"/>
  <c r="V549" i="17" s="1"/>
  <c r="W485" i="17"/>
  <c r="V485" i="17" s="1"/>
  <c r="W558" i="17"/>
  <c r="V558" i="17" s="1"/>
  <c r="W566" i="17"/>
  <c r="V566" i="17" s="1"/>
  <c r="R144" i="17"/>
  <c r="S144" i="17" s="1"/>
  <c r="T144" i="17" s="1"/>
  <c r="U144" i="17" s="1"/>
  <c r="T565" i="17"/>
  <c r="U565" i="17" s="1"/>
  <c r="R115" i="17"/>
  <c r="S115" i="17" s="1"/>
  <c r="T115" i="17" s="1"/>
  <c r="U115" i="17" s="1"/>
  <c r="W533" i="17"/>
  <c r="V533" i="17" s="1"/>
  <c r="W91" i="17"/>
  <c r="V91" i="17" s="1"/>
  <c r="T555" i="17"/>
  <c r="W469" i="17"/>
  <c r="V469" i="17" s="1"/>
  <c r="T501" i="17"/>
  <c r="R120" i="18"/>
  <c r="S120" i="18" s="1"/>
  <c r="R50" i="18"/>
  <c r="R140" i="18"/>
  <c r="R47" i="18"/>
  <c r="R176" i="18"/>
  <c r="R195" i="18"/>
  <c r="R86" i="18"/>
  <c r="T86" i="18" s="1"/>
  <c r="U86" i="18" s="1"/>
  <c r="R124" i="18"/>
  <c r="R179" i="18"/>
  <c r="R117" i="18"/>
  <c r="S117" i="18" s="1"/>
  <c r="R62" i="18"/>
  <c r="S62" i="18" s="1"/>
  <c r="W62" i="18" s="1"/>
  <c r="R134" i="18"/>
  <c r="S134" i="18" s="1"/>
  <c r="W134" i="18" s="1"/>
  <c r="R153" i="18"/>
  <c r="R27" i="18"/>
  <c r="R109" i="18"/>
  <c r="R192" i="18"/>
  <c r="S192" i="18" s="1"/>
  <c r="R56" i="18"/>
  <c r="R160" i="18"/>
  <c r="R148" i="18"/>
  <c r="S148" i="18" s="1"/>
  <c r="R55" i="18"/>
  <c r="R33" i="18"/>
  <c r="R115" i="18"/>
  <c r="S115" i="18" s="1"/>
  <c r="R73" i="18"/>
  <c r="R136" i="18"/>
  <c r="S136" i="18" s="1"/>
  <c r="T136" i="18" s="1"/>
  <c r="U136" i="18" s="1"/>
  <c r="R135" i="18"/>
  <c r="S135" i="18" s="1"/>
  <c r="T135" i="18" s="1"/>
  <c r="U135" i="18" s="1"/>
  <c r="R138" i="18"/>
  <c r="S138" i="18" s="1"/>
  <c r="T138" i="18" s="1"/>
  <c r="U138" i="18" s="1"/>
  <c r="R94" i="18"/>
  <c r="R197" i="18"/>
  <c r="R29" i="18"/>
  <c r="R191" i="18"/>
  <c r="S191" i="18" s="1"/>
  <c r="R108" i="18"/>
  <c r="R181" i="18"/>
  <c r="V189" i="18"/>
  <c r="R5" i="18"/>
  <c r="R79" i="18"/>
  <c r="R18" i="18"/>
  <c r="P112" i="17"/>
  <c r="Q163" i="17"/>
  <c r="R163" i="17" s="1"/>
  <c r="S163" i="17" s="1"/>
  <c r="T163" i="17" s="1"/>
  <c r="U163" i="17" s="1"/>
  <c r="Q162" i="17"/>
  <c r="R162" i="17" s="1"/>
  <c r="S162" i="17" s="1"/>
  <c r="T162" i="17" s="1"/>
  <c r="U162" i="17" s="1"/>
  <c r="R128" i="18"/>
  <c r="S128" i="18" s="1"/>
  <c r="W128" i="18" s="1"/>
  <c r="R194" i="18"/>
  <c r="S194" i="18" s="1"/>
  <c r="R3" i="18"/>
  <c r="R161" i="18"/>
  <c r="R155" i="18"/>
  <c r="R127" i="18"/>
  <c r="R51" i="18"/>
  <c r="Q109" i="17"/>
  <c r="R71" i="17"/>
  <c r="S71" i="17" s="1"/>
  <c r="T71" i="17" s="1"/>
  <c r="U71" i="17" s="1"/>
  <c r="R125" i="18"/>
  <c r="R4" i="18"/>
  <c r="R96" i="18"/>
  <c r="R39" i="18"/>
  <c r="T39" i="18" s="1"/>
  <c r="U39" i="18" s="1"/>
  <c r="R122" i="18"/>
  <c r="R103" i="18"/>
  <c r="R104" i="18"/>
  <c r="R19" i="17"/>
  <c r="S19" i="17" s="1"/>
  <c r="T19" i="17" s="1"/>
  <c r="U19" i="17" s="1"/>
  <c r="R123" i="17"/>
  <c r="S123" i="17" s="1"/>
  <c r="R152" i="17"/>
  <c r="S152" i="17" s="1"/>
  <c r="R20" i="17"/>
  <c r="S20" i="17" s="1"/>
  <c r="T20" i="17" s="1"/>
  <c r="U20" i="17" s="1"/>
  <c r="R122" i="17"/>
  <c r="S122" i="17" s="1"/>
  <c r="T122" i="17" s="1"/>
  <c r="U122" i="17" s="1"/>
  <c r="R151" i="17"/>
  <c r="S151" i="17" s="1"/>
  <c r="P75" i="17"/>
  <c r="R75" i="17" s="1"/>
  <c r="S75" i="17" s="1"/>
  <c r="Q60" i="17"/>
  <c r="R60" i="17" s="1"/>
  <c r="S60" i="17" s="1"/>
  <c r="P124" i="17"/>
  <c r="R124" i="17" s="1"/>
  <c r="S124" i="17" s="1"/>
  <c r="Q12" i="17"/>
  <c r="R12" i="17" s="1"/>
  <c r="S12" i="17" s="1"/>
  <c r="P127" i="17"/>
  <c r="R127" i="17" s="1"/>
  <c r="S127" i="17" s="1"/>
  <c r="Q112" i="17"/>
  <c r="P109" i="17"/>
  <c r="Q89" i="17"/>
  <c r="R89" i="17" s="1"/>
  <c r="S89" i="17" s="1"/>
  <c r="P69" i="17"/>
  <c r="R69" i="17" s="1"/>
  <c r="S69" i="17" s="1"/>
  <c r="Q8" i="17"/>
  <c r="R8" i="17" s="1"/>
  <c r="S8" i="17" s="1"/>
  <c r="Q49" i="17"/>
  <c r="R49" i="17" s="1"/>
  <c r="S49" i="17" s="1"/>
  <c r="P157" i="17"/>
  <c r="R157" i="17" s="1"/>
  <c r="S157" i="17" s="1"/>
  <c r="Q155" i="17"/>
  <c r="R155" i="17" s="1"/>
  <c r="S155" i="17" s="1"/>
  <c r="P62" i="17"/>
  <c r="R62" i="17" s="1"/>
  <c r="S62" i="17" s="1"/>
  <c r="Q114" i="17"/>
  <c r="R114" i="17" s="1"/>
  <c r="S114" i="17" s="1"/>
  <c r="P88" i="17"/>
  <c r="R88" i="17" s="1"/>
  <c r="S88" i="17" s="1"/>
  <c r="Q5" i="17"/>
  <c r="R5" i="17" s="1"/>
  <c r="S5" i="17" s="1"/>
  <c r="P126" i="17"/>
  <c r="R126" i="17" s="1"/>
  <c r="S126" i="17" s="1"/>
  <c r="Q121" i="17"/>
  <c r="R121" i="17" s="1"/>
  <c r="S121" i="17" s="1"/>
  <c r="P104" i="17"/>
  <c r="R104" i="17" s="1"/>
  <c r="S104" i="17" s="1"/>
  <c r="Q86" i="17"/>
  <c r="R86" i="17" s="1"/>
  <c r="S86" i="17" s="1"/>
  <c r="P11" i="17"/>
  <c r="R11" i="17" s="1"/>
  <c r="S11" i="17" s="1"/>
  <c r="Q154" i="17"/>
  <c r="Q70" i="17"/>
  <c r="R70" i="17" s="1"/>
  <c r="S70" i="17" s="1"/>
  <c r="Q139" i="17"/>
  <c r="R139" i="17" s="1"/>
  <c r="S139" i="17" s="1"/>
  <c r="P154" i="17"/>
  <c r="Q158" i="17"/>
  <c r="R158" i="17" s="1"/>
  <c r="S158" i="17" s="1"/>
  <c r="Q30" i="17"/>
  <c r="Q164" i="17"/>
  <c r="Q58" i="17"/>
  <c r="R58" i="17" s="1"/>
  <c r="S58" i="17" s="1"/>
  <c r="P61" i="17"/>
  <c r="R61" i="17" s="1"/>
  <c r="S61" i="17" s="1"/>
  <c r="Q59" i="17"/>
  <c r="R59" i="17" s="1"/>
  <c r="S59" i="17" s="1"/>
  <c r="P134" i="17"/>
  <c r="R134" i="17" s="1"/>
  <c r="S134" i="17" s="1"/>
  <c r="Q4" i="17"/>
  <c r="R4" i="17" s="1"/>
  <c r="S4" i="17" s="1"/>
  <c r="P125" i="17"/>
  <c r="R125" i="17" s="1"/>
  <c r="S125" i="17" s="1"/>
  <c r="Q87" i="17"/>
  <c r="R87" i="17" s="1"/>
  <c r="S87" i="17" s="1"/>
  <c r="P103" i="17"/>
  <c r="R103" i="17" s="1"/>
  <c r="S103" i="17" s="1"/>
  <c r="Q85" i="17"/>
  <c r="R85" i="17" s="1"/>
  <c r="S85" i="17" s="1"/>
  <c r="P30" i="17"/>
  <c r="Q165" i="17"/>
  <c r="R165" i="17" s="1"/>
  <c r="S165" i="17" s="1"/>
  <c r="P164" i="17"/>
  <c r="Q156" i="17"/>
  <c r="R156" i="17" s="1"/>
  <c r="S156" i="17" s="1"/>
  <c r="R110" i="18"/>
  <c r="S110" i="18" s="1"/>
  <c r="T110" i="18" s="1"/>
  <c r="U110" i="18" s="1"/>
  <c r="R68" i="18"/>
  <c r="R97" i="18"/>
  <c r="R13" i="18"/>
  <c r="R6" i="18"/>
  <c r="R91" i="18"/>
  <c r="R83" i="18"/>
  <c r="R25" i="18"/>
  <c r="R78" i="18"/>
  <c r="R101" i="18"/>
  <c r="R100" i="18"/>
  <c r="R116" i="17"/>
  <c r="S116" i="17" s="1"/>
  <c r="T116" i="17" s="1"/>
  <c r="U116" i="17" s="1"/>
  <c r="R153" i="17"/>
  <c r="S153" i="17" s="1"/>
  <c r="W153" i="17" s="1"/>
  <c r="R102" i="18"/>
  <c r="T445" i="17"/>
  <c r="U445" i="17" s="1"/>
  <c r="U449" i="17"/>
  <c r="U537" i="17"/>
  <c r="T561" i="17"/>
  <c r="U561" i="17" s="1"/>
  <c r="T528" i="17"/>
  <c r="U528" i="17" s="1"/>
  <c r="U520" i="17"/>
  <c r="R117" i="17"/>
  <c r="S117" i="17" s="1"/>
  <c r="W117" i="17" s="1"/>
  <c r="R51" i="17"/>
  <c r="S51" i="17" s="1"/>
  <c r="T51" i="17" s="1"/>
  <c r="U51" i="17" s="1"/>
  <c r="Q119" i="17"/>
  <c r="R119" i="17" s="1"/>
  <c r="S119" i="17" s="1"/>
  <c r="R3" i="17"/>
  <c r="S3" i="17" s="1"/>
  <c r="T3" i="17" s="1"/>
  <c r="U3" i="17" s="1"/>
  <c r="R132" i="18"/>
  <c r="S132" i="18" s="1"/>
  <c r="T132" i="18" s="1"/>
  <c r="U132" i="18" s="1"/>
  <c r="R70" i="18"/>
  <c r="R12" i="18"/>
  <c r="R45" i="18"/>
  <c r="R178" i="18"/>
  <c r="R152" i="18"/>
  <c r="R200" i="18"/>
  <c r="V177" i="18"/>
  <c r="R60" i="18"/>
  <c r="S60" i="18" s="1"/>
  <c r="T60" i="18" s="1"/>
  <c r="U60" i="18" s="1"/>
  <c r="R74" i="18"/>
  <c r="V36" i="18"/>
  <c r="R64" i="18"/>
  <c r="R58" i="18"/>
  <c r="S58" i="18" s="1"/>
  <c r="T58" i="18" s="1"/>
  <c r="U58" i="18" s="1"/>
  <c r="R53" i="18"/>
  <c r="R85" i="18"/>
  <c r="R137" i="18"/>
  <c r="S137" i="18" s="1"/>
  <c r="T137" i="18" s="1"/>
  <c r="U137" i="18" s="1"/>
  <c r="R166" i="18"/>
  <c r="R19" i="18"/>
  <c r="R75" i="18"/>
  <c r="R44" i="18"/>
  <c r="R121" i="18"/>
  <c r="R182" i="18"/>
  <c r="R193" i="18"/>
  <c r="S193" i="18" s="1"/>
  <c r="R98" i="18"/>
  <c r="R180" i="18"/>
  <c r="R76" i="18"/>
  <c r="R144" i="18"/>
  <c r="S144" i="18" s="1"/>
  <c r="R159" i="18"/>
  <c r="R146" i="18"/>
  <c r="S146" i="18" s="1"/>
  <c r="W146" i="18" s="1"/>
  <c r="R172" i="18"/>
  <c r="R190" i="18"/>
  <c r="S190" i="18" s="1"/>
  <c r="R82" i="18"/>
  <c r="R107" i="18"/>
  <c r="R72" i="18"/>
  <c r="R126" i="18"/>
  <c r="R22" i="18"/>
  <c r="R114" i="18"/>
  <c r="S114" i="18" s="1"/>
  <c r="W114" i="18" s="1"/>
  <c r="V98" i="18"/>
  <c r="U98" i="18"/>
  <c r="R48" i="18"/>
  <c r="W48" i="18" s="1"/>
  <c r="R158" i="18"/>
  <c r="R69" i="18"/>
  <c r="R145" i="18"/>
  <c r="S145" i="18" s="1"/>
  <c r="R40" i="18"/>
  <c r="R88" i="18"/>
  <c r="R77" i="18"/>
  <c r="R14" i="18"/>
  <c r="R17" i="18"/>
  <c r="V91" i="18"/>
  <c r="U159" i="18"/>
  <c r="R90" i="18"/>
  <c r="S90" i="18" s="1"/>
  <c r="T90" i="18" s="1"/>
  <c r="U90" i="18" s="1"/>
  <c r="R112" i="18"/>
  <c r="U188" i="18"/>
  <c r="U84" i="18"/>
  <c r="U163" i="18"/>
  <c r="U56" i="18"/>
  <c r="R11" i="18"/>
  <c r="V171" i="18"/>
  <c r="U127" i="18"/>
  <c r="U44" i="18"/>
  <c r="V44" i="18"/>
  <c r="R156" i="18"/>
  <c r="R141" i="18"/>
  <c r="R175" i="18"/>
  <c r="R142" i="18"/>
  <c r="S142" i="18" s="1"/>
  <c r="T142" i="18" s="1"/>
  <c r="U142" i="18" s="1"/>
  <c r="R189" i="18"/>
  <c r="R36" i="18"/>
  <c r="R130" i="18"/>
  <c r="S130" i="18" s="1"/>
  <c r="T130" i="18" s="1"/>
  <c r="U130" i="18" s="1"/>
  <c r="R105" i="18"/>
  <c r="R84" i="18"/>
  <c r="R21" i="18"/>
  <c r="U68" i="18"/>
  <c r="V68" i="18"/>
  <c r="U105" i="18"/>
  <c r="U141" i="18"/>
  <c r="R186" i="18"/>
  <c r="U196" i="18"/>
  <c r="R147" i="18"/>
  <c r="S147" i="18" s="1"/>
  <c r="U101" i="18"/>
  <c r="V101" i="18"/>
  <c r="R183" i="18"/>
  <c r="U40" i="18"/>
  <c r="R118" i="18"/>
  <c r="S118" i="18" s="1"/>
  <c r="U35" i="18"/>
  <c r="U167" i="18"/>
  <c r="R65" i="18"/>
  <c r="S65" i="18" s="1"/>
  <c r="T65" i="18" s="1"/>
  <c r="U65" i="18" s="1"/>
  <c r="R57" i="18"/>
  <c r="U180" i="18"/>
  <c r="R95" i="18"/>
  <c r="U170" i="18"/>
  <c r="U73" i="18"/>
  <c r="R24" i="18"/>
  <c r="R41" i="18"/>
  <c r="R66" i="18"/>
  <c r="U152" i="18"/>
  <c r="U162" i="18"/>
  <c r="R151" i="18"/>
  <c r="S151" i="18" s="1"/>
  <c r="R49" i="18"/>
  <c r="U49" i="18"/>
  <c r="R111" i="18"/>
  <c r="S111" i="18" s="1"/>
  <c r="T111" i="18" s="1"/>
  <c r="U111" i="18" s="1"/>
  <c r="R7" i="18"/>
  <c r="P38" i="17"/>
  <c r="Q38" i="17"/>
  <c r="U464" i="17"/>
  <c r="U546" i="17"/>
  <c r="U465" i="17"/>
  <c r="U101" i="17"/>
  <c r="U567" i="17"/>
  <c r="U458" i="17"/>
  <c r="U506" i="17"/>
  <c r="U469" i="17"/>
  <c r="U486" i="17"/>
  <c r="U535" i="17"/>
  <c r="U471" i="17"/>
  <c r="U468" i="17"/>
  <c r="U513" i="17"/>
  <c r="U504" i="17"/>
  <c r="U460" i="17"/>
  <c r="U517" i="17"/>
  <c r="U490" i="17"/>
  <c r="U514" i="17"/>
  <c r="U447" i="17"/>
  <c r="U497" i="17"/>
  <c r="U480" i="17"/>
  <c r="U482" i="17"/>
  <c r="U508" i="17"/>
  <c r="U502" i="17"/>
  <c r="U563" i="17"/>
  <c r="U533" i="17"/>
  <c r="U472" i="17"/>
  <c r="P113" i="17"/>
  <c r="R113" i="17" s="1"/>
  <c r="S113" i="17" s="1"/>
  <c r="P32" i="5"/>
  <c r="N32" i="5" s="1"/>
  <c r="L4" i="12" s="1"/>
  <c r="N16" i="5"/>
  <c r="N17" i="5"/>
  <c r="N18" i="5"/>
  <c r="N19" i="5"/>
  <c r="N20" i="5"/>
  <c r="N21" i="5"/>
  <c r="N22" i="5"/>
  <c r="N23" i="5"/>
  <c r="N24" i="5"/>
  <c r="N25" i="5"/>
  <c r="N26" i="5"/>
  <c r="N27" i="5"/>
  <c r="M4" i="12"/>
  <c r="J604" i="12" a="1"/>
  <c r="J604" i="12" s="1"/>
  <c r="I604" i="12" a="1"/>
  <c r="I604" i="12" s="1"/>
  <c r="E604" i="12"/>
  <c r="J603" i="12" a="1"/>
  <c r="J603" i="12" s="1"/>
  <c r="I603" i="12" a="1"/>
  <c r="I603" i="12" s="1"/>
  <c r="E603" i="12"/>
  <c r="J602" i="12" a="1"/>
  <c r="J602" i="12" s="1"/>
  <c r="I602" i="12" a="1"/>
  <c r="I602" i="12" s="1"/>
  <c r="K602" i="12" s="1"/>
  <c r="E602" i="12"/>
  <c r="J601" i="12" a="1"/>
  <c r="J601" i="12" s="1"/>
  <c r="I601" i="12" a="1"/>
  <c r="I601" i="12" s="1"/>
  <c r="K601" i="12" s="1"/>
  <c r="E601" i="12"/>
  <c r="J600" i="12" a="1"/>
  <c r="J600" i="12" s="1"/>
  <c r="I600" i="12" a="1"/>
  <c r="I600" i="12" s="1"/>
  <c r="E600" i="12"/>
  <c r="J599" i="12" a="1"/>
  <c r="J599" i="12" s="1"/>
  <c r="I599" i="12" a="1"/>
  <c r="I599" i="12" s="1"/>
  <c r="E599" i="12"/>
  <c r="J598" i="12" a="1"/>
  <c r="J598" i="12" s="1"/>
  <c r="I598" i="12" a="1"/>
  <c r="I598" i="12" s="1"/>
  <c r="E598" i="12"/>
  <c r="J597" i="12" a="1"/>
  <c r="J597" i="12" s="1"/>
  <c r="I597" i="12" a="1"/>
  <c r="I597" i="12" s="1"/>
  <c r="E597" i="12"/>
  <c r="J596" i="12" a="1"/>
  <c r="J596" i="12" s="1"/>
  <c r="I596" i="12" a="1"/>
  <c r="I596" i="12" s="1"/>
  <c r="E596" i="12"/>
  <c r="J595" i="12" a="1"/>
  <c r="J595" i="12" s="1"/>
  <c r="I595" i="12" a="1"/>
  <c r="I595" i="12" s="1"/>
  <c r="E595" i="12"/>
  <c r="J594" i="12" a="1"/>
  <c r="J594" i="12" s="1"/>
  <c r="I594" i="12" a="1"/>
  <c r="I594" i="12" s="1"/>
  <c r="E594" i="12"/>
  <c r="J593" i="12" a="1"/>
  <c r="J593" i="12" s="1"/>
  <c r="I593" i="12" a="1"/>
  <c r="I593" i="12" s="1"/>
  <c r="K593" i="12" s="1"/>
  <c r="E593" i="12"/>
  <c r="J592" i="12" a="1"/>
  <c r="J592" i="12" s="1"/>
  <c r="I592" i="12" a="1"/>
  <c r="I592" i="12" s="1"/>
  <c r="E592" i="12"/>
  <c r="J591" i="12" a="1"/>
  <c r="J591" i="12" s="1"/>
  <c r="I591" i="12" a="1"/>
  <c r="I591" i="12" s="1"/>
  <c r="E591" i="12"/>
  <c r="J590" i="12" a="1"/>
  <c r="J590" i="12" s="1"/>
  <c r="I590" i="12" a="1"/>
  <c r="I590" i="12" s="1"/>
  <c r="E590" i="12"/>
  <c r="J589" i="12" a="1"/>
  <c r="J589" i="12" s="1"/>
  <c r="I589" i="12" a="1"/>
  <c r="I589" i="12" s="1"/>
  <c r="E589" i="12"/>
  <c r="J588" i="12" a="1"/>
  <c r="J588" i="12" s="1"/>
  <c r="I588" i="12" a="1"/>
  <c r="I588" i="12" s="1"/>
  <c r="E588" i="12"/>
  <c r="J587" i="12" a="1"/>
  <c r="J587" i="12" s="1"/>
  <c r="I587" i="12" a="1"/>
  <c r="I587" i="12" s="1"/>
  <c r="E587" i="12"/>
  <c r="J586" i="12" a="1"/>
  <c r="J586" i="12" s="1"/>
  <c r="I586" i="12" a="1"/>
  <c r="I586" i="12" s="1"/>
  <c r="E586" i="12"/>
  <c r="J585" i="12" a="1"/>
  <c r="J585" i="12" s="1"/>
  <c r="I585" i="12" a="1"/>
  <c r="I585" i="12" s="1"/>
  <c r="E585" i="12"/>
  <c r="J584" i="12" a="1"/>
  <c r="J584" i="12" s="1"/>
  <c r="I584" i="12" a="1"/>
  <c r="I584" i="12" s="1"/>
  <c r="E584" i="12"/>
  <c r="J583" i="12" a="1"/>
  <c r="J583" i="12" s="1"/>
  <c r="I583" i="12" a="1"/>
  <c r="I583" i="12" s="1"/>
  <c r="E583" i="12"/>
  <c r="J582" i="12" a="1"/>
  <c r="J582" i="12" s="1"/>
  <c r="I582" i="12" a="1"/>
  <c r="I582" i="12" s="1"/>
  <c r="E582" i="12"/>
  <c r="J581" i="12" a="1"/>
  <c r="J581" i="12" s="1"/>
  <c r="I581" i="12" a="1"/>
  <c r="I581" i="12" s="1"/>
  <c r="E581" i="12"/>
  <c r="J580" i="12" a="1"/>
  <c r="J580" i="12" s="1"/>
  <c r="I580" i="12" a="1"/>
  <c r="I580" i="12" s="1"/>
  <c r="E580" i="12"/>
  <c r="J579" i="12" a="1"/>
  <c r="J579" i="12" s="1"/>
  <c r="I579" i="12" a="1"/>
  <c r="I579" i="12" s="1"/>
  <c r="E579" i="12"/>
  <c r="J578" i="12" a="1"/>
  <c r="J578" i="12" s="1"/>
  <c r="I578" i="12" a="1"/>
  <c r="I578" i="12" s="1"/>
  <c r="E578" i="12"/>
  <c r="J577" i="12" a="1"/>
  <c r="J577" i="12" s="1"/>
  <c r="I577" i="12" a="1"/>
  <c r="I577" i="12" s="1"/>
  <c r="K577" i="12" s="1"/>
  <c r="E577" i="12"/>
  <c r="J576" i="12" a="1"/>
  <c r="J576" i="12" s="1"/>
  <c r="I576" i="12" a="1"/>
  <c r="I576" i="12" s="1"/>
  <c r="E576" i="12"/>
  <c r="J575" i="12" a="1"/>
  <c r="J575" i="12" s="1"/>
  <c r="I575" i="12" a="1"/>
  <c r="I575" i="12" s="1"/>
  <c r="E575" i="12"/>
  <c r="J574" i="12" a="1"/>
  <c r="J574" i="12" s="1"/>
  <c r="I574" i="12" a="1"/>
  <c r="I574" i="12" s="1"/>
  <c r="E574" i="12"/>
  <c r="J573" i="12" a="1"/>
  <c r="J573" i="12" s="1"/>
  <c r="I573" i="12" a="1"/>
  <c r="I573" i="12" s="1"/>
  <c r="E573" i="12"/>
  <c r="J572" i="12" a="1"/>
  <c r="J572" i="12" s="1"/>
  <c r="I572" i="12" a="1"/>
  <c r="I572" i="12" s="1"/>
  <c r="K572" i="12" s="1"/>
  <c r="E572" i="12"/>
  <c r="J571" i="12" a="1"/>
  <c r="J571" i="12" s="1"/>
  <c r="I571" i="12" a="1"/>
  <c r="I571" i="12" s="1"/>
  <c r="E571" i="12"/>
  <c r="J570" i="12" a="1"/>
  <c r="J570" i="12" s="1"/>
  <c r="I570" i="12" a="1"/>
  <c r="I570" i="12" s="1"/>
  <c r="E570" i="12"/>
  <c r="J569" i="12" a="1"/>
  <c r="J569" i="12" s="1"/>
  <c r="I569" i="12" a="1"/>
  <c r="I569" i="12" s="1"/>
  <c r="E569" i="12"/>
  <c r="J568" i="12" a="1"/>
  <c r="J568" i="12" s="1"/>
  <c r="I568" i="12" a="1"/>
  <c r="I568" i="12" s="1"/>
  <c r="E568" i="12"/>
  <c r="J567" i="12" a="1"/>
  <c r="J567" i="12" s="1"/>
  <c r="I567" i="12" a="1"/>
  <c r="I567" i="12" s="1"/>
  <c r="E567" i="12"/>
  <c r="J566" i="12" a="1"/>
  <c r="J566" i="12" s="1"/>
  <c r="I566" i="12" a="1"/>
  <c r="I566" i="12" s="1"/>
  <c r="E566" i="12"/>
  <c r="J565" i="12" a="1"/>
  <c r="J565" i="12" s="1"/>
  <c r="I565" i="12" a="1"/>
  <c r="I565" i="12" s="1"/>
  <c r="E565" i="12"/>
  <c r="J564" i="12" a="1"/>
  <c r="J564" i="12" s="1"/>
  <c r="I564" i="12" a="1"/>
  <c r="I564" i="12" s="1"/>
  <c r="K564" i="12" s="1"/>
  <c r="E564" i="12"/>
  <c r="J563" i="12" a="1"/>
  <c r="J563" i="12" s="1"/>
  <c r="I563" i="12" a="1"/>
  <c r="I563" i="12" s="1"/>
  <c r="E563" i="12"/>
  <c r="J562" i="12" a="1"/>
  <c r="J562" i="12" s="1"/>
  <c r="I562" i="12" a="1"/>
  <c r="I562" i="12" s="1"/>
  <c r="E562" i="12"/>
  <c r="J561" i="12" a="1"/>
  <c r="J561" i="12" s="1"/>
  <c r="I561" i="12" a="1"/>
  <c r="I561" i="12" s="1"/>
  <c r="E561" i="12"/>
  <c r="J560" i="12" a="1"/>
  <c r="J560" i="12" s="1"/>
  <c r="I560" i="12" a="1"/>
  <c r="I560" i="12" s="1"/>
  <c r="E560" i="12"/>
  <c r="J559" i="12" a="1"/>
  <c r="J559" i="12" s="1"/>
  <c r="I559" i="12" a="1"/>
  <c r="I559" i="12" s="1"/>
  <c r="E559" i="12"/>
  <c r="J558" i="12" a="1"/>
  <c r="J558" i="12" s="1"/>
  <c r="I558" i="12" a="1"/>
  <c r="I558" i="12" s="1"/>
  <c r="E558" i="12"/>
  <c r="J557" i="12" a="1"/>
  <c r="J557" i="12" s="1"/>
  <c r="I557" i="12" a="1"/>
  <c r="I557" i="12" s="1"/>
  <c r="E557" i="12"/>
  <c r="J556" i="12" a="1"/>
  <c r="J556" i="12" s="1"/>
  <c r="I556" i="12" a="1"/>
  <c r="I556" i="12" s="1"/>
  <c r="K556" i="12" s="1"/>
  <c r="E556" i="12"/>
  <c r="J555" i="12" a="1"/>
  <c r="J555" i="12" s="1"/>
  <c r="I555" i="12" a="1"/>
  <c r="I555" i="12" s="1"/>
  <c r="E555" i="12"/>
  <c r="J554" i="12" a="1"/>
  <c r="J554" i="12" s="1"/>
  <c r="I554" i="12" a="1"/>
  <c r="I554" i="12" s="1"/>
  <c r="E554" i="12"/>
  <c r="J553" i="12" a="1"/>
  <c r="J553" i="12" s="1"/>
  <c r="I553" i="12" a="1"/>
  <c r="I553" i="12" s="1"/>
  <c r="E553" i="12"/>
  <c r="J552" i="12" a="1"/>
  <c r="J552" i="12" s="1"/>
  <c r="I552" i="12" a="1"/>
  <c r="I552" i="12" s="1"/>
  <c r="E552" i="12"/>
  <c r="J551" i="12" a="1"/>
  <c r="J551" i="12" s="1"/>
  <c r="I551" i="12" a="1"/>
  <c r="I551" i="12" s="1"/>
  <c r="E551" i="12"/>
  <c r="J550" i="12" a="1"/>
  <c r="J550" i="12" s="1"/>
  <c r="I550" i="12" a="1"/>
  <c r="I550" i="12" s="1"/>
  <c r="E550" i="12"/>
  <c r="J549" i="12" a="1"/>
  <c r="J549" i="12" s="1"/>
  <c r="I549" i="12" a="1"/>
  <c r="I549" i="12" s="1"/>
  <c r="E549" i="12"/>
  <c r="J548" i="12" a="1"/>
  <c r="J548" i="12" s="1"/>
  <c r="I548" i="12" a="1"/>
  <c r="I548" i="12" s="1"/>
  <c r="E548" i="12"/>
  <c r="J547" i="12" a="1"/>
  <c r="J547" i="12" s="1"/>
  <c r="I547" i="12" a="1"/>
  <c r="I547" i="12" s="1"/>
  <c r="E547" i="12"/>
  <c r="J546" i="12" a="1"/>
  <c r="J546" i="12" s="1"/>
  <c r="I546" i="12" a="1"/>
  <c r="I546" i="12" s="1"/>
  <c r="E546" i="12"/>
  <c r="J545" i="12" a="1"/>
  <c r="J545" i="12" s="1"/>
  <c r="I545" i="12" a="1"/>
  <c r="I545" i="12" s="1"/>
  <c r="E545" i="12"/>
  <c r="J544" i="12" a="1"/>
  <c r="J544" i="12" s="1"/>
  <c r="I544" i="12" a="1"/>
  <c r="I544" i="12" s="1"/>
  <c r="E544" i="12"/>
  <c r="J543" i="12" a="1"/>
  <c r="J543" i="12" s="1"/>
  <c r="I543" i="12" a="1"/>
  <c r="I543" i="12" s="1"/>
  <c r="E543" i="12"/>
  <c r="J542" i="12" a="1"/>
  <c r="J542" i="12" s="1"/>
  <c r="I542" i="12" a="1"/>
  <c r="I542" i="12" s="1"/>
  <c r="E542" i="12"/>
  <c r="J541" i="12" a="1"/>
  <c r="J541" i="12" s="1"/>
  <c r="I541" i="12" a="1"/>
  <c r="I541" i="12" s="1"/>
  <c r="E541" i="12"/>
  <c r="J540" i="12" a="1"/>
  <c r="J540" i="12" s="1"/>
  <c r="I540" i="12" a="1"/>
  <c r="I540" i="12" s="1"/>
  <c r="K540" i="12" s="1"/>
  <c r="E540" i="12"/>
  <c r="J539" i="12" a="1"/>
  <c r="J539" i="12" s="1"/>
  <c r="I539" i="12" a="1"/>
  <c r="I539" i="12" s="1"/>
  <c r="E539" i="12"/>
  <c r="J538" i="12" a="1"/>
  <c r="J538" i="12" s="1"/>
  <c r="I538" i="12" a="1"/>
  <c r="I538" i="12" s="1"/>
  <c r="E538" i="12"/>
  <c r="J537" i="12" a="1"/>
  <c r="J537" i="12" s="1"/>
  <c r="I537" i="12" a="1"/>
  <c r="I537" i="12" s="1"/>
  <c r="E537" i="12"/>
  <c r="J536" i="12" a="1"/>
  <c r="J536" i="12" s="1"/>
  <c r="I536" i="12" a="1"/>
  <c r="I536" i="12" s="1"/>
  <c r="E536" i="12"/>
  <c r="J535" i="12" a="1"/>
  <c r="J535" i="12" s="1"/>
  <c r="I535" i="12" a="1"/>
  <c r="I535" i="12" s="1"/>
  <c r="E535" i="12"/>
  <c r="J534" i="12" a="1"/>
  <c r="J534" i="12" s="1"/>
  <c r="I534" i="12" a="1"/>
  <c r="I534" i="12" s="1"/>
  <c r="E534" i="12"/>
  <c r="J533" i="12" a="1"/>
  <c r="J533" i="12" s="1"/>
  <c r="I533" i="12" a="1"/>
  <c r="I533" i="12" s="1"/>
  <c r="E533" i="12"/>
  <c r="J532" i="12" a="1"/>
  <c r="J532" i="12" s="1"/>
  <c r="I532" i="12" a="1"/>
  <c r="I532" i="12" s="1"/>
  <c r="K532" i="12" s="1"/>
  <c r="E532" i="12"/>
  <c r="J531" i="12" a="1"/>
  <c r="J531" i="12" s="1"/>
  <c r="I531" i="12" a="1"/>
  <c r="I531" i="12" s="1"/>
  <c r="E531" i="12"/>
  <c r="J530" i="12" a="1"/>
  <c r="J530" i="12" s="1"/>
  <c r="I530" i="12" a="1"/>
  <c r="I530" i="12" s="1"/>
  <c r="E530" i="12"/>
  <c r="J529" i="12" a="1"/>
  <c r="J529" i="12" s="1"/>
  <c r="I529" i="12" a="1"/>
  <c r="I529" i="12" s="1"/>
  <c r="E529" i="12"/>
  <c r="J528" i="12" a="1"/>
  <c r="J528" i="12" s="1"/>
  <c r="I528" i="12" a="1"/>
  <c r="I528" i="12" s="1"/>
  <c r="E528" i="12"/>
  <c r="J527" i="12" a="1"/>
  <c r="J527" i="12" s="1"/>
  <c r="I527" i="12" a="1"/>
  <c r="I527" i="12" s="1"/>
  <c r="E527" i="12"/>
  <c r="J526" i="12" a="1"/>
  <c r="J526" i="12" s="1"/>
  <c r="I526" i="12" a="1"/>
  <c r="I526" i="12" s="1"/>
  <c r="E526" i="12"/>
  <c r="J525" i="12" a="1"/>
  <c r="J525" i="12" s="1"/>
  <c r="I525" i="12" a="1"/>
  <c r="I525" i="12" s="1"/>
  <c r="E525" i="12"/>
  <c r="J524" i="12" a="1"/>
  <c r="J524" i="12" s="1"/>
  <c r="I524" i="12" a="1"/>
  <c r="I524" i="12" s="1"/>
  <c r="E524" i="12"/>
  <c r="J523" i="12" a="1"/>
  <c r="J523" i="12" s="1"/>
  <c r="I523" i="12" a="1"/>
  <c r="I523" i="12" s="1"/>
  <c r="E523" i="12"/>
  <c r="J522" i="12" a="1"/>
  <c r="J522" i="12" s="1"/>
  <c r="I522" i="12" a="1"/>
  <c r="I522" i="12" s="1"/>
  <c r="E522" i="12"/>
  <c r="J521" i="12" a="1"/>
  <c r="J521" i="12" s="1"/>
  <c r="I521" i="12" a="1"/>
  <c r="I521" i="12" s="1"/>
  <c r="E521" i="12"/>
  <c r="J520" i="12" a="1"/>
  <c r="J520" i="12" s="1"/>
  <c r="I520" i="12" a="1"/>
  <c r="I520" i="12" s="1"/>
  <c r="E520" i="12"/>
  <c r="J519" i="12" a="1"/>
  <c r="J519" i="12" s="1"/>
  <c r="I519" i="12" a="1"/>
  <c r="I519" i="12" s="1"/>
  <c r="E519" i="12"/>
  <c r="J518" i="12" a="1"/>
  <c r="J518" i="12" s="1"/>
  <c r="I518" i="12" a="1"/>
  <c r="I518" i="12" s="1"/>
  <c r="E518" i="12"/>
  <c r="J517" i="12" a="1"/>
  <c r="J517" i="12" s="1"/>
  <c r="I517" i="12" a="1"/>
  <c r="I517" i="12" s="1"/>
  <c r="E517" i="12"/>
  <c r="J516" i="12" a="1"/>
  <c r="J516" i="12" s="1"/>
  <c r="I516" i="12" a="1"/>
  <c r="I516" i="12" s="1"/>
  <c r="E516" i="12"/>
  <c r="J515" i="12" a="1"/>
  <c r="J515" i="12" s="1"/>
  <c r="I515" i="12" a="1"/>
  <c r="I515" i="12" s="1"/>
  <c r="E515" i="12"/>
  <c r="J514" i="12" a="1"/>
  <c r="J514" i="12" s="1"/>
  <c r="I514" i="12" a="1"/>
  <c r="I514" i="12" s="1"/>
  <c r="K514" i="12" s="1"/>
  <c r="E514" i="12"/>
  <c r="J513" i="12" a="1"/>
  <c r="J513" i="12" s="1"/>
  <c r="I513" i="12" a="1"/>
  <c r="I513" i="12" s="1"/>
  <c r="E513" i="12"/>
  <c r="J512" i="12" a="1"/>
  <c r="J512" i="12" s="1"/>
  <c r="I512" i="12" a="1"/>
  <c r="I512" i="12" s="1"/>
  <c r="E512" i="12"/>
  <c r="J511" i="12" a="1"/>
  <c r="J511" i="12" s="1"/>
  <c r="I511" i="12" a="1"/>
  <c r="I511" i="12" s="1"/>
  <c r="E511" i="12"/>
  <c r="J510" i="12" a="1"/>
  <c r="J510" i="12" s="1"/>
  <c r="I510" i="12" a="1"/>
  <c r="I510" i="12" s="1"/>
  <c r="E510" i="12"/>
  <c r="J509" i="12" a="1"/>
  <c r="J509" i="12" s="1"/>
  <c r="I509" i="12" a="1"/>
  <c r="I509" i="12" s="1"/>
  <c r="E509" i="12"/>
  <c r="J508" i="12" a="1"/>
  <c r="J508" i="12" s="1"/>
  <c r="I508" i="12" a="1"/>
  <c r="I508" i="12" s="1"/>
  <c r="E508" i="12"/>
  <c r="J507" i="12" a="1"/>
  <c r="J507" i="12" s="1"/>
  <c r="I507" i="12" a="1"/>
  <c r="I507" i="12" s="1"/>
  <c r="E507" i="12"/>
  <c r="J506" i="12" a="1"/>
  <c r="J506" i="12" s="1"/>
  <c r="I506" i="12" a="1"/>
  <c r="I506" i="12" s="1"/>
  <c r="E506" i="12"/>
  <c r="J505" i="12" a="1"/>
  <c r="J505" i="12" s="1"/>
  <c r="I505" i="12" a="1"/>
  <c r="I505" i="12" s="1"/>
  <c r="E505" i="12"/>
  <c r="J504" i="12" a="1"/>
  <c r="J504" i="12" s="1"/>
  <c r="I504" i="12" a="1"/>
  <c r="I504" i="12" s="1"/>
  <c r="E504" i="12"/>
  <c r="J503" i="12" a="1"/>
  <c r="J503" i="12" s="1"/>
  <c r="I503" i="12" a="1"/>
  <c r="I503" i="12" s="1"/>
  <c r="E503" i="12"/>
  <c r="J502" i="12" a="1"/>
  <c r="J502" i="12" s="1"/>
  <c r="I502" i="12" a="1"/>
  <c r="I502" i="12" s="1"/>
  <c r="E502" i="12"/>
  <c r="J501" i="12" a="1"/>
  <c r="J501" i="12" s="1"/>
  <c r="I501" i="12" a="1"/>
  <c r="I501" i="12" s="1"/>
  <c r="E501" i="12"/>
  <c r="J500" i="12" a="1"/>
  <c r="J500" i="12" s="1"/>
  <c r="I500" i="12" a="1"/>
  <c r="I500" i="12" s="1"/>
  <c r="E500" i="12"/>
  <c r="J499" i="12" a="1"/>
  <c r="J499" i="12" s="1"/>
  <c r="I499" i="12" a="1"/>
  <c r="I499" i="12" s="1"/>
  <c r="E499" i="12"/>
  <c r="J498" i="12" a="1"/>
  <c r="J498" i="12" s="1"/>
  <c r="I498" i="12" a="1"/>
  <c r="I498" i="12" s="1"/>
  <c r="K498" i="12" s="1"/>
  <c r="E498" i="12"/>
  <c r="J497" i="12" a="1"/>
  <c r="J497" i="12" s="1"/>
  <c r="I497" i="12" a="1"/>
  <c r="I497" i="12" s="1"/>
  <c r="E497" i="12"/>
  <c r="J496" i="12" a="1"/>
  <c r="J496" i="12" s="1"/>
  <c r="I496" i="12" a="1"/>
  <c r="I496" i="12" s="1"/>
  <c r="E496" i="12"/>
  <c r="J495" i="12" a="1"/>
  <c r="J495" i="12" s="1"/>
  <c r="I495" i="12" a="1"/>
  <c r="I495" i="12" s="1"/>
  <c r="E495" i="12"/>
  <c r="J494" i="12" a="1"/>
  <c r="J494" i="12" s="1"/>
  <c r="I494" i="12" a="1"/>
  <c r="I494" i="12" s="1"/>
  <c r="E494" i="12"/>
  <c r="J493" i="12" a="1"/>
  <c r="J493" i="12" s="1"/>
  <c r="I493" i="12" a="1"/>
  <c r="I493" i="12" s="1"/>
  <c r="E493" i="12"/>
  <c r="J492" i="12" a="1"/>
  <c r="J492" i="12" s="1"/>
  <c r="I492" i="12" a="1"/>
  <c r="I492" i="12" s="1"/>
  <c r="E492" i="12"/>
  <c r="J491" i="12" a="1"/>
  <c r="J491" i="12" s="1"/>
  <c r="I491" i="12" a="1"/>
  <c r="I491" i="12" s="1"/>
  <c r="E491" i="12"/>
  <c r="J490" i="12" a="1"/>
  <c r="J490" i="12" s="1"/>
  <c r="I490" i="12" a="1"/>
  <c r="I490" i="12" s="1"/>
  <c r="E490" i="12"/>
  <c r="J489" i="12" a="1"/>
  <c r="J489" i="12" s="1"/>
  <c r="I489" i="12" a="1"/>
  <c r="I489" i="12" s="1"/>
  <c r="K489" i="12" s="1"/>
  <c r="E489" i="12"/>
  <c r="J488" i="12" a="1"/>
  <c r="J488" i="12" s="1"/>
  <c r="I488" i="12" a="1"/>
  <c r="I488" i="12" s="1"/>
  <c r="E488" i="12"/>
  <c r="J487" i="12" a="1"/>
  <c r="J487" i="12" s="1"/>
  <c r="I487" i="12" a="1"/>
  <c r="I487" i="12" s="1"/>
  <c r="E487" i="12"/>
  <c r="J486" i="12" a="1"/>
  <c r="J486" i="12" s="1"/>
  <c r="I486" i="12" a="1"/>
  <c r="I486" i="12" s="1"/>
  <c r="E486" i="12"/>
  <c r="J485" i="12" a="1"/>
  <c r="J485" i="12" s="1"/>
  <c r="I485" i="12" a="1"/>
  <c r="I485" i="12" s="1"/>
  <c r="E485" i="12"/>
  <c r="J484" i="12" a="1"/>
  <c r="J484" i="12" s="1"/>
  <c r="I484" i="12" a="1"/>
  <c r="I484" i="12" s="1"/>
  <c r="K484" i="12" s="1"/>
  <c r="E484" i="12"/>
  <c r="J483" i="12" a="1"/>
  <c r="J483" i="12" s="1"/>
  <c r="I483" i="12" a="1"/>
  <c r="I483" i="12" s="1"/>
  <c r="E483" i="12"/>
  <c r="J482" i="12" a="1"/>
  <c r="J482" i="12" s="1"/>
  <c r="I482" i="12" a="1"/>
  <c r="I482" i="12" s="1"/>
  <c r="E482" i="12"/>
  <c r="J481" i="12" a="1"/>
  <c r="J481" i="12" s="1"/>
  <c r="I481" i="12" a="1"/>
  <c r="I481" i="12" s="1"/>
  <c r="E481" i="12"/>
  <c r="J480" i="12" a="1"/>
  <c r="J480" i="12" s="1"/>
  <c r="I480" i="12" a="1"/>
  <c r="I480" i="12" s="1"/>
  <c r="E480" i="12"/>
  <c r="J479" i="12" a="1"/>
  <c r="J479" i="12" s="1"/>
  <c r="I479" i="12" a="1"/>
  <c r="I479" i="12" s="1"/>
  <c r="E479" i="12"/>
  <c r="J478" i="12" a="1"/>
  <c r="J478" i="12" s="1"/>
  <c r="I478" i="12" a="1"/>
  <c r="I478" i="12" s="1"/>
  <c r="E478" i="12"/>
  <c r="J477" i="12" a="1"/>
  <c r="J477" i="12" s="1"/>
  <c r="I477" i="12" a="1"/>
  <c r="I477" i="12" s="1"/>
  <c r="E477" i="12"/>
  <c r="J476" i="12" a="1"/>
  <c r="J476" i="12" s="1"/>
  <c r="I476" i="12" a="1"/>
  <c r="I476" i="12" s="1"/>
  <c r="K476" i="12" s="1"/>
  <c r="E476" i="12"/>
  <c r="J475" i="12" a="1"/>
  <c r="J475" i="12" s="1"/>
  <c r="I475" i="12" a="1"/>
  <c r="I475" i="12" s="1"/>
  <c r="E475" i="12"/>
  <c r="J474" i="12" a="1"/>
  <c r="J474" i="12" s="1"/>
  <c r="I474" i="12" a="1"/>
  <c r="I474" i="12" s="1"/>
  <c r="E474" i="12"/>
  <c r="J473" i="12" a="1"/>
  <c r="J473" i="12" s="1"/>
  <c r="I473" i="12" a="1"/>
  <c r="I473" i="12" s="1"/>
  <c r="E473" i="12"/>
  <c r="J472" i="12" a="1"/>
  <c r="J472" i="12" s="1"/>
  <c r="I472" i="12" a="1"/>
  <c r="I472" i="12" s="1"/>
  <c r="E472" i="12"/>
  <c r="J471" i="12" a="1"/>
  <c r="J471" i="12" s="1"/>
  <c r="I471" i="12" a="1"/>
  <c r="I471" i="12" s="1"/>
  <c r="E471" i="12"/>
  <c r="J470" i="12" a="1"/>
  <c r="J470" i="12" s="1"/>
  <c r="I470" i="12" a="1"/>
  <c r="I470" i="12" s="1"/>
  <c r="E470" i="12"/>
  <c r="J469" i="12" a="1"/>
  <c r="J469" i="12" s="1"/>
  <c r="I469" i="12" a="1"/>
  <c r="I469" i="12" s="1"/>
  <c r="E469" i="12"/>
  <c r="J468" i="12" a="1"/>
  <c r="J468" i="12" s="1"/>
  <c r="I468" i="12" a="1"/>
  <c r="I468" i="12" s="1"/>
  <c r="E468" i="12"/>
  <c r="J467" i="12" a="1"/>
  <c r="J467" i="12" s="1"/>
  <c r="I467" i="12" a="1"/>
  <c r="I467" i="12" s="1"/>
  <c r="E467" i="12"/>
  <c r="J466" i="12" a="1"/>
  <c r="J466" i="12" s="1"/>
  <c r="I466" i="12" a="1"/>
  <c r="I466" i="12" s="1"/>
  <c r="K466" i="12" s="1"/>
  <c r="E466" i="12"/>
  <c r="J465" i="12" a="1"/>
  <c r="J465" i="12" s="1"/>
  <c r="I465" i="12" a="1"/>
  <c r="I465" i="12" s="1"/>
  <c r="E465" i="12"/>
  <c r="J464" i="12" a="1"/>
  <c r="J464" i="12" s="1"/>
  <c r="I464" i="12" a="1"/>
  <c r="I464" i="12" s="1"/>
  <c r="E464" i="12"/>
  <c r="J463" i="12" a="1"/>
  <c r="J463" i="12" s="1"/>
  <c r="I463" i="12" a="1"/>
  <c r="I463" i="12" s="1"/>
  <c r="E463" i="12"/>
  <c r="J462" i="12" a="1"/>
  <c r="J462" i="12" s="1"/>
  <c r="I462" i="12" a="1"/>
  <c r="I462" i="12" s="1"/>
  <c r="E462" i="12"/>
  <c r="J461" i="12" a="1"/>
  <c r="J461" i="12" s="1"/>
  <c r="I461" i="12" a="1"/>
  <c r="I461" i="12" s="1"/>
  <c r="E461" i="12"/>
  <c r="J460" i="12" a="1"/>
  <c r="J460" i="12" s="1"/>
  <c r="I460" i="12" a="1"/>
  <c r="I460" i="12" s="1"/>
  <c r="K460" i="12" s="1"/>
  <c r="E460" i="12"/>
  <c r="J459" i="12" a="1"/>
  <c r="J459" i="12" s="1"/>
  <c r="I459" i="12" a="1"/>
  <c r="I459" i="12" s="1"/>
  <c r="E459" i="12"/>
  <c r="J458" i="12" a="1"/>
  <c r="J458" i="12" s="1"/>
  <c r="I458" i="12" a="1"/>
  <c r="I458" i="12" s="1"/>
  <c r="K458" i="12" s="1"/>
  <c r="E458" i="12"/>
  <c r="J457" i="12" a="1"/>
  <c r="J457" i="12" s="1"/>
  <c r="I457" i="12" a="1"/>
  <c r="I457" i="12" s="1"/>
  <c r="E457" i="12"/>
  <c r="J456" i="12" a="1"/>
  <c r="J456" i="12" s="1"/>
  <c r="I456" i="12" a="1"/>
  <c r="I456" i="12" s="1"/>
  <c r="E456" i="12"/>
  <c r="J455" i="12" a="1"/>
  <c r="J455" i="12" s="1"/>
  <c r="I455" i="12" a="1"/>
  <c r="I455" i="12" s="1"/>
  <c r="E455" i="12"/>
  <c r="J454" i="12" a="1"/>
  <c r="J454" i="12" s="1"/>
  <c r="I454" i="12" a="1"/>
  <c r="I454" i="12" s="1"/>
  <c r="E454" i="12"/>
  <c r="J453" i="12" a="1"/>
  <c r="J453" i="12" s="1"/>
  <c r="I453" i="12" a="1"/>
  <c r="I453" i="12" s="1"/>
  <c r="E453" i="12"/>
  <c r="J452" i="12" a="1"/>
  <c r="J452" i="12" s="1"/>
  <c r="I452" i="12" a="1"/>
  <c r="I452" i="12" s="1"/>
  <c r="K452" i="12" s="1"/>
  <c r="E452" i="12"/>
  <c r="J451" i="12" a="1"/>
  <c r="J451" i="12" s="1"/>
  <c r="I451" i="12" a="1"/>
  <c r="I451" i="12" s="1"/>
  <c r="E451" i="12"/>
  <c r="J450" i="12" a="1"/>
  <c r="J450" i="12" s="1"/>
  <c r="I450" i="12" a="1"/>
  <c r="I450" i="12" s="1"/>
  <c r="E450" i="12"/>
  <c r="J449" i="12" a="1"/>
  <c r="J449" i="12" s="1"/>
  <c r="I449" i="12" a="1"/>
  <c r="I449" i="12" s="1"/>
  <c r="E449" i="12"/>
  <c r="J448" i="12" a="1"/>
  <c r="J448" i="12" s="1"/>
  <c r="I448" i="12" a="1"/>
  <c r="I448" i="12" s="1"/>
  <c r="E448" i="12"/>
  <c r="J447" i="12" a="1"/>
  <c r="J447" i="12" s="1"/>
  <c r="I447" i="12" a="1"/>
  <c r="I447" i="12" s="1"/>
  <c r="E447" i="12"/>
  <c r="J446" i="12" a="1"/>
  <c r="J446" i="12" s="1"/>
  <c r="I446" i="12" a="1"/>
  <c r="I446" i="12" s="1"/>
  <c r="E446" i="12"/>
  <c r="J445" i="12" a="1"/>
  <c r="J445" i="12" s="1"/>
  <c r="I445" i="12" a="1"/>
  <c r="I445" i="12" s="1"/>
  <c r="E445" i="12"/>
  <c r="J444" i="12" a="1"/>
  <c r="J444" i="12" s="1"/>
  <c r="I444" i="12" a="1"/>
  <c r="I444" i="12" s="1"/>
  <c r="E444" i="12"/>
  <c r="J443" i="12" a="1"/>
  <c r="J443" i="12" s="1"/>
  <c r="I443" i="12" a="1"/>
  <c r="I443" i="12" s="1"/>
  <c r="E443" i="12"/>
  <c r="J442" i="12" a="1"/>
  <c r="J442" i="12" s="1"/>
  <c r="I442" i="12" a="1"/>
  <c r="I442" i="12" s="1"/>
  <c r="K442" i="12" s="1"/>
  <c r="E442" i="12"/>
  <c r="J441" i="12" a="1"/>
  <c r="J441" i="12" s="1"/>
  <c r="I441" i="12" a="1"/>
  <c r="I441" i="12" s="1"/>
  <c r="E441" i="12"/>
  <c r="J440" i="12" a="1"/>
  <c r="J440" i="12" s="1"/>
  <c r="I440" i="12" a="1"/>
  <c r="I440" i="12" s="1"/>
  <c r="E440" i="12"/>
  <c r="J439" i="12" a="1"/>
  <c r="J439" i="12" s="1"/>
  <c r="I439" i="12" a="1"/>
  <c r="I439" i="12" s="1"/>
  <c r="E439" i="12"/>
  <c r="J438" i="12" a="1"/>
  <c r="J438" i="12" s="1"/>
  <c r="I438" i="12" a="1"/>
  <c r="I438" i="12" s="1"/>
  <c r="E438" i="12"/>
  <c r="J437" i="12" a="1"/>
  <c r="J437" i="12" s="1"/>
  <c r="I437" i="12" a="1"/>
  <c r="I437" i="12" s="1"/>
  <c r="E437" i="12"/>
  <c r="J436" i="12" a="1"/>
  <c r="J436" i="12" s="1"/>
  <c r="I436" i="12" a="1"/>
  <c r="I436" i="12" s="1"/>
  <c r="E436" i="12"/>
  <c r="J435" i="12" a="1"/>
  <c r="J435" i="12" s="1"/>
  <c r="I435" i="12" a="1"/>
  <c r="I435" i="12" s="1"/>
  <c r="E435" i="12"/>
  <c r="J434" i="12" a="1"/>
  <c r="J434" i="12" s="1"/>
  <c r="I434" i="12" a="1"/>
  <c r="I434" i="12" s="1"/>
  <c r="K434" i="12" s="1"/>
  <c r="E434" i="12"/>
  <c r="J433" i="12" a="1"/>
  <c r="J433" i="12" s="1"/>
  <c r="I433" i="12" a="1"/>
  <c r="I433" i="12" s="1"/>
  <c r="E433" i="12"/>
  <c r="J432" i="12" a="1"/>
  <c r="J432" i="12" s="1"/>
  <c r="I432" i="12" a="1"/>
  <c r="I432" i="12" s="1"/>
  <c r="E432" i="12"/>
  <c r="J431" i="12" a="1"/>
  <c r="J431" i="12" s="1"/>
  <c r="I431" i="12" a="1"/>
  <c r="I431" i="12" s="1"/>
  <c r="E431" i="12"/>
  <c r="J430" i="12" a="1"/>
  <c r="J430" i="12" s="1"/>
  <c r="I430" i="12" a="1"/>
  <c r="I430" i="12" s="1"/>
  <c r="E430" i="12"/>
  <c r="J429" i="12" a="1"/>
  <c r="J429" i="12" s="1"/>
  <c r="I429" i="12" a="1"/>
  <c r="I429" i="12" s="1"/>
  <c r="E429" i="12"/>
  <c r="J428" i="12" a="1"/>
  <c r="J428" i="12" s="1"/>
  <c r="I428" i="12" a="1"/>
  <c r="I428" i="12" s="1"/>
  <c r="K428" i="12" s="1"/>
  <c r="E428" i="12"/>
  <c r="J427" i="12" a="1"/>
  <c r="J427" i="12" s="1"/>
  <c r="I427" i="12" a="1"/>
  <c r="I427" i="12" s="1"/>
  <c r="E427" i="12"/>
  <c r="J426" i="12" a="1"/>
  <c r="J426" i="12" s="1"/>
  <c r="I426" i="12" a="1"/>
  <c r="I426" i="12" s="1"/>
  <c r="K426" i="12" s="1"/>
  <c r="E426" i="12"/>
  <c r="J425" i="12" a="1"/>
  <c r="J425" i="12" s="1"/>
  <c r="I425" i="12" a="1"/>
  <c r="I425" i="12" s="1"/>
  <c r="E425" i="12"/>
  <c r="J424" i="12" a="1"/>
  <c r="J424" i="12" s="1"/>
  <c r="I424" i="12" a="1"/>
  <c r="I424" i="12" s="1"/>
  <c r="E424" i="12"/>
  <c r="J423" i="12" a="1"/>
  <c r="J423" i="12" s="1"/>
  <c r="I423" i="12" a="1"/>
  <c r="I423" i="12" s="1"/>
  <c r="E423" i="12"/>
  <c r="J422" i="12" a="1"/>
  <c r="J422" i="12" s="1"/>
  <c r="I422" i="12" a="1"/>
  <c r="I422" i="12" s="1"/>
  <c r="E422" i="12"/>
  <c r="J421" i="12" a="1"/>
  <c r="J421" i="12" s="1"/>
  <c r="I421" i="12" a="1"/>
  <c r="I421" i="12" s="1"/>
  <c r="E421" i="12"/>
  <c r="J420" i="12" a="1"/>
  <c r="J420" i="12" s="1"/>
  <c r="I420" i="12" a="1"/>
  <c r="I420" i="12" s="1"/>
  <c r="K420" i="12" s="1"/>
  <c r="E420" i="12"/>
  <c r="J419" i="12" a="1"/>
  <c r="J419" i="12" s="1"/>
  <c r="I419" i="12" a="1"/>
  <c r="I419" i="12" s="1"/>
  <c r="E419" i="12"/>
  <c r="J418" i="12" a="1"/>
  <c r="J418" i="12" s="1"/>
  <c r="I418" i="12" a="1"/>
  <c r="I418" i="12" s="1"/>
  <c r="K418" i="12" s="1"/>
  <c r="E418" i="12"/>
  <c r="J417" i="12" a="1"/>
  <c r="J417" i="12" s="1"/>
  <c r="I417" i="12" a="1"/>
  <c r="I417" i="12" s="1"/>
  <c r="E417" i="12"/>
  <c r="J416" i="12" a="1"/>
  <c r="J416" i="12" s="1"/>
  <c r="I416" i="12" a="1"/>
  <c r="I416" i="12" s="1"/>
  <c r="E416" i="12"/>
  <c r="J415" i="12" a="1"/>
  <c r="J415" i="12" s="1"/>
  <c r="I415" i="12" a="1"/>
  <c r="I415" i="12" s="1"/>
  <c r="E415" i="12"/>
  <c r="J414" i="12" a="1"/>
  <c r="J414" i="12" s="1"/>
  <c r="I414" i="12" a="1"/>
  <c r="I414" i="12" s="1"/>
  <c r="E414" i="12"/>
  <c r="J413" i="12" a="1"/>
  <c r="J413" i="12" s="1"/>
  <c r="I413" i="12" a="1"/>
  <c r="I413" i="12" s="1"/>
  <c r="E413" i="12"/>
  <c r="J412" i="12" a="1"/>
  <c r="J412" i="12" s="1"/>
  <c r="I412" i="12" a="1"/>
  <c r="I412" i="12" s="1"/>
  <c r="K412" i="12" s="1"/>
  <c r="E412" i="12"/>
  <c r="J411" i="12" a="1"/>
  <c r="J411" i="12" s="1"/>
  <c r="I411" i="12" a="1"/>
  <c r="I411" i="12" s="1"/>
  <c r="E411" i="12"/>
  <c r="J410" i="12" a="1"/>
  <c r="J410" i="12" s="1"/>
  <c r="I410" i="12" a="1"/>
  <c r="I410" i="12" s="1"/>
  <c r="K410" i="12" s="1"/>
  <c r="E410" i="12"/>
  <c r="J409" i="12" a="1"/>
  <c r="J409" i="12" s="1"/>
  <c r="I409" i="12" a="1"/>
  <c r="I409" i="12" s="1"/>
  <c r="E409" i="12"/>
  <c r="J408" i="12" a="1"/>
  <c r="J408" i="12" s="1"/>
  <c r="I408" i="12" a="1"/>
  <c r="I408" i="12" s="1"/>
  <c r="E408" i="12"/>
  <c r="J407" i="12" a="1"/>
  <c r="J407" i="12" s="1"/>
  <c r="I407" i="12" a="1"/>
  <c r="I407" i="12" s="1"/>
  <c r="E407" i="12"/>
  <c r="J406" i="12" a="1"/>
  <c r="J406" i="12" s="1"/>
  <c r="I406" i="12" a="1"/>
  <c r="I406" i="12" s="1"/>
  <c r="E406" i="12"/>
  <c r="J405" i="12" a="1"/>
  <c r="J405" i="12" s="1"/>
  <c r="I405" i="12" a="1"/>
  <c r="I405" i="12" s="1"/>
  <c r="E405" i="12"/>
  <c r="J404" i="12" a="1"/>
  <c r="J404" i="12" s="1"/>
  <c r="I404" i="12" a="1"/>
  <c r="I404" i="12" s="1"/>
  <c r="K404" i="12" s="1"/>
  <c r="E404" i="12"/>
  <c r="J403" i="12" a="1"/>
  <c r="J403" i="12" s="1"/>
  <c r="I403" i="12" a="1"/>
  <c r="I403" i="12" s="1"/>
  <c r="E403" i="12"/>
  <c r="J402" i="12" a="1"/>
  <c r="J402" i="12" s="1"/>
  <c r="I402" i="12" a="1"/>
  <c r="I402" i="12" s="1"/>
  <c r="K402" i="12" s="1"/>
  <c r="E402" i="12"/>
  <c r="J401" i="12" a="1"/>
  <c r="J401" i="12" s="1"/>
  <c r="I401" i="12" a="1"/>
  <c r="I401" i="12" s="1"/>
  <c r="E401" i="12"/>
  <c r="J400" i="12" a="1"/>
  <c r="J400" i="12" s="1"/>
  <c r="I400" i="12" a="1"/>
  <c r="I400" i="12" s="1"/>
  <c r="E400" i="12"/>
  <c r="J399" i="12" a="1"/>
  <c r="J399" i="12" s="1"/>
  <c r="I399" i="12" a="1"/>
  <c r="I399" i="12" s="1"/>
  <c r="E399" i="12"/>
  <c r="J398" i="12" a="1"/>
  <c r="J398" i="12" s="1"/>
  <c r="I398" i="12" a="1"/>
  <c r="I398" i="12" s="1"/>
  <c r="E398" i="12"/>
  <c r="J397" i="12" a="1"/>
  <c r="J397" i="12" s="1"/>
  <c r="I397" i="12" a="1"/>
  <c r="I397" i="12" s="1"/>
  <c r="E397" i="12"/>
  <c r="J396" i="12" a="1"/>
  <c r="J396" i="12" s="1"/>
  <c r="I396" i="12" a="1"/>
  <c r="I396" i="12" s="1"/>
  <c r="E396" i="12"/>
  <c r="J395" i="12" a="1"/>
  <c r="J395" i="12" s="1"/>
  <c r="I395" i="12" a="1"/>
  <c r="I395" i="12" s="1"/>
  <c r="E395" i="12"/>
  <c r="J394" i="12" a="1"/>
  <c r="J394" i="12" s="1"/>
  <c r="I394" i="12" a="1"/>
  <c r="I394" i="12" s="1"/>
  <c r="K394" i="12" s="1"/>
  <c r="E394" i="12"/>
  <c r="J393" i="12" a="1"/>
  <c r="J393" i="12" s="1"/>
  <c r="I393" i="12" a="1"/>
  <c r="I393" i="12" s="1"/>
  <c r="E393" i="12"/>
  <c r="J392" i="12" a="1"/>
  <c r="J392" i="12" s="1"/>
  <c r="I392" i="12" a="1"/>
  <c r="I392" i="12" s="1"/>
  <c r="E392" i="12"/>
  <c r="J391" i="12" a="1"/>
  <c r="J391" i="12" s="1"/>
  <c r="I391" i="12" a="1"/>
  <c r="I391" i="12" s="1"/>
  <c r="E391" i="12"/>
  <c r="J390" i="12" a="1"/>
  <c r="J390" i="12" s="1"/>
  <c r="I390" i="12" a="1"/>
  <c r="I390" i="12" s="1"/>
  <c r="E390" i="12"/>
  <c r="J389" i="12" a="1"/>
  <c r="J389" i="12" s="1"/>
  <c r="I389" i="12" a="1"/>
  <c r="I389" i="12" s="1"/>
  <c r="E389" i="12"/>
  <c r="J388" i="12" a="1"/>
  <c r="J388" i="12" s="1"/>
  <c r="I388" i="12" a="1"/>
  <c r="I388" i="12" s="1"/>
  <c r="K388" i="12" s="1"/>
  <c r="E388" i="12"/>
  <c r="J387" i="12" a="1"/>
  <c r="J387" i="12" s="1"/>
  <c r="I387" i="12" a="1"/>
  <c r="I387" i="12" s="1"/>
  <c r="E387" i="12"/>
  <c r="J386" i="12" a="1"/>
  <c r="J386" i="12" s="1"/>
  <c r="I386" i="12" a="1"/>
  <c r="I386" i="12" s="1"/>
  <c r="E386" i="12"/>
  <c r="J385" i="12" a="1"/>
  <c r="J385" i="12" s="1"/>
  <c r="I385" i="12" a="1"/>
  <c r="I385" i="12" s="1"/>
  <c r="E385" i="12"/>
  <c r="J384" i="12" a="1"/>
  <c r="J384" i="12" s="1"/>
  <c r="I384" i="12" a="1"/>
  <c r="I384" i="12" s="1"/>
  <c r="E384" i="12"/>
  <c r="J383" i="12" a="1"/>
  <c r="J383" i="12" s="1"/>
  <c r="I383" i="12" a="1"/>
  <c r="I383" i="12" s="1"/>
  <c r="E383" i="12"/>
  <c r="J382" i="12" a="1"/>
  <c r="J382" i="12" s="1"/>
  <c r="I382" i="12" a="1"/>
  <c r="I382" i="12" s="1"/>
  <c r="E382" i="12"/>
  <c r="J381" i="12" a="1"/>
  <c r="J381" i="12" s="1"/>
  <c r="I381" i="12" a="1"/>
  <c r="I381" i="12" s="1"/>
  <c r="E381" i="12"/>
  <c r="J380" i="12" a="1"/>
  <c r="J380" i="12" s="1"/>
  <c r="I380" i="12" a="1"/>
  <c r="I380" i="12" s="1"/>
  <c r="K380" i="12" s="1"/>
  <c r="E380" i="12"/>
  <c r="J379" i="12" a="1"/>
  <c r="J379" i="12" s="1"/>
  <c r="I379" i="12" a="1"/>
  <c r="I379" i="12" s="1"/>
  <c r="E379" i="12"/>
  <c r="J378" i="12" a="1"/>
  <c r="J378" i="12" s="1"/>
  <c r="I378" i="12" a="1"/>
  <c r="I378" i="12" s="1"/>
  <c r="K378" i="12" s="1"/>
  <c r="E378" i="12"/>
  <c r="J377" i="12" a="1"/>
  <c r="J377" i="12" s="1"/>
  <c r="I377" i="12" a="1"/>
  <c r="I377" i="12" s="1"/>
  <c r="E377" i="12"/>
  <c r="J376" i="12" a="1"/>
  <c r="J376" i="12" s="1"/>
  <c r="I376" i="12" a="1"/>
  <c r="I376" i="12" s="1"/>
  <c r="E376" i="12"/>
  <c r="J375" i="12" a="1"/>
  <c r="J375" i="12" s="1"/>
  <c r="I375" i="12" a="1"/>
  <c r="I375" i="12" s="1"/>
  <c r="E375" i="12"/>
  <c r="J374" i="12" a="1"/>
  <c r="J374" i="12" s="1"/>
  <c r="I374" i="12" a="1"/>
  <c r="I374" i="12" s="1"/>
  <c r="E374" i="12"/>
  <c r="J373" i="12" a="1"/>
  <c r="J373" i="12" s="1"/>
  <c r="I373" i="12" a="1"/>
  <c r="I373" i="12" s="1"/>
  <c r="E373" i="12"/>
  <c r="J372" i="12" a="1"/>
  <c r="J372" i="12" s="1"/>
  <c r="I372" i="12" a="1"/>
  <c r="I372" i="12" s="1"/>
  <c r="K372" i="12" s="1"/>
  <c r="E372" i="12"/>
  <c r="J371" i="12" a="1"/>
  <c r="J371" i="12" s="1"/>
  <c r="I371" i="12" a="1"/>
  <c r="I371" i="12" s="1"/>
  <c r="E371" i="12"/>
  <c r="J370" i="12" a="1"/>
  <c r="J370" i="12" s="1"/>
  <c r="I370" i="12" a="1"/>
  <c r="I370" i="12" s="1"/>
  <c r="E370" i="12"/>
  <c r="J369" i="12" a="1"/>
  <c r="J369" i="12" s="1"/>
  <c r="I369" i="12" a="1"/>
  <c r="I369" i="12" s="1"/>
  <c r="E369" i="12"/>
  <c r="J368" i="12" a="1"/>
  <c r="J368" i="12" s="1"/>
  <c r="I368" i="12" a="1"/>
  <c r="I368" i="12" s="1"/>
  <c r="E368" i="12"/>
  <c r="J367" i="12" a="1"/>
  <c r="J367" i="12" s="1"/>
  <c r="I367" i="12" a="1"/>
  <c r="I367" i="12" s="1"/>
  <c r="E367" i="12"/>
  <c r="J366" i="12" a="1"/>
  <c r="J366" i="12" s="1"/>
  <c r="I366" i="12" a="1"/>
  <c r="I366" i="12" s="1"/>
  <c r="E366" i="12"/>
  <c r="J365" i="12" a="1"/>
  <c r="J365" i="12" s="1"/>
  <c r="I365" i="12" a="1"/>
  <c r="I365" i="12" s="1"/>
  <c r="E365" i="12"/>
  <c r="J364" i="12" a="1"/>
  <c r="J364" i="12" s="1"/>
  <c r="I364" i="12" a="1"/>
  <c r="I364" i="12" s="1"/>
  <c r="K364" i="12" s="1"/>
  <c r="E364" i="12"/>
  <c r="J363" i="12" a="1"/>
  <c r="J363" i="12" s="1"/>
  <c r="I363" i="12" a="1"/>
  <c r="I363" i="12" s="1"/>
  <c r="E363" i="12"/>
  <c r="J362" i="12" a="1"/>
  <c r="J362" i="12" s="1"/>
  <c r="I362" i="12" a="1"/>
  <c r="I362" i="12" s="1"/>
  <c r="E362" i="12"/>
  <c r="J361" i="12" a="1"/>
  <c r="J361" i="12" s="1"/>
  <c r="I361" i="12" a="1"/>
  <c r="I361" i="12" s="1"/>
  <c r="E361" i="12"/>
  <c r="J360" i="12" a="1"/>
  <c r="J360" i="12" s="1"/>
  <c r="I360" i="12" a="1"/>
  <c r="I360" i="12" s="1"/>
  <c r="E360" i="12"/>
  <c r="J359" i="12" a="1"/>
  <c r="J359" i="12" s="1"/>
  <c r="I359" i="12" a="1"/>
  <c r="I359" i="12" s="1"/>
  <c r="E359" i="12"/>
  <c r="J358" i="12" a="1"/>
  <c r="J358" i="12" s="1"/>
  <c r="I358" i="12" a="1"/>
  <c r="I358" i="12" s="1"/>
  <c r="E358" i="12"/>
  <c r="J357" i="12" a="1"/>
  <c r="J357" i="12" s="1"/>
  <c r="I357" i="12" a="1"/>
  <c r="I357" i="12" s="1"/>
  <c r="E357" i="12"/>
  <c r="J356" i="12" a="1"/>
  <c r="J356" i="12" s="1"/>
  <c r="I356" i="12" a="1"/>
  <c r="I356" i="12" s="1"/>
  <c r="K356" i="12" s="1"/>
  <c r="E356" i="12"/>
  <c r="J355" i="12" a="1"/>
  <c r="J355" i="12" s="1"/>
  <c r="I355" i="12" a="1"/>
  <c r="I355" i="12" s="1"/>
  <c r="E355" i="12"/>
  <c r="J354" i="12" a="1"/>
  <c r="J354" i="12" s="1"/>
  <c r="I354" i="12" a="1"/>
  <c r="I354" i="12" s="1"/>
  <c r="E354" i="12"/>
  <c r="J353" i="12" a="1"/>
  <c r="J353" i="12" s="1"/>
  <c r="I353" i="12" a="1"/>
  <c r="I353" i="12" s="1"/>
  <c r="E353" i="12"/>
  <c r="J352" i="12" a="1"/>
  <c r="J352" i="12" s="1"/>
  <c r="I352" i="12" a="1"/>
  <c r="I352" i="12" s="1"/>
  <c r="E352" i="12"/>
  <c r="J351" i="12" a="1"/>
  <c r="J351" i="12" s="1"/>
  <c r="I351" i="12" a="1"/>
  <c r="I351" i="12" s="1"/>
  <c r="E351" i="12"/>
  <c r="J350" i="12" a="1"/>
  <c r="J350" i="12" s="1"/>
  <c r="I350" i="12" a="1"/>
  <c r="I350" i="12" s="1"/>
  <c r="E350" i="12"/>
  <c r="J349" i="12" a="1"/>
  <c r="J349" i="12" s="1"/>
  <c r="I349" i="12" a="1"/>
  <c r="I349" i="12" s="1"/>
  <c r="E349" i="12"/>
  <c r="J348" i="12" a="1"/>
  <c r="J348" i="12" s="1"/>
  <c r="I348" i="12" a="1"/>
  <c r="I348" i="12" s="1"/>
  <c r="K348" i="12" s="1"/>
  <c r="E348" i="12"/>
  <c r="J347" i="12" a="1"/>
  <c r="J347" i="12" s="1"/>
  <c r="I347" i="12" a="1"/>
  <c r="I347" i="12" s="1"/>
  <c r="E347" i="12"/>
  <c r="J346" i="12" a="1"/>
  <c r="J346" i="12" s="1"/>
  <c r="I346" i="12" a="1"/>
  <c r="I346" i="12" s="1"/>
  <c r="K346" i="12" s="1"/>
  <c r="E346" i="12"/>
  <c r="J345" i="12" a="1"/>
  <c r="J345" i="12" s="1"/>
  <c r="I345" i="12" a="1"/>
  <c r="I345" i="12" s="1"/>
  <c r="E345" i="12"/>
  <c r="J344" i="12" a="1"/>
  <c r="J344" i="12" s="1"/>
  <c r="I344" i="12" a="1"/>
  <c r="I344" i="12" s="1"/>
  <c r="E344" i="12"/>
  <c r="J343" i="12" a="1"/>
  <c r="J343" i="12" s="1"/>
  <c r="I343" i="12" a="1"/>
  <c r="I343" i="12" s="1"/>
  <c r="E343" i="12"/>
  <c r="J342" i="12" a="1"/>
  <c r="J342" i="12" s="1"/>
  <c r="I342" i="12" a="1"/>
  <c r="I342" i="12" s="1"/>
  <c r="E342" i="12"/>
  <c r="J341" i="12" a="1"/>
  <c r="J341" i="12" s="1"/>
  <c r="I341" i="12" a="1"/>
  <c r="I341" i="12" s="1"/>
  <c r="E341" i="12"/>
  <c r="J340" i="12" a="1"/>
  <c r="J340" i="12" s="1"/>
  <c r="I340" i="12" a="1"/>
  <c r="I340" i="12" s="1"/>
  <c r="K340" i="12" s="1"/>
  <c r="E340" i="12"/>
  <c r="J339" i="12" a="1"/>
  <c r="J339" i="12" s="1"/>
  <c r="I339" i="12" a="1"/>
  <c r="I339" i="12" s="1"/>
  <c r="E339" i="12"/>
  <c r="J338" i="12" a="1"/>
  <c r="J338" i="12" s="1"/>
  <c r="I338" i="12" a="1"/>
  <c r="I338" i="12" s="1"/>
  <c r="E338" i="12"/>
  <c r="J337" i="12" a="1"/>
  <c r="J337" i="12" s="1"/>
  <c r="I337" i="12" a="1"/>
  <c r="I337" i="12" s="1"/>
  <c r="E337" i="12"/>
  <c r="J336" i="12" a="1"/>
  <c r="J336" i="12" s="1"/>
  <c r="I336" i="12" a="1"/>
  <c r="I336" i="12" s="1"/>
  <c r="E336" i="12"/>
  <c r="J335" i="12" a="1"/>
  <c r="J335" i="12" s="1"/>
  <c r="I335" i="12" a="1"/>
  <c r="I335" i="12" s="1"/>
  <c r="E335" i="12"/>
  <c r="J334" i="12" a="1"/>
  <c r="J334" i="12" s="1"/>
  <c r="I334" i="12" a="1"/>
  <c r="I334" i="12" s="1"/>
  <c r="E334" i="12"/>
  <c r="J333" i="12" a="1"/>
  <c r="J333" i="12" s="1"/>
  <c r="I333" i="12" a="1"/>
  <c r="I333" i="12" s="1"/>
  <c r="E333" i="12"/>
  <c r="J332" i="12" a="1"/>
  <c r="J332" i="12" s="1"/>
  <c r="I332" i="12" a="1"/>
  <c r="I332" i="12" s="1"/>
  <c r="K332" i="12" s="1"/>
  <c r="E332" i="12"/>
  <c r="J331" i="12" a="1"/>
  <c r="J331" i="12" s="1"/>
  <c r="I331" i="12" a="1"/>
  <c r="I331" i="12" s="1"/>
  <c r="E331" i="12"/>
  <c r="J330" i="12" a="1"/>
  <c r="J330" i="12" s="1"/>
  <c r="I330" i="12" a="1"/>
  <c r="I330" i="12" s="1"/>
  <c r="E330" i="12"/>
  <c r="J329" i="12" a="1"/>
  <c r="J329" i="12" s="1"/>
  <c r="I329" i="12" a="1"/>
  <c r="I329" i="12" s="1"/>
  <c r="E329" i="12"/>
  <c r="J328" i="12" a="1"/>
  <c r="J328" i="12" s="1"/>
  <c r="I328" i="12" a="1"/>
  <c r="I328" i="12" s="1"/>
  <c r="E328" i="12"/>
  <c r="J327" i="12" a="1"/>
  <c r="J327" i="12" s="1"/>
  <c r="I327" i="12" a="1"/>
  <c r="I327" i="12" s="1"/>
  <c r="E327" i="12"/>
  <c r="J326" i="12" a="1"/>
  <c r="J326" i="12" s="1"/>
  <c r="I326" i="12" a="1"/>
  <c r="I326" i="12" s="1"/>
  <c r="E326" i="12"/>
  <c r="J325" i="12" a="1"/>
  <c r="J325" i="12" s="1"/>
  <c r="I325" i="12" a="1"/>
  <c r="I325" i="12" s="1"/>
  <c r="E325" i="12"/>
  <c r="J324" i="12" a="1"/>
  <c r="J324" i="12" s="1"/>
  <c r="I324" i="12" a="1"/>
  <c r="I324" i="12" s="1"/>
  <c r="K324" i="12" s="1"/>
  <c r="E324" i="12"/>
  <c r="J323" i="12" a="1"/>
  <c r="J323" i="12" s="1"/>
  <c r="I323" i="12" a="1"/>
  <c r="I323" i="12" s="1"/>
  <c r="E323" i="12"/>
  <c r="J322" i="12" a="1"/>
  <c r="J322" i="12" s="1"/>
  <c r="I322" i="12" a="1"/>
  <c r="I322" i="12" s="1"/>
  <c r="K322" i="12" s="1"/>
  <c r="E322" i="12"/>
  <c r="J321" i="12" a="1"/>
  <c r="J321" i="12" s="1"/>
  <c r="I321" i="12" a="1"/>
  <c r="I321" i="12" s="1"/>
  <c r="E321" i="12"/>
  <c r="J320" i="12" a="1"/>
  <c r="J320" i="12" s="1"/>
  <c r="I320" i="12" a="1"/>
  <c r="I320" i="12" s="1"/>
  <c r="E320" i="12"/>
  <c r="J319" i="12" a="1"/>
  <c r="J319" i="12" s="1"/>
  <c r="I319" i="12" a="1"/>
  <c r="I319" i="12" s="1"/>
  <c r="E319" i="12"/>
  <c r="J318" i="12" a="1"/>
  <c r="J318" i="12" s="1"/>
  <c r="I318" i="12" a="1"/>
  <c r="I318" i="12" s="1"/>
  <c r="E318" i="12"/>
  <c r="J317" i="12" a="1"/>
  <c r="J317" i="12" s="1"/>
  <c r="I317" i="12" a="1"/>
  <c r="I317" i="12" s="1"/>
  <c r="E317" i="12"/>
  <c r="J316" i="12" a="1"/>
  <c r="J316" i="12" s="1"/>
  <c r="I316" i="12" a="1"/>
  <c r="I316" i="12" s="1"/>
  <c r="E316" i="12"/>
  <c r="J315" i="12" a="1"/>
  <c r="J315" i="12" s="1"/>
  <c r="I315" i="12" a="1"/>
  <c r="I315" i="12" s="1"/>
  <c r="E315" i="12"/>
  <c r="J314" i="12" a="1"/>
  <c r="J314" i="12" s="1"/>
  <c r="I314" i="12" a="1"/>
  <c r="I314" i="12" s="1"/>
  <c r="K314" i="12" s="1"/>
  <c r="E314" i="12"/>
  <c r="J313" i="12" a="1"/>
  <c r="J313" i="12" s="1"/>
  <c r="I313" i="12" a="1"/>
  <c r="I313" i="12" s="1"/>
  <c r="E313" i="12"/>
  <c r="J312" i="12" a="1"/>
  <c r="J312" i="12" s="1"/>
  <c r="I312" i="12" a="1"/>
  <c r="I312" i="12" s="1"/>
  <c r="E312" i="12"/>
  <c r="J311" i="12" a="1"/>
  <c r="J311" i="12" s="1"/>
  <c r="I311" i="12" a="1"/>
  <c r="I311" i="12" s="1"/>
  <c r="E311" i="12"/>
  <c r="J310" i="12" a="1"/>
  <c r="J310" i="12" s="1"/>
  <c r="I310" i="12" a="1"/>
  <c r="I310" i="12" s="1"/>
  <c r="E310" i="12"/>
  <c r="J309" i="12" a="1"/>
  <c r="J309" i="12" s="1"/>
  <c r="I309" i="12" a="1"/>
  <c r="I309" i="12" s="1"/>
  <c r="E309" i="12"/>
  <c r="J308" i="12" a="1"/>
  <c r="J308" i="12" s="1"/>
  <c r="I308" i="12" a="1"/>
  <c r="I308" i="12" s="1"/>
  <c r="E308" i="12"/>
  <c r="J307" i="12" a="1"/>
  <c r="J307" i="12" s="1"/>
  <c r="I307" i="12" a="1"/>
  <c r="I307" i="12" s="1"/>
  <c r="E307" i="12"/>
  <c r="J306" i="12" a="1"/>
  <c r="J306" i="12" s="1"/>
  <c r="I306" i="12" a="1"/>
  <c r="I306" i="12" s="1"/>
  <c r="K306" i="12" s="1"/>
  <c r="E306" i="12"/>
  <c r="J305" i="12" a="1"/>
  <c r="J305" i="12" s="1"/>
  <c r="I305" i="12" a="1"/>
  <c r="I305" i="12" s="1"/>
  <c r="E305" i="12"/>
  <c r="J304" i="12" a="1"/>
  <c r="J304" i="12" s="1"/>
  <c r="I304" i="12" a="1"/>
  <c r="I304" i="12" s="1"/>
  <c r="E304" i="12"/>
  <c r="J303" i="12" a="1"/>
  <c r="J303" i="12" s="1"/>
  <c r="I303" i="12" a="1"/>
  <c r="I303" i="12" s="1"/>
  <c r="E303" i="12"/>
  <c r="J302" i="12" a="1"/>
  <c r="J302" i="12" s="1"/>
  <c r="I302" i="12" a="1"/>
  <c r="I302" i="12" s="1"/>
  <c r="E302" i="12"/>
  <c r="J301" i="12" a="1"/>
  <c r="J301" i="12" s="1"/>
  <c r="I301" i="12" a="1"/>
  <c r="I301" i="12" s="1"/>
  <c r="E301" i="12"/>
  <c r="J300" i="12" a="1"/>
  <c r="J300" i="12" s="1"/>
  <c r="I300" i="12" a="1"/>
  <c r="I300" i="12" s="1"/>
  <c r="E300" i="12"/>
  <c r="J299" i="12" a="1"/>
  <c r="J299" i="12" s="1"/>
  <c r="I299" i="12" a="1"/>
  <c r="I299" i="12" s="1"/>
  <c r="E299" i="12"/>
  <c r="J298" i="12" a="1"/>
  <c r="J298" i="12" s="1"/>
  <c r="I298" i="12" a="1"/>
  <c r="I298" i="12" s="1"/>
  <c r="K298" i="12" s="1"/>
  <c r="E298" i="12"/>
  <c r="J297" i="12" a="1"/>
  <c r="J297" i="12" s="1"/>
  <c r="I297" i="12" a="1"/>
  <c r="I297" i="12" s="1"/>
  <c r="E297" i="12"/>
  <c r="J296" i="12" a="1"/>
  <c r="J296" i="12" s="1"/>
  <c r="I296" i="12" a="1"/>
  <c r="I296" i="12" s="1"/>
  <c r="E296" i="12"/>
  <c r="J295" i="12" a="1"/>
  <c r="J295" i="12" s="1"/>
  <c r="I295" i="12" a="1"/>
  <c r="I295" i="12" s="1"/>
  <c r="E295" i="12"/>
  <c r="J294" i="12" a="1"/>
  <c r="J294" i="12" s="1"/>
  <c r="I294" i="12" a="1"/>
  <c r="I294" i="12" s="1"/>
  <c r="E294" i="12"/>
  <c r="J293" i="12" a="1"/>
  <c r="J293" i="12" s="1"/>
  <c r="I293" i="12" a="1"/>
  <c r="I293" i="12" s="1"/>
  <c r="E293" i="12"/>
  <c r="J292" i="12" a="1"/>
  <c r="J292" i="12" s="1"/>
  <c r="I292" i="12" a="1"/>
  <c r="I292" i="12" s="1"/>
  <c r="K292" i="12" s="1"/>
  <c r="E292" i="12"/>
  <c r="J291" i="12" a="1"/>
  <c r="J291" i="12" s="1"/>
  <c r="I291" i="12" a="1"/>
  <c r="I291" i="12" s="1"/>
  <c r="E291" i="12"/>
  <c r="J290" i="12" a="1"/>
  <c r="J290" i="12" s="1"/>
  <c r="I290" i="12" a="1"/>
  <c r="I290" i="12" s="1"/>
  <c r="K290" i="12" s="1"/>
  <c r="E290" i="12"/>
  <c r="J289" i="12" a="1"/>
  <c r="J289" i="12" s="1"/>
  <c r="I289" i="12" a="1"/>
  <c r="I289" i="12" s="1"/>
  <c r="E289" i="12"/>
  <c r="J288" i="12" a="1"/>
  <c r="J288" i="12" s="1"/>
  <c r="I288" i="12" a="1"/>
  <c r="I288" i="12" s="1"/>
  <c r="E288" i="12"/>
  <c r="J287" i="12" a="1"/>
  <c r="J287" i="12" s="1"/>
  <c r="I287" i="12" a="1"/>
  <c r="I287" i="12" s="1"/>
  <c r="E287" i="12"/>
  <c r="J286" i="12" a="1"/>
  <c r="J286" i="12" s="1"/>
  <c r="I286" i="12" a="1"/>
  <c r="I286" i="12" s="1"/>
  <c r="E286" i="12"/>
  <c r="J285" i="12" a="1"/>
  <c r="J285" i="12" s="1"/>
  <c r="I285" i="12" a="1"/>
  <c r="I285" i="12" s="1"/>
  <c r="E285" i="12"/>
  <c r="J284" i="12" a="1"/>
  <c r="J284" i="12" s="1"/>
  <c r="I284" i="12" a="1"/>
  <c r="I284" i="12" s="1"/>
  <c r="K284" i="12" s="1"/>
  <c r="E284" i="12"/>
  <c r="J283" i="12" a="1"/>
  <c r="J283" i="12" s="1"/>
  <c r="I283" i="12" a="1"/>
  <c r="I283" i="12" s="1"/>
  <c r="E283" i="12"/>
  <c r="J282" i="12" a="1"/>
  <c r="J282" i="12" s="1"/>
  <c r="I282" i="12" a="1"/>
  <c r="I282" i="12" s="1"/>
  <c r="E282" i="12"/>
  <c r="J281" i="12" a="1"/>
  <c r="J281" i="12" s="1"/>
  <c r="I281" i="12" a="1"/>
  <c r="I281" i="12" s="1"/>
  <c r="E281" i="12"/>
  <c r="J280" i="12" a="1"/>
  <c r="J280" i="12" s="1"/>
  <c r="I280" i="12" a="1"/>
  <c r="I280" i="12" s="1"/>
  <c r="E280" i="12"/>
  <c r="J279" i="12" a="1"/>
  <c r="J279" i="12" s="1"/>
  <c r="I279" i="12" a="1"/>
  <c r="I279" i="12" s="1"/>
  <c r="E279" i="12"/>
  <c r="J278" i="12" a="1"/>
  <c r="J278" i="12" s="1"/>
  <c r="I278" i="12" a="1"/>
  <c r="I278" i="12" s="1"/>
  <c r="E278" i="12"/>
  <c r="J277" i="12" a="1"/>
  <c r="J277" i="12" s="1"/>
  <c r="I277" i="12" a="1"/>
  <c r="I277" i="12" s="1"/>
  <c r="E277" i="12"/>
  <c r="J276" i="12" a="1"/>
  <c r="J276" i="12" s="1"/>
  <c r="I276" i="12" a="1"/>
  <c r="I276" i="12" s="1"/>
  <c r="E276" i="12"/>
  <c r="J275" i="12" a="1"/>
  <c r="J275" i="12" s="1"/>
  <c r="I275" i="12" a="1"/>
  <c r="I275" i="12" s="1"/>
  <c r="E275" i="12"/>
  <c r="J274" i="12" a="1"/>
  <c r="J274" i="12" s="1"/>
  <c r="I274" i="12" a="1"/>
  <c r="I274" i="12" s="1"/>
  <c r="K274" i="12" s="1"/>
  <c r="E274" i="12"/>
  <c r="J273" i="12" a="1"/>
  <c r="J273" i="12" s="1"/>
  <c r="I273" i="12" a="1"/>
  <c r="I273" i="12" s="1"/>
  <c r="E273" i="12"/>
  <c r="J272" i="12" a="1"/>
  <c r="J272" i="12" s="1"/>
  <c r="I272" i="12" a="1"/>
  <c r="I272" i="12" s="1"/>
  <c r="E272" i="12"/>
  <c r="J271" i="12" a="1"/>
  <c r="J271" i="12" s="1"/>
  <c r="I271" i="12" a="1"/>
  <c r="I271" i="12" s="1"/>
  <c r="E271" i="12"/>
  <c r="J270" i="12" a="1"/>
  <c r="J270" i="12" s="1"/>
  <c r="I270" i="12" a="1"/>
  <c r="I270" i="12" s="1"/>
  <c r="E270" i="12"/>
  <c r="J269" i="12" a="1"/>
  <c r="J269" i="12" s="1"/>
  <c r="I269" i="12" a="1"/>
  <c r="I269" i="12" s="1"/>
  <c r="E269" i="12"/>
  <c r="J268" i="12" a="1"/>
  <c r="J268" i="12" s="1"/>
  <c r="I268" i="12" a="1"/>
  <c r="I268" i="12" s="1"/>
  <c r="E268" i="12"/>
  <c r="J267" i="12" a="1"/>
  <c r="J267" i="12" s="1"/>
  <c r="I267" i="12" a="1"/>
  <c r="I267" i="12" s="1"/>
  <c r="E267" i="12"/>
  <c r="J266" i="12" a="1"/>
  <c r="J266" i="12" s="1"/>
  <c r="I266" i="12" a="1"/>
  <c r="I266" i="12" s="1"/>
  <c r="K266" i="12" s="1"/>
  <c r="E266" i="12"/>
  <c r="J265" i="12" a="1"/>
  <c r="J265" i="12" s="1"/>
  <c r="I265" i="12" a="1"/>
  <c r="I265" i="12" s="1"/>
  <c r="E265" i="12"/>
  <c r="J264" i="12" a="1"/>
  <c r="J264" i="12" s="1"/>
  <c r="I264" i="12" a="1"/>
  <c r="I264" i="12" s="1"/>
  <c r="K264" i="12" s="1"/>
  <c r="E264" i="12"/>
  <c r="J263" i="12" a="1"/>
  <c r="J263" i="12" s="1"/>
  <c r="I263" i="12" a="1"/>
  <c r="I263" i="12" s="1"/>
  <c r="E263" i="12"/>
  <c r="J262" i="12" a="1"/>
  <c r="J262" i="12" s="1"/>
  <c r="I262" i="12" a="1"/>
  <c r="I262" i="12" s="1"/>
  <c r="E262" i="12"/>
  <c r="J261" i="12" a="1"/>
  <c r="J261" i="12" s="1"/>
  <c r="I261" i="12" a="1"/>
  <c r="I261" i="12" s="1"/>
  <c r="E261" i="12"/>
  <c r="J260" i="12" a="1"/>
  <c r="J260" i="12" s="1"/>
  <c r="I260" i="12" a="1"/>
  <c r="I260" i="12" s="1"/>
  <c r="K260" i="12" s="1"/>
  <c r="E260" i="12"/>
  <c r="J259" i="12" a="1"/>
  <c r="J259" i="12" s="1"/>
  <c r="I259" i="12" a="1"/>
  <c r="I259" i="12" s="1"/>
  <c r="E259" i="12"/>
  <c r="J258" i="12" a="1"/>
  <c r="J258" i="12" s="1"/>
  <c r="I258" i="12" a="1"/>
  <c r="I258" i="12" s="1"/>
  <c r="K258" i="12" s="1"/>
  <c r="E258" i="12"/>
  <c r="J257" i="12" a="1"/>
  <c r="J257" i="12" s="1"/>
  <c r="I257" i="12" a="1"/>
  <c r="I257" i="12" s="1"/>
  <c r="E257" i="12"/>
  <c r="J256" i="12" a="1"/>
  <c r="J256" i="12" s="1"/>
  <c r="I256" i="12" a="1"/>
  <c r="I256" i="12" s="1"/>
  <c r="E256" i="12"/>
  <c r="J255" i="12" a="1"/>
  <c r="J255" i="12" s="1"/>
  <c r="I255" i="12" a="1"/>
  <c r="I255" i="12" s="1"/>
  <c r="E255" i="12"/>
  <c r="J254" i="12" a="1"/>
  <c r="J254" i="12" s="1"/>
  <c r="I254" i="12" a="1"/>
  <c r="I254" i="12" s="1"/>
  <c r="E254" i="12"/>
  <c r="J253" i="12" a="1"/>
  <c r="J253" i="12" s="1"/>
  <c r="I253" i="12" a="1"/>
  <c r="I253" i="12" s="1"/>
  <c r="E253" i="12"/>
  <c r="J252" i="12" a="1"/>
  <c r="J252" i="12" s="1"/>
  <c r="I252" i="12" a="1"/>
  <c r="I252" i="12" s="1"/>
  <c r="K252" i="12" s="1"/>
  <c r="E252" i="12"/>
  <c r="J251" i="12" a="1"/>
  <c r="J251" i="12" s="1"/>
  <c r="I251" i="12" a="1"/>
  <c r="I251" i="12" s="1"/>
  <c r="E251" i="12"/>
  <c r="J250" i="12" a="1"/>
  <c r="J250" i="12" s="1"/>
  <c r="I250" i="12" a="1"/>
  <c r="I250" i="12" s="1"/>
  <c r="E250" i="12"/>
  <c r="J249" i="12" a="1"/>
  <c r="J249" i="12" s="1"/>
  <c r="I249" i="12" a="1"/>
  <c r="I249" i="12" s="1"/>
  <c r="E249" i="12"/>
  <c r="J248" i="12" a="1"/>
  <c r="J248" i="12" s="1"/>
  <c r="I248" i="12" a="1"/>
  <c r="I248" i="12" s="1"/>
  <c r="K248" i="12" s="1"/>
  <c r="E248" i="12"/>
  <c r="J247" i="12" a="1"/>
  <c r="J247" i="12" s="1"/>
  <c r="I247" i="12" a="1"/>
  <c r="I247" i="12" s="1"/>
  <c r="E247" i="12"/>
  <c r="J246" i="12" a="1"/>
  <c r="J246" i="12" s="1"/>
  <c r="I246" i="12" a="1"/>
  <c r="I246" i="12" s="1"/>
  <c r="E246" i="12"/>
  <c r="J245" i="12" a="1"/>
  <c r="J245" i="12" s="1"/>
  <c r="I245" i="12" a="1"/>
  <c r="I245" i="12" s="1"/>
  <c r="E245" i="12"/>
  <c r="J244" i="12" a="1"/>
  <c r="J244" i="12" s="1"/>
  <c r="I244" i="12" a="1"/>
  <c r="I244" i="12" s="1"/>
  <c r="K244" i="12" s="1"/>
  <c r="E244" i="12"/>
  <c r="J243" i="12" a="1"/>
  <c r="J243" i="12" s="1"/>
  <c r="I243" i="12" a="1"/>
  <c r="I243" i="12" s="1"/>
  <c r="E243" i="12"/>
  <c r="J242" i="12" a="1"/>
  <c r="J242" i="12" s="1"/>
  <c r="I242" i="12" a="1"/>
  <c r="I242" i="12" s="1"/>
  <c r="K242" i="12" s="1"/>
  <c r="E242" i="12"/>
  <c r="J241" i="12" a="1"/>
  <c r="J241" i="12" s="1"/>
  <c r="I241" i="12" a="1"/>
  <c r="I241" i="12" s="1"/>
  <c r="E241" i="12"/>
  <c r="J240" i="12" a="1"/>
  <c r="J240" i="12" s="1"/>
  <c r="I240" i="12" a="1"/>
  <c r="I240" i="12" s="1"/>
  <c r="K240" i="12" s="1"/>
  <c r="E240" i="12"/>
  <c r="J239" i="12" a="1"/>
  <c r="J239" i="12" s="1"/>
  <c r="I239" i="12" a="1"/>
  <c r="I239" i="12" s="1"/>
  <c r="E239" i="12"/>
  <c r="J238" i="12" a="1"/>
  <c r="J238" i="12" s="1"/>
  <c r="I238" i="12" a="1"/>
  <c r="I238" i="12" s="1"/>
  <c r="E238" i="12"/>
  <c r="J237" i="12" a="1"/>
  <c r="J237" i="12" s="1"/>
  <c r="I237" i="12" a="1"/>
  <c r="I237" i="12" s="1"/>
  <c r="E237" i="12"/>
  <c r="J236" i="12" a="1"/>
  <c r="J236" i="12" s="1"/>
  <c r="I236" i="12" a="1"/>
  <c r="I236" i="12" s="1"/>
  <c r="K236" i="12" s="1"/>
  <c r="E236" i="12"/>
  <c r="J235" i="12" a="1"/>
  <c r="J235" i="12" s="1"/>
  <c r="I235" i="12" a="1"/>
  <c r="I235" i="12" s="1"/>
  <c r="E235" i="12"/>
  <c r="J234" i="12" a="1"/>
  <c r="J234" i="12" s="1"/>
  <c r="I234" i="12" a="1"/>
  <c r="I234" i="12" s="1"/>
  <c r="E234" i="12"/>
  <c r="J233" i="12" a="1"/>
  <c r="J233" i="12" s="1"/>
  <c r="I233" i="12" a="1"/>
  <c r="I233" i="12" s="1"/>
  <c r="E233" i="12"/>
  <c r="J232" i="12" a="1"/>
  <c r="J232" i="12" s="1"/>
  <c r="I232" i="12" a="1"/>
  <c r="I232" i="12" s="1"/>
  <c r="E232" i="12"/>
  <c r="J231" i="12" a="1"/>
  <c r="J231" i="12" s="1"/>
  <c r="I231" i="12" a="1"/>
  <c r="I231" i="12" s="1"/>
  <c r="E231" i="12"/>
  <c r="J230" i="12" a="1"/>
  <c r="J230" i="12" s="1"/>
  <c r="I230" i="12" a="1"/>
  <c r="I230" i="12" s="1"/>
  <c r="E230" i="12"/>
  <c r="J229" i="12" a="1"/>
  <c r="J229" i="12" s="1"/>
  <c r="I229" i="12" a="1"/>
  <c r="I229" i="12" s="1"/>
  <c r="E229" i="12"/>
  <c r="J228" i="12" a="1"/>
  <c r="J228" i="12" s="1"/>
  <c r="I228" i="12" a="1"/>
  <c r="I228" i="12" s="1"/>
  <c r="E228" i="12"/>
  <c r="J227" i="12" a="1"/>
  <c r="J227" i="12" s="1"/>
  <c r="I227" i="12" a="1"/>
  <c r="I227" i="12" s="1"/>
  <c r="E227" i="12"/>
  <c r="J226" i="12" a="1"/>
  <c r="J226" i="12" s="1"/>
  <c r="I226" i="12" a="1"/>
  <c r="I226" i="12" s="1"/>
  <c r="E226" i="12"/>
  <c r="J225" i="12" a="1"/>
  <c r="J225" i="12" s="1"/>
  <c r="I225" i="12" a="1"/>
  <c r="I225" i="12" s="1"/>
  <c r="E225" i="12"/>
  <c r="J224" i="12" a="1"/>
  <c r="J224" i="12" s="1"/>
  <c r="I224" i="12" a="1"/>
  <c r="I224" i="12" s="1"/>
  <c r="E224" i="12"/>
  <c r="J223" i="12" a="1"/>
  <c r="J223" i="12" s="1"/>
  <c r="I223" i="12" a="1"/>
  <c r="I223" i="12" s="1"/>
  <c r="E223" i="12"/>
  <c r="J222" i="12" a="1"/>
  <c r="J222" i="12" s="1"/>
  <c r="I222" i="12" a="1"/>
  <c r="I222" i="12" s="1"/>
  <c r="E222" i="12"/>
  <c r="J221" i="12" a="1"/>
  <c r="J221" i="12" s="1"/>
  <c r="I221" i="12" a="1"/>
  <c r="I221" i="12" s="1"/>
  <c r="E221" i="12"/>
  <c r="J220" i="12" a="1"/>
  <c r="J220" i="12" s="1"/>
  <c r="I220" i="12" a="1"/>
  <c r="I220" i="12" s="1"/>
  <c r="K220" i="12" s="1"/>
  <c r="E220" i="12"/>
  <c r="J219" i="12" a="1"/>
  <c r="J219" i="12" s="1"/>
  <c r="I219" i="12" a="1"/>
  <c r="I219" i="12" s="1"/>
  <c r="E219" i="12"/>
  <c r="J218" i="12" a="1"/>
  <c r="J218" i="12" s="1"/>
  <c r="I218" i="12" a="1"/>
  <c r="I218" i="12" s="1"/>
  <c r="K218" i="12" s="1"/>
  <c r="E218" i="12"/>
  <c r="J217" i="12" a="1"/>
  <c r="J217" i="12" s="1"/>
  <c r="I217" i="12" a="1"/>
  <c r="I217" i="12" s="1"/>
  <c r="E217" i="12"/>
  <c r="J216" i="12" a="1"/>
  <c r="J216" i="12" s="1"/>
  <c r="I216" i="12" a="1"/>
  <c r="I216" i="12" s="1"/>
  <c r="E216" i="12"/>
  <c r="J215" i="12" a="1"/>
  <c r="J215" i="12" s="1"/>
  <c r="I215" i="12" a="1"/>
  <c r="I215" i="12" s="1"/>
  <c r="E215" i="12"/>
  <c r="J214" i="12" a="1"/>
  <c r="J214" i="12" s="1"/>
  <c r="I214" i="12" a="1"/>
  <c r="I214" i="12" s="1"/>
  <c r="E214" i="12"/>
  <c r="J213" i="12" a="1"/>
  <c r="J213" i="12" s="1"/>
  <c r="I213" i="12" a="1"/>
  <c r="I213" i="12" s="1"/>
  <c r="E213" i="12"/>
  <c r="J212" i="12" a="1"/>
  <c r="J212" i="12" s="1"/>
  <c r="I212" i="12" a="1"/>
  <c r="I212" i="12" s="1"/>
  <c r="K212" i="12" s="1"/>
  <c r="E212" i="12"/>
  <c r="J211" i="12" a="1"/>
  <c r="J211" i="12" s="1"/>
  <c r="I211" i="12" a="1"/>
  <c r="I211" i="12" s="1"/>
  <c r="E211" i="12"/>
  <c r="J210" i="12" a="1"/>
  <c r="J210" i="12" s="1"/>
  <c r="I210" i="12" a="1"/>
  <c r="I210" i="12" s="1"/>
  <c r="K210" i="12" s="1"/>
  <c r="E210" i="12"/>
  <c r="J209" i="12" a="1"/>
  <c r="J209" i="12" s="1"/>
  <c r="I209" i="12" a="1"/>
  <c r="I209" i="12" s="1"/>
  <c r="E209" i="12"/>
  <c r="J208" i="12" a="1"/>
  <c r="J208" i="12" s="1"/>
  <c r="I208" i="12" a="1"/>
  <c r="I208" i="12" s="1"/>
  <c r="E208" i="12"/>
  <c r="J207" i="12" a="1"/>
  <c r="J207" i="12" s="1"/>
  <c r="I207" i="12" a="1"/>
  <c r="I207" i="12" s="1"/>
  <c r="E207" i="12"/>
  <c r="J206" i="12" a="1"/>
  <c r="J206" i="12" s="1"/>
  <c r="I206" i="12" a="1"/>
  <c r="I206" i="12" s="1"/>
  <c r="E206" i="12"/>
  <c r="J205" i="12" a="1"/>
  <c r="J205" i="12" s="1"/>
  <c r="I205" i="12" a="1"/>
  <c r="I205" i="12" s="1"/>
  <c r="E205" i="12"/>
  <c r="J204" i="12" a="1"/>
  <c r="J204" i="12" s="1"/>
  <c r="I204" i="12" a="1"/>
  <c r="I204" i="12" s="1"/>
  <c r="K204" i="12" s="1"/>
  <c r="E204" i="12"/>
  <c r="J203" i="12" a="1"/>
  <c r="J203" i="12" s="1"/>
  <c r="I203" i="12" a="1"/>
  <c r="I203" i="12" s="1"/>
  <c r="E203" i="12"/>
  <c r="J202" i="12" a="1"/>
  <c r="J202" i="12" s="1"/>
  <c r="I202" i="12" a="1"/>
  <c r="I202" i="12" s="1"/>
  <c r="E202" i="12"/>
  <c r="J201" i="12" a="1"/>
  <c r="J201" i="12" s="1"/>
  <c r="I201" i="12" a="1"/>
  <c r="I201" i="12" s="1"/>
  <c r="E201" i="12"/>
  <c r="J200" i="12" a="1"/>
  <c r="J200" i="12" s="1"/>
  <c r="I200" i="12" a="1"/>
  <c r="I200" i="12" s="1"/>
  <c r="E200" i="12"/>
  <c r="J199" i="12" a="1"/>
  <c r="J199" i="12" s="1"/>
  <c r="I199" i="12" a="1"/>
  <c r="I199" i="12" s="1"/>
  <c r="E199" i="12"/>
  <c r="J198" i="12" a="1"/>
  <c r="J198" i="12" s="1"/>
  <c r="I198" i="12" a="1"/>
  <c r="I198" i="12" s="1"/>
  <c r="E198" i="12"/>
  <c r="J197" i="12" a="1"/>
  <c r="J197" i="12" s="1"/>
  <c r="I197" i="12" a="1"/>
  <c r="I197" i="12" s="1"/>
  <c r="E197" i="12"/>
  <c r="J196" i="12" a="1"/>
  <c r="J196" i="12" s="1"/>
  <c r="I196" i="12" a="1"/>
  <c r="I196" i="12" s="1"/>
  <c r="E196" i="12"/>
  <c r="J195" i="12" a="1"/>
  <c r="J195" i="12" s="1"/>
  <c r="I195" i="12" a="1"/>
  <c r="I195" i="12" s="1"/>
  <c r="E195" i="12"/>
  <c r="J194" i="12" a="1"/>
  <c r="J194" i="12" s="1"/>
  <c r="I194" i="12" a="1"/>
  <c r="I194" i="12" s="1"/>
  <c r="E194" i="12"/>
  <c r="J193" i="12" a="1"/>
  <c r="J193" i="12" s="1"/>
  <c r="I193" i="12" a="1"/>
  <c r="I193" i="12" s="1"/>
  <c r="E193" i="12"/>
  <c r="J192" i="12" a="1"/>
  <c r="J192" i="12" s="1"/>
  <c r="I192" i="12" a="1"/>
  <c r="I192" i="12" s="1"/>
  <c r="E192" i="12"/>
  <c r="J191" i="12" a="1"/>
  <c r="J191" i="12" s="1"/>
  <c r="I191" i="12" a="1"/>
  <c r="I191" i="12" s="1"/>
  <c r="E191" i="12"/>
  <c r="J190" i="12" a="1"/>
  <c r="J190" i="12" s="1"/>
  <c r="I190" i="12" a="1"/>
  <c r="I190" i="12" s="1"/>
  <c r="E190" i="12"/>
  <c r="J189" i="12" a="1"/>
  <c r="J189" i="12" s="1"/>
  <c r="I189" i="12" a="1"/>
  <c r="I189" i="12" s="1"/>
  <c r="E189" i="12"/>
  <c r="J188" i="12" a="1"/>
  <c r="J188" i="12" s="1"/>
  <c r="I188" i="12" a="1"/>
  <c r="I188" i="12" s="1"/>
  <c r="K188" i="12" s="1"/>
  <c r="E188" i="12"/>
  <c r="J187" i="12" a="1"/>
  <c r="J187" i="12" s="1"/>
  <c r="I187" i="12" a="1"/>
  <c r="I187" i="12" s="1"/>
  <c r="E187" i="12"/>
  <c r="J186" i="12" a="1"/>
  <c r="J186" i="12" s="1"/>
  <c r="I186" i="12" a="1"/>
  <c r="I186" i="12" s="1"/>
  <c r="K186" i="12" s="1"/>
  <c r="E186" i="12"/>
  <c r="J185" i="12" a="1"/>
  <c r="J185" i="12" s="1"/>
  <c r="I185" i="12" a="1"/>
  <c r="I185" i="12" s="1"/>
  <c r="E185" i="12"/>
  <c r="J184" i="12" a="1"/>
  <c r="J184" i="12" s="1"/>
  <c r="I184" i="12" a="1"/>
  <c r="I184" i="12" s="1"/>
  <c r="E184" i="12"/>
  <c r="J183" i="12" a="1"/>
  <c r="J183" i="12" s="1"/>
  <c r="I183" i="12" a="1"/>
  <c r="I183" i="12" s="1"/>
  <c r="E183" i="12"/>
  <c r="J182" i="12" a="1"/>
  <c r="J182" i="12" s="1"/>
  <c r="I182" i="12" a="1"/>
  <c r="I182" i="12" s="1"/>
  <c r="E182" i="12"/>
  <c r="J181" i="12" a="1"/>
  <c r="J181" i="12" s="1"/>
  <c r="I181" i="12" a="1"/>
  <c r="I181" i="12" s="1"/>
  <c r="E181" i="12"/>
  <c r="J180" i="12" a="1"/>
  <c r="J180" i="12" s="1"/>
  <c r="I180" i="12" a="1"/>
  <c r="I180" i="12" s="1"/>
  <c r="E180" i="12"/>
  <c r="J179" i="12" a="1"/>
  <c r="J179" i="12" s="1"/>
  <c r="I179" i="12" a="1"/>
  <c r="I179" i="12" s="1"/>
  <c r="E179" i="12"/>
  <c r="J178" i="12" a="1"/>
  <c r="J178" i="12" s="1"/>
  <c r="I178" i="12" a="1"/>
  <c r="I178" i="12" s="1"/>
  <c r="E178" i="12"/>
  <c r="J177" i="12" a="1"/>
  <c r="J177" i="12" s="1"/>
  <c r="I177" i="12" a="1"/>
  <c r="I177" i="12" s="1"/>
  <c r="E177" i="12"/>
  <c r="J176" i="12" a="1"/>
  <c r="J176" i="12" s="1"/>
  <c r="I176" i="12" a="1"/>
  <c r="I176" i="12" s="1"/>
  <c r="E176" i="12"/>
  <c r="J175" i="12" a="1"/>
  <c r="J175" i="12" s="1"/>
  <c r="I175" i="12" a="1"/>
  <c r="I175" i="12" s="1"/>
  <c r="E175" i="12"/>
  <c r="J174" i="12" a="1"/>
  <c r="J174" i="12" s="1"/>
  <c r="I174" i="12" a="1"/>
  <c r="I174" i="12" s="1"/>
  <c r="E174" i="12"/>
  <c r="J173" i="12" a="1"/>
  <c r="J173" i="12" s="1"/>
  <c r="I173" i="12" a="1"/>
  <c r="I173" i="12" s="1"/>
  <c r="E173" i="12"/>
  <c r="J172" i="12" a="1"/>
  <c r="J172" i="12" s="1"/>
  <c r="I172" i="12" a="1"/>
  <c r="I172" i="12" s="1"/>
  <c r="E172" i="12"/>
  <c r="J171" i="12" a="1"/>
  <c r="J171" i="12" s="1"/>
  <c r="I171" i="12" a="1"/>
  <c r="I171" i="12" s="1"/>
  <c r="E171" i="12"/>
  <c r="J170" i="12" a="1"/>
  <c r="J170" i="12" s="1"/>
  <c r="I170" i="12" a="1"/>
  <c r="I170" i="12" s="1"/>
  <c r="E170" i="12"/>
  <c r="J169" i="12" a="1"/>
  <c r="J169" i="12" s="1"/>
  <c r="I169" i="12" a="1"/>
  <c r="I169" i="12" s="1"/>
  <c r="E169" i="12"/>
  <c r="J168" i="12" a="1"/>
  <c r="J168" i="12" s="1"/>
  <c r="I168" i="12" a="1"/>
  <c r="I168" i="12" s="1"/>
  <c r="E168" i="12"/>
  <c r="J167" i="12" a="1"/>
  <c r="J167" i="12" s="1"/>
  <c r="I167" i="12" a="1"/>
  <c r="I167" i="12" s="1"/>
  <c r="E167" i="12"/>
  <c r="J166" i="12" a="1"/>
  <c r="J166" i="12" s="1"/>
  <c r="I166" i="12" a="1"/>
  <c r="I166" i="12" s="1"/>
  <c r="E166" i="12"/>
  <c r="J165" i="12" a="1"/>
  <c r="J165" i="12" s="1"/>
  <c r="I165" i="12" a="1"/>
  <c r="I165" i="12" s="1"/>
  <c r="E165" i="12"/>
  <c r="J164" i="12" a="1"/>
  <c r="J164" i="12" s="1"/>
  <c r="I164" i="12" a="1"/>
  <c r="I164" i="12" s="1"/>
  <c r="E164" i="12"/>
  <c r="J163" i="12" a="1"/>
  <c r="J163" i="12" s="1"/>
  <c r="I163" i="12" a="1"/>
  <c r="I163" i="12" s="1"/>
  <c r="E163" i="12"/>
  <c r="J162" i="12" a="1"/>
  <c r="J162" i="12" s="1"/>
  <c r="I162" i="12" a="1"/>
  <c r="I162" i="12" s="1"/>
  <c r="K162" i="12" s="1"/>
  <c r="E162" i="12"/>
  <c r="J161" i="12" a="1"/>
  <c r="J161" i="12" s="1"/>
  <c r="I161" i="12" a="1"/>
  <c r="I161" i="12" s="1"/>
  <c r="E161" i="12"/>
  <c r="J160" i="12" a="1"/>
  <c r="J160" i="12" s="1"/>
  <c r="I160" i="12" a="1"/>
  <c r="I160" i="12" s="1"/>
  <c r="E160" i="12"/>
  <c r="J159" i="12" a="1"/>
  <c r="J159" i="12" s="1"/>
  <c r="I159" i="12" a="1"/>
  <c r="I159" i="12" s="1"/>
  <c r="E159" i="12"/>
  <c r="J158" i="12" a="1"/>
  <c r="J158" i="12" s="1"/>
  <c r="I158" i="12" a="1"/>
  <c r="I158" i="12" s="1"/>
  <c r="E158" i="12"/>
  <c r="J157" i="12" a="1"/>
  <c r="J157" i="12" s="1"/>
  <c r="I157" i="12" a="1"/>
  <c r="I157" i="12" s="1"/>
  <c r="E157" i="12"/>
  <c r="J156" i="12" a="1"/>
  <c r="J156" i="12" s="1"/>
  <c r="I156" i="12" a="1"/>
  <c r="I156" i="12" s="1"/>
  <c r="E156" i="12"/>
  <c r="J155" i="12" a="1"/>
  <c r="J155" i="12" s="1"/>
  <c r="I155" i="12" a="1"/>
  <c r="I155" i="12" s="1"/>
  <c r="E155" i="12"/>
  <c r="J154" i="12" a="1"/>
  <c r="J154" i="12" s="1"/>
  <c r="I154" i="12" a="1"/>
  <c r="I154" i="12" s="1"/>
  <c r="E154" i="12"/>
  <c r="J153" i="12" a="1"/>
  <c r="J153" i="12" s="1"/>
  <c r="I153" i="12" a="1"/>
  <c r="I153" i="12" s="1"/>
  <c r="E153" i="12"/>
  <c r="J152" i="12" a="1"/>
  <c r="J152" i="12" s="1"/>
  <c r="I152" i="12" a="1"/>
  <c r="I152" i="12" s="1"/>
  <c r="E152" i="12"/>
  <c r="J151" i="12" a="1"/>
  <c r="J151" i="12" s="1"/>
  <c r="I151" i="12" a="1"/>
  <c r="I151" i="12" s="1"/>
  <c r="E151" i="12"/>
  <c r="J150" i="12" a="1"/>
  <c r="J150" i="12" s="1"/>
  <c r="I150" i="12" a="1"/>
  <c r="I150" i="12" s="1"/>
  <c r="E150" i="12"/>
  <c r="J149" i="12" a="1"/>
  <c r="J149" i="12" s="1"/>
  <c r="I149" i="12" a="1"/>
  <c r="I149" i="12" s="1"/>
  <c r="E149" i="12"/>
  <c r="J148" i="12" a="1"/>
  <c r="J148" i="12" s="1"/>
  <c r="I148" i="12" a="1"/>
  <c r="I148" i="12" s="1"/>
  <c r="K148" i="12" s="1"/>
  <c r="E148" i="12"/>
  <c r="J147" i="12" a="1"/>
  <c r="J147" i="12" s="1"/>
  <c r="I147" i="12" a="1"/>
  <c r="I147" i="12" s="1"/>
  <c r="E147" i="12"/>
  <c r="J146" i="12" a="1"/>
  <c r="J146" i="12" s="1"/>
  <c r="I146" i="12" a="1"/>
  <c r="I146" i="12" s="1"/>
  <c r="E146" i="12"/>
  <c r="J145" i="12" a="1"/>
  <c r="J145" i="12" s="1"/>
  <c r="I145" i="12" a="1"/>
  <c r="I145" i="12" s="1"/>
  <c r="E145" i="12"/>
  <c r="J144" i="12" a="1"/>
  <c r="J144" i="12" s="1"/>
  <c r="I144" i="12" a="1"/>
  <c r="I144" i="12" s="1"/>
  <c r="E144" i="12"/>
  <c r="J143" i="12" a="1"/>
  <c r="J143" i="12" s="1"/>
  <c r="I143" i="12" a="1"/>
  <c r="I143" i="12" s="1"/>
  <c r="E143" i="12"/>
  <c r="J142" i="12" a="1"/>
  <c r="J142" i="12" s="1"/>
  <c r="I142" i="12" a="1"/>
  <c r="I142" i="12" s="1"/>
  <c r="E142" i="12"/>
  <c r="J141" i="12" a="1"/>
  <c r="J141" i="12" s="1"/>
  <c r="I141" i="12" a="1"/>
  <c r="I141" i="12" s="1"/>
  <c r="E141" i="12"/>
  <c r="J140" i="12" a="1"/>
  <c r="J140" i="12" s="1"/>
  <c r="I140" i="12" a="1"/>
  <c r="I140" i="12" s="1"/>
  <c r="E140" i="12"/>
  <c r="J139" i="12" a="1"/>
  <c r="J139" i="12" s="1"/>
  <c r="I139" i="12" a="1"/>
  <c r="I139" i="12" s="1"/>
  <c r="E139" i="12"/>
  <c r="J138" i="12" a="1"/>
  <c r="J138" i="12" s="1"/>
  <c r="I138" i="12" a="1"/>
  <c r="I138" i="12" s="1"/>
  <c r="E138" i="12"/>
  <c r="J137" i="12" a="1"/>
  <c r="J137" i="12" s="1"/>
  <c r="I137" i="12" a="1"/>
  <c r="I137" i="12" s="1"/>
  <c r="E137" i="12"/>
  <c r="J136" i="12" a="1"/>
  <c r="J136" i="12" s="1"/>
  <c r="I136" i="12" a="1"/>
  <c r="I136" i="12" s="1"/>
  <c r="E136" i="12"/>
  <c r="J135" i="12" a="1"/>
  <c r="J135" i="12" s="1"/>
  <c r="I135" i="12" a="1"/>
  <c r="I135" i="12" s="1"/>
  <c r="E135" i="12"/>
  <c r="J134" i="12" a="1"/>
  <c r="J134" i="12" s="1"/>
  <c r="I134" i="12" a="1"/>
  <c r="I134" i="12" s="1"/>
  <c r="E134" i="12"/>
  <c r="J133" i="12" a="1"/>
  <c r="J133" i="12" s="1"/>
  <c r="I133" i="12" a="1"/>
  <c r="I133" i="12" s="1"/>
  <c r="E133" i="12"/>
  <c r="J132" i="12" a="1"/>
  <c r="J132" i="12" s="1"/>
  <c r="I132" i="12" a="1"/>
  <c r="I132" i="12" s="1"/>
  <c r="K132" i="12" s="1"/>
  <c r="E132" i="12"/>
  <c r="J131" i="12" a="1"/>
  <c r="J131" i="12" s="1"/>
  <c r="I131" i="12" a="1"/>
  <c r="I131" i="12" s="1"/>
  <c r="E131" i="12"/>
  <c r="J130" i="12" a="1"/>
  <c r="J130" i="12" s="1"/>
  <c r="I130" i="12" a="1"/>
  <c r="I130" i="12" s="1"/>
  <c r="K130" i="12" s="1"/>
  <c r="E130" i="12"/>
  <c r="J129" i="12" a="1"/>
  <c r="J129" i="12" s="1"/>
  <c r="I129" i="12" a="1"/>
  <c r="I129" i="12" s="1"/>
  <c r="E129" i="12"/>
  <c r="J128" i="12" a="1"/>
  <c r="J128" i="12" s="1"/>
  <c r="I128" i="12" a="1"/>
  <c r="I128" i="12" s="1"/>
  <c r="E128" i="12"/>
  <c r="J127" i="12" a="1"/>
  <c r="J127" i="12" s="1"/>
  <c r="I127" i="12" a="1"/>
  <c r="I127" i="12" s="1"/>
  <c r="E127" i="12"/>
  <c r="J126" i="12" a="1"/>
  <c r="J126" i="12" s="1"/>
  <c r="I126" i="12" a="1"/>
  <c r="I126" i="12" s="1"/>
  <c r="E126" i="12"/>
  <c r="J125" i="12" a="1"/>
  <c r="J125" i="12" s="1"/>
  <c r="I125" i="12" a="1"/>
  <c r="I125" i="12" s="1"/>
  <c r="E125" i="12"/>
  <c r="J124" i="12" a="1"/>
  <c r="J124" i="12" s="1"/>
  <c r="I124" i="12" a="1"/>
  <c r="I124" i="12" s="1"/>
  <c r="K124" i="12" s="1"/>
  <c r="E124" i="12"/>
  <c r="J123" i="12" a="1"/>
  <c r="J123" i="12" s="1"/>
  <c r="I123" i="12" a="1"/>
  <c r="I123" i="12" s="1"/>
  <c r="E123" i="12"/>
  <c r="J122" i="12" a="1"/>
  <c r="J122" i="12" s="1"/>
  <c r="I122" i="12" a="1"/>
  <c r="I122" i="12" s="1"/>
  <c r="K122" i="12" s="1"/>
  <c r="E122" i="12"/>
  <c r="J121" i="12" a="1"/>
  <c r="J121" i="12" s="1"/>
  <c r="I121" i="12" a="1"/>
  <c r="I121" i="12" s="1"/>
  <c r="E121" i="12"/>
  <c r="J120" i="12" a="1"/>
  <c r="J120" i="12" s="1"/>
  <c r="I120" i="12" a="1"/>
  <c r="I120" i="12" s="1"/>
  <c r="E120" i="12"/>
  <c r="J119" i="12" a="1"/>
  <c r="J119" i="12" s="1"/>
  <c r="I119" i="12" a="1"/>
  <c r="I119" i="12" s="1"/>
  <c r="E119" i="12"/>
  <c r="J118" i="12" a="1"/>
  <c r="J118" i="12" s="1"/>
  <c r="I118" i="12" a="1"/>
  <c r="I118" i="12" s="1"/>
  <c r="E118" i="12"/>
  <c r="J117" i="12" a="1"/>
  <c r="J117" i="12" s="1"/>
  <c r="I117" i="12" a="1"/>
  <c r="I117" i="12" s="1"/>
  <c r="E117" i="12"/>
  <c r="J116" i="12" a="1"/>
  <c r="J116" i="12" s="1"/>
  <c r="I116" i="12" a="1"/>
  <c r="I116" i="12" s="1"/>
  <c r="K116" i="12" s="1"/>
  <c r="E116" i="12"/>
  <c r="J115" i="12" a="1"/>
  <c r="J115" i="12" s="1"/>
  <c r="I115" i="12" a="1"/>
  <c r="I115" i="12" s="1"/>
  <c r="E115" i="12"/>
  <c r="J114" i="12" a="1"/>
  <c r="J114" i="12" s="1"/>
  <c r="I114" i="12" a="1"/>
  <c r="I114" i="12" s="1"/>
  <c r="K114" i="12" s="1"/>
  <c r="E114" i="12"/>
  <c r="J113" i="12" a="1"/>
  <c r="J113" i="12" s="1"/>
  <c r="I113" i="12" a="1"/>
  <c r="I113" i="12" s="1"/>
  <c r="E113" i="12"/>
  <c r="J112" i="12" a="1"/>
  <c r="J112" i="12" s="1"/>
  <c r="I112" i="12" a="1"/>
  <c r="I112" i="12" s="1"/>
  <c r="E112" i="12"/>
  <c r="J111" i="12" a="1"/>
  <c r="J111" i="12" s="1"/>
  <c r="I111" i="12" a="1"/>
  <c r="I111" i="12" s="1"/>
  <c r="E111" i="12"/>
  <c r="J110" i="12" a="1"/>
  <c r="J110" i="12" s="1"/>
  <c r="I110" i="12" a="1"/>
  <c r="I110" i="12" s="1"/>
  <c r="E110" i="12"/>
  <c r="J109" i="12" a="1"/>
  <c r="J109" i="12" s="1"/>
  <c r="I109" i="12" a="1"/>
  <c r="I109" i="12" s="1"/>
  <c r="E109" i="12"/>
  <c r="J108" i="12" a="1"/>
  <c r="J108" i="12" s="1"/>
  <c r="I108" i="12" a="1"/>
  <c r="I108" i="12" s="1"/>
  <c r="E108" i="12"/>
  <c r="J107" i="12" a="1"/>
  <c r="J107" i="12" s="1"/>
  <c r="I107" i="12" a="1"/>
  <c r="I107" i="12" s="1"/>
  <c r="E107" i="12"/>
  <c r="J106" i="12" a="1"/>
  <c r="J106" i="12" s="1"/>
  <c r="I106" i="12" a="1"/>
  <c r="I106" i="12" s="1"/>
  <c r="K106" i="12" s="1"/>
  <c r="E106" i="12"/>
  <c r="J105" i="12" a="1"/>
  <c r="J105" i="12" s="1"/>
  <c r="I105" i="12" a="1"/>
  <c r="I105" i="12" s="1"/>
  <c r="E105" i="12"/>
  <c r="J104" i="12" a="1"/>
  <c r="J104" i="12" s="1"/>
  <c r="I104" i="12" a="1"/>
  <c r="I104" i="12" s="1"/>
  <c r="E104" i="12"/>
  <c r="J103" i="12" a="1"/>
  <c r="J103" i="12" s="1"/>
  <c r="I103" i="12" a="1"/>
  <c r="I103" i="12" s="1"/>
  <c r="E103" i="12"/>
  <c r="J102" i="12" a="1"/>
  <c r="J102" i="12" s="1"/>
  <c r="I102" i="12" a="1"/>
  <c r="I102" i="12" s="1"/>
  <c r="E102" i="12"/>
  <c r="J101" i="12" a="1"/>
  <c r="J101" i="12" s="1"/>
  <c r="I101" i="12" a="1"/>
  <c r="I101" i="12" s="1"/>
  <c r="E101" i="12"/>
  <c r="J100" i="12" a="1"/>
  <c r="J100" i="12" s="1"/>
  <c r="I100" i="12" a="1"/>
  <c r="I100" i="12" s="1"/>
  <c r="E100" i="12"/>
  <c r="J99" i="12" a="1"/>
  <c r="J99" i="12" s="1"/>
  <c r="I99" i="12" a="1"/>
  <c r="I99" i="12" s="1"/>
  <c r="E99" i="12"/>
  <c r="J98" i="12" a="1"/>
  <c r="J98" i="12" s="1"/>
  <c r="I98" i="12" a="1"/>
  <c r="I98" i="12" s="1"/>
  <c r="K98" i="12" s="1"/>
  <c r="E98" i="12"/>
  <c r="J97" i="12" a="1"/>
  <c r="J97" i="12" s="1"/>
  <c r="I97" i="12" a="1"/>
  <c r="I97" i="12" s="1"/>
  <c r="E97" i="12"/>
  <c r="J96" i="12" a="1"/>
  <c r="J96" i="12" s="1"/>
  <c r="I96" i="12" a="1"/>
  <c r="I96" i="12" s="1"/>
  <c r="E96" i="12"/>
  <c r="J95" i="12" a="1"/>
  <c r="J95" i="12" s="1"/>
  <c r="I95" i="12" a="1"/>
  <c r="I95" i="12" s="1"/>
  <c r="E95" i="12"/>
  <c r="J94" i="12" a="1"/>
  <c r="J94" i="12" s="1"/>
  <c r="I94" i="12" a="1"/>
  <c r="I94" i="12" s="1"/>
  <c r="E94" i="12"/>
  <c r="J93" i="12" a="1"/>
  <c r="J93" i="12" s="1"/>
  <c r="I93" i="12" a="1"/>
  <c r="I93" i="12" s="1"/>
  <c r="E93" i="12"/>
  <c r="J92" i="12" a="1"/>
  <c r="J92" i="12" s="1"/>
  <c r="I92" i="12" a="1"/>
  <c r="I92" i="12" s="1"/>
  <c r="E92" i="12"/>
  <c r="J91" i="12" a="1"/>
  <c r="J91" i="12" s="1"/>
  <c r="I91" i="12" a="1"/>
  <c r="I91" i="12" s="1"/>
  <c r="E91" i="12"/>
  <c r="J90" i="12" a="1"/>
  <c r="J90" i="12" s="1"/>
  <c r="I90" i="12" a="1"/>
  <c r="I90" i="12" s="1"/>
  <c r="E90" i="12"/>
  <c r="J89" i="12" a="1"/>
  <c r="J89" i="12" s="1"/>
  <c r="I89" i="12" a="1"/>
  <c r="I89" i="12" s="1"/>
  <c r="E89" i="12"/>
  <c r="J88" i="12" a="1"/>
  <c r="J88" i="12" s="1"/>
  <c r="I88" i="12" a="1"/>
  <c r="I88" i="12" s="1"/>
  <c r="E88" i="12"/>
  <c r="J87" i="12" a="1"/>
  <c r="J87" i="12" s="1"/>
  <c r="I87" i="12" a="1"/>
  <c r="I87" i="12" s="1"/>
  <c r="E87" i="12"/>
  <c r="J86" i="12" a="1"/>
  <c r="J86" i="12" s="1"/>
  <c r="I86" i="12" a="1"/>
  <c r="I86" i="12" s="1"/>
  <c r="E86" i="12"/>
  <c r="J85" i="12" a="1"/>
  <c r="J85" i="12" s="1"/>
  <c r="I85" i="12" a="1"/>
  <c r="I85" i="12" s="1"/>
  <c r="E85" i="12"/>
  <c r="J84" i="12" a="1"/>
  <c r="J84" i="12" s="1"/>
  <c r="I84" i="12" a="1"/>
  <c r="I84" i="12" s="1"/>
  <c r="K84" i="12" s="1"/>
  <c r="E84" i="12"/>
  <c r="J83" i="12" a="1"/>
  <c r="J83" i="12" s="1"/>
  <c r="I83" i="12" a="1"/>
  <c r="I83" i="12" s="1"/>
  <c r="E83" i="12"/>
  <c r="J82" i="12" a="1"/>
  <c r="J82" i="12" s="1"/>
  <c r="I82" i="12" a="1"/>
  <c r="I82" i="12" s="1"/>
  <c r="K82" i="12" s="1"/>
  <c r="E82" i="12"/>
  <c r="J81" i="12" a="1"/>
  <c r="J81" i="12" s="1"/>
  <c r="I81" i="12" a="1"/>
  <c r="I81" i="12" s="1"/>
  <c r="E81" i="12"/>
  <c r="J80" i="12" a="1"/>
  <c r="J80" i="12" s="1"/>
  <c r="I80" i="12" a="1"/>
  <c r="I80" i="12" s="1"/>
  <c r="E80" i="12"/>
  <c r="J79" i="12" a="1"/>
  <c r="J79" i="12" s="1"/>
  <c r="I79" i="12" a="1"/>
  <c r="I79" i="12" s="1"/>
  <c r="E79" i="12"/>
  <c r="J78" i="12" a="1"/>
  <c r="J78" i="12" s="1"/>
  <c r="I78" i="12" a="1"/>
  <c r="I78" i="12" s="1"/>
  <c r="E78" i="12"/>
  <c r="J77" i="12" a="1"/>
  <c r="J77" i="12" s="1"/>
  <c r="I77" i="12" a="1"/>
  <c r="I77" i="12" s="1"/>
  <c r="E77" i="12"/>
  <c r="J76" i="12" a="1"/>
  <c r="J76" i="12" s="1"/>
  <c r="I76" i="12" a="1"/>
  <c r="I76" i="12" s="1"/>
  <c r="K76" i="12" s="1"/>
  <c r="E76" i="12"/>
  <c r="J75" i="12" a="1"/>
  <c r="J75" i="12" s="1"/>
  <c r="I75" i="12" a="1"/>
  <c r="I75" i="12" s="1"/>
  <c r="E75" i="12"/>
  <c r="J74" i="12" a="1"/>
  <c r="J74" i="12" s="1"/>
  <c r="I74" i="12" a="1"/>
  <c r="I74" i="12" s="1"/>
  <c r="K74" i="12" s="1"/>
  <c r="E74" i="12"/>
  <c r="J73" i="12" a="1"/>
  <c r="J73" i="12" s="1"/>
  <c r="I73" i="12" a="1"/>
  <c r="I73" i="12" s="1"/>
  <c r="E73" i="12"/>
  <c r="J72" i="12" a="1"/>
  <c r="J72" i="12" s="1"/>
  <c r="I72" i="12" a="1"/>
  <c r="I72" i="12" s="1"/>
  <c r="E72" i="12"/>
  <c r="J71" i="12" a="1"/>
  <c r="J71" i="12" s="1"/>
  <c r="I71" i="12" a="1"/>
  <c r="I71" i="12" s="1"/>
  <c r="E71" i="12"/>
  <c r="J70" i="12" a="1"/>
  <c r="J70" i="12" s="1"/>
  <c r="I70" i="12" a="1"/>
  <c r="I70" i="12" s="1"/>
  <c r="E70" i="12"/>
  <c r="J69" i="12" a="1"/>
  <c r="J69" i="12" s="1"/>
  <c r="I69" i="12" a="1"/>
  <c r="I69" i="12" s="1"/>
  <c r="E69" i="12"/>
  <c r="J68" i="12" a="1"/>
  <c r="J68" i="12" s="1"/>
  <c r="I68" i="12" a="1"/>
  <c r="I68" i="12" s="1"/>
  <c r="E68" i="12"/>
  <c r="J67" i="12" a="1"/>
  <c r="J67" i="12" s="1"/>
  <c r="I67" i="12" a="1"/>
  <c r="I67" i="12" s="1"/>
  <c r="E67" i="12"/>
  <c r="J66" i="12" a="1"/>
  <c r="J66" i="12" s="1"/>
  <c r="I66" i="12" a="1"/>
  <c r="I66" i="12" s="1"/>
  <c r="K66" i="12" s="1"/>
  <c r="E66" i="12"/>
  <c r="J65" i="12" a="1"/>
  <c r="J65" i="12" s="1"/>
  <c r="I65" i="12" a="1"/>
  <c r="I65" i="12" s="1"/>
  <c r="E65" i="12"/>
  <c r="J64" i="12" a="1"/>
  <c r="J64" i="12" s="1"/>
  <c r="I64" i="12" a="1"/>
  <c r="I64" i="12" s="1"/>
  <c r="E64" i="12"/>
  <c r="J63" i="12" a="1"/>
  <c r="J63" i="12" s="1"/>
  <c r="I63" i="12" a="1"/>
  <c r="I63" i="12" s="1"/>
  <c r="E63" i="12"/>
  <c r="J62" i="12" a="1"/>
  <c r="J62" i="12" s="1"/>
  <c r="I62" i="12" a="1"/>
  <c r="I62" i="12" s="1"/>
  <c r="E62" i="12"/>
  <c r="J61" i="12" a="1"/>
  <c r="J61" i="12" s="1"/>
  <c r="I61" i="12" a="1"/>
  <c r="I61" i="12" s="1"/>
  <c r="E61" i="12"/>
  <c r="J60" i="12" a="1"/>
  <c r="J60" i="12" s="1"/>
  <c r="I60" i="12" a="1"/>
  <c r="I60" i="12" s="1"/>
  <c r="K60" i="12" s="1"/>
  <c r="E60" i="12"/>
  <c r="J59" i="12" a="1"/>
  <c r="J59" i="12" s="1"/>
  <c r="I59" i="12" a="1"/>
  <c r="I59" i="12" s="1"/>
  <c r="E59" i="12"/>
  <c r="J58" i="12" a="1"/>
  <c r="J58" i="12" s="1"/>
  <c r="I58" i="12" a="1"/>
  <c r="I58" i="12" s="1"/>
  <c r="K58" i="12" s="1"/>
  <c r="E58" i="12"/>
  <c r="J57" i="12" a="1"/>
  <c r="J57" i="12" s="1"/>
  <c r="I57" i="12" a="1"/>
  <c r="I57" i="12" s="1"/>
  <c r="E57" i="12"/>
  <c r="J56" i="12" a="1"/>
  <c r="J56" i="12" s="1"/>
  <c r="I56" i="12" a="1"/>
  <c r="I56" i="12" s="1"/>
  <c r="E56" i="12"/>
  <c r="J55" i="12" a="1"/>
  <c r="J55" i="12" s="1"/>
  <c r="I55" i="12" a="1"/>
  <c r="I55" i="12" s="1"/>
  <c r="E55" i="12"/>
  <c r="J54" i="12" a="1"/>
  <c r="J54" i="12" s="1"/>
  <c r="I54" i="12" a="1"/>
  <c r="I54" i="12" s="1"/>
  <c r="E54" i="12"/>
  <c r="J53" i="12" a="1"/>
  <c r="J53" i="12" s="1"/>
  <c r="I53" i="12" a="1"/>
  <c r="I53" i="12" s="1"/>
  <c r="E53" i="12"/>
  <c r="J52" i="12" a="1"/>
  <c r="J52" i="12" s="1"/>
  <c r="I52" i="12" a="1"/>
  <c r="I52" i="12" s="1"/>
  <c r="K52" i="12" s="1"/>
  <c r="E52" i="12"/>
  <c r="J51" i="12" a="1"/>
  <c r="J51" i="12" s="1"/>
  <c r="I51" i="12" a="1"/>
  <c r="I51" i="12" s="1"/>
  <c r="E51" i="12"/>
  <c r="J50" i="12" a="1"/>
  <c r="J50" i="12" s="1"/>
  <c r="I50" i="12" a="1"/>
  <c r="I50" i="12" s="1"/>
  <c r="K50" i="12" s="1"/>
  <c r="L50" i="12" s="1"/>
  <c r="E50" i="12"/>
  <c r="J49" i="12" a="1"/>
  <c r="J49" i="12" s="1"/>
  <c r="I49" i="12" a="1"/>
  <c r="I49" i="12" s="1"/>
  <c r="E49" i="12"/>
  <c r="J48" i="12" a="1"/>
  <c r="J48" i="12" s="1"/>
  <c r="I48" i="12" a="1"/>
  <c r="I48" i="12" s="1"/>
  <c r="E48" i="12"/>
  <c r="J47" i="12" a="1"/>
  <c r="J47" i="12" s="1"/>
  <c r="I47" i="12" a="1"/>
  <c r="I47" i="12" s="1"/>
  <c r="E47" i="12"/>
  <c r="J46" i="12" a="1"/>
  <c r="J46" i="12" s="1"/>
  <c r="I46" i="12" a="1"/>
  <c r="I46" i="12" s="1"/>
  <c r="E46" i="12"/>
  <c r="J45" i="12" a="1"/>
  <c r="J45" i="12" s="1"/>
  <c r="I45" i="12" a="1"/>
  <c r="I45" i="12" s="1"/>
  <c r="E45" i="12"/>
  <c r="J44" i="12" a="1"/>
  <c r="J44" i="12" s="1"/>
  <c r="I44" i="12" a="1"/>
  <c r="I44" i="12" s="1"/>
  <c r="K44" i="12" s="1"/>
  <c r="E44" i="12"/>
  <c r="J43" i="12" a="1"/>
  <c r="J43" i="12" s="1"/>
  <c r="I43" i="12" a="1"/>
  <c r="I43" i="12" s="1"/>
  <c r="E43" i="12"/>
  <c r="J42" i="12" a="1"/>
  <c r="J42" i="12" s="1"/>
  <c r="I42" i="12" a="1"/>
  <c r="I42" i="12" s="1"/>
  <c r="K42" i="12" s="1"/>
  <c r="E42" i="12"/>
  <c r="J41" i="12" a="1"/>
  <c r="J41" i="12" s="1"/>
  <c r="I41" i="12" a="1"/>
  <c r="I41" i="12" s="1"/>
  <c r="E41" i="12"/>
  <c r="J40" i="12" a="1"/>
  <c r="J40" i="12" s="1"/>
  <c r="I40" i="12" a="1"/>
  <c r="I40" i="12" s="1"/>
  <c r="E40" i="12"/>
  <c r="J39" i="12" a="1"/>
  <c r="J39" i="12" s="1"/>
  <c r="I39" i="12" a="1"/>
  <c r="I39" i="12" s="1"/>
  <c r="E39" i="12"/>
  <c r="J38" i="12" a="1"/>
  <c r="J38" i="12" s="1"/>
  <c r="I38" i="12" a="1"/>
  <c r="I38" i="12" s="1"/>
  <c r="E38" i="12"/>
  <c r="J37" i="12" a="1"/>
  <c r="J37" i="12" s="1"/>
  <c r="I37" i="12" a="1"/>
  <c r="I37" i="12" s="1"/>
  <c r="E37" i="12"/>
  <c r="J36" i="12" a="1"/>
  <c r="J36" i="12" s="1"/>
  <c r="I36" i="12" a="1"/>
  <c r="I36" i="12" s="1"/>
  <c r="K36" i="12" s="1"/>
  <c r="E36" i="12"/>
  <c r="J35" i="12" a="1"/>
  <c r="J35" i="12" s="1"/>
  <c r="I35" i="12" a="1"/>
  <c r="I35" i="12" s="1"/>
  <c r="E35" i="12"/>
  <c r="J34" i="12" a="1"/>
  <c r="J34" i="12" s="1"/>
  <c r="I34" i="12" a="1"/>
  <c r="I34" i="12" s="1"/>
  <c r="K34" i="12" s="1"/>
  <c r="E34" i="12"/>
  <c r="J33" i="12" a="1"/>
  <c r="J33" i="12" s="1"/>
  <c r="I33" i="12" a="1"/>
  <c r="I33" i="12" s="1"/>
  <c r="E33" i="12"/>
  <c r="J32" i="12" a="1"/>
  <c r="J32" i="12" s="1"/>
  <c r="I32" i="12" a="1"/>
  <c r="I32" i="12" s="1"/>
  <c r="E32" i="12"/>
  <c r="J31" i="12" a="1"/>
  <c r="J31" i="12" s="1"/>
  <c r="I31" i="12" a="1"/>
  <c r="I31" i="12" s="1"/>
  <c r="E31" i="12"/>
  <c r="J30" i="12" a="1"/>
  <c r="J30" i="12" s="1"/>
  <c r="I30" i="12" a="1"/>
  <c r="I30" i="12" s="1"/>
  <c r="E30" i="12"/>
  <c r="J29" i="12" a="1"/>
  <c r="J29" i="12" s="1"/>
  <c r="I29" i="12" a="1"/>
  <c r="I29" i="12" s="1"/>
  <c r="E29" i="12"/>
  <c r="J28" i="12" a="1"/>
  <c r="J28" i="12" s="1"/>
  <c r="I28" i="12" a="1"/>
  <c r="I28" i="12" s="1"/>
  <c r="K28" i="12" s="1"/>
  <c r="E28" i="12"/>
  <c r="J27" i="12" a="1"/>
  <c r="J27" i="12" s="1"/>
  <c r="I27" i="12" a="1"/>
  <c r="I27" i="12" s="1"/>
  <c r="E27" i="12"/>
  <c r="J26" i="12" a="1"/>
  <c r="J26" i="12" s="1"/>
  <c r="I26" i="12" a="1"/>
  <c r="I26" i="12" s="1"/>
  <c r="K26" i="12" s="1"/>
  <c r="E26" i="12"/>
  <c r="J25" i="12" a="1"/>
  <c r="J25" i="12" s="1"/>
  <c r="I25" i="12" a="1"/>
  <c r="I25" i="12" s="1"/>
  <c r="E25" i="12"/>
  <c r="J24" i="12" a="1"/>
  <c r="J24" i="12" s="1"/>
  <c r="I24" i="12" a="1"/>
  <c r="I24" i="12" s="1"/>
  <c r="E24" i="12"/>
  <c r="J23" i="12" a="1"/>
  <c r="J23" i="12" s="1"/>
  <c r="I23" i="12" a="1"/>
  <c r="I23" i="12" s="1"/>
  <c r="E23" i="12"/>
  <c r="J22" i="12" a="1"/>
  <c r="J22" i="12" s="1"/>
  <c r="I22" i="12" a="1"/>
  <c r="I22" i="12" s="1"/>
  <c r="E22" i="12"/>
  <c r="J21" i="12" a="1"/>
  <c r="J21" i="12" s="1"/>
  <c r="I21" i="12" a="1"/>
  <c r="I21" i="12" s="1"/>
  <c r="E21" i="12"/>
  <c r="J20" i="12" a="1"/>
  <c r="J20" i="12" s="1"/>
  <c r="I20" i="12" a="1"/>
  <c r="I20" i="12" s="1"/>
  <c r="K20" i="12" s="1"/>
  <c r="E20" i="12"/>
  <c r="J19" i="12" a="1"/>
  <c r="J19" i="12" s="1"/>
  <c r="I19" i="12" a="1"/>
  <c r="I19" i="12" s="1"/>
  <c r="E19" i="12"/>
  <c r="J18" i="12" a="1"/>
  <c r="J18" i="12" s="1"/>
  <c r="I18" i="12" a="1"/>
  <c r="I18" i="12" s="1"/>
  <c r="K18" i="12" s="1"/>
  <c r="E18" i="12"/>
  <c r="J17" i="12" a="1"/>
  <c r="J17" i="12" s="1"/>
  <c r="I17" i="12" a="1"/>
  <c r="I17" i="12" s="1"/>
  <c r="E17" i="12"/>
  <c r="V76" i="18" l="1"/>
  <c r="W61" i="18"/>
  <c r="V61" i="18" s="1"/>
  <c r="W60" i="18"/>
  <c r="V60" i="18" s="1"/>
  <c r="W58" i="18"/>
  <c r="V58" i="18" s="1"/>
  <c r="W65" i="18"/>
  <c r="V65" i="18" s="1"/>
  <c r="T62" i="18"/>
  <c r="V62" i="18" s="1"/>
  <c r="W90" i="18"/>
  <c r="V90" i="18" s="1"/>
  <c r="T48" i="18"/>
  <c r="U48" i="18" s="1"/>
  <c r="U82" i="18"/>
  <c r="V71" i="18"/>
  <c r="W86" i="18"/>
  <c r="V86" i="18" s="1"/>
  <c r="W39" i="18"/>
  <c r="V39" i="18" s="1"/>
  <c r="V89" i="18"/>
  <c r="V45" i="18"/>
  <c r="T139" i="18"/>
  <c r="V139" i="18" s="1"/>
  <c r="W138" i="18"/>
  <c r="V138" i="18" s="1"/>
  <c r="W110" i="18"/>
  <c r="V110" i="18" s="1"/>
  <c r="W111" i="18"/>
  <c r="V111" i="18" s="1"/>
  <c r="U161" i="18"/>
  <c r="U79" i="18"/>
  <c r="U181" i="18"/>
  <c r="U160" i="18"/>
  <c r="T128" i="18"/>
  <c r="W130" i="18"/>
  <c r="V130" i="18" s="1"/>
  <c r="V168" i="18"/>
  <c r="V102" i="18"/>
  <c r="V166" i="18"/>
  <c r="V179" i="18"/>
  <c r="V140" i="18"/>
  <c r="V198" i="18"/>
  <c r="V172" i="18"/>
  <c r="T133" i="18"/>
  <c r="U133" i="18" s="1"/>
  <c r="T147" i="18"/>
  <c r="W147" i="18"/>
  <c r="T117" i="18"/>
  <c r="W117" i="18"/>
  <c r="W135" i="18"/>
  <c r="V135" i="18" s="1"/>
  <c r="W118" i="18"/>
  <c r="T118" i="18"/>
  <c r="W115" i="18"/>
  <c r="T115" i="18"/>
  <c r="W120" i="18"/>
  <c r="T120" i="18"/>
  <c r="U120" i="18" s="1"/>
  <c r="T87" i="18"/>
  <c r="W87" i="18"/>
  <c r="T114" i="18"/>
  <c r="V114" i="18" s="1"/>
  <c r="T145" i="18"/>
  <c r="W145" i="18"/>
  <c r="W132" i="18"/>
  <c r="V132" i="18" s="1"/>
  <c r="T134" i="18"/>
  <c r="V134" i="18" s="1"/>
  <c r="T144" i="18"/>
  <c r="U144" i="18" s="1"/>
  <c r="W144" i="18"/>
  <c r="W148" i="18"/>
  <c r="T148" i="18"/>
  <c r="W142" i="18"/>
  <c r="V142" i="18" s="1"/>
  <c r="W136" i="18"/>
  <c r="V136" i="18" s="1"/>
  <c r="W119" i="18"/>
  <c r="V119" i="18" s="1"/>
  <c r="W137" i="18"/>
  <c r="V137" i="18" s="1"/>
  <c r="T146" i="18"/>
  <c r="U146" i="18" s="1"/>
  <c r="W116" i="18"/>
  <c r="V116" i="18" s="1"/>
  <c r="T131" i="18"/>
  <c r="U131" i="18" s="1"/>
  <c r="W30" i="18"/>
  <c r="V30" i="18" s="1"/>
  <c r="V83" i="18"/>
  <c r="V185" i="18"/>
  <c r="V165" i="18"/>
  <c r="V38" i="18"/>
  <c r="V200" i="18"/>
  <c r="V6" i="18"/>
  <c r="T35" i="17"/>
  <c r="U35" i="17" s="1"/>
  <c r="T136" i="17"/>
  <c r="U136" i="17" s="1"/>
  <c r="T22" i="18"/>
  <c r="W22" i="18"/>
  <c r="W29" i="18"/>
  <c r="T29" i="18"/>
  <c r="W31" i="18"/>
  <c r="T31" i="18"/>
  <c r="W123" i="18"/>
  <c r="T123" i="18"/>
  <c r="T57" i="18"/>
  <c r="U57" i="18" s="1"/>
  <c r="W57" i="18"/>
  <c r="W4" i="18"/>
  <c r="T4" i="18"/>
  <c r="T150" i="18"/>
  <c r="U150" i="18" s="1"/>
  <c r="W150" i="18"/>
  <c r="T3" i="18"/>
  <c r="U3" i="18" s="1"/>
  <c r="W3" i="18"/>
  <c r="W18" i="18"/>
  <c r="T18" i="18"/>
  <c r="W191" i="18"/>
  <c r="T191" i="18"/>
  <c r="T194" i="18"/>
  <c r="W194" i="18"/>
  <c r="W192" i="18"/>
  <c r="T192" i="18"/>
  <c r="T8" i="18"/>
  <c r="U8" i="18" s="1"/>
  <c r="W8" i="18"/>
  <c r="T64" i="18"/>
  <c r="W64" i="18"/>
  <c r="T149" i="18"/>
  <c r="U149" i="18" s="1"/>
  <c r="W149" i="18"/>
  <c r="T63" i="18"/>
  <c r="U63" i="18" s="1"/>
  <c r="W63" i="18"/>
  <c r="W7" i="18"/>
  <c r="T7" i="18"/>
  <c r="T17" i="18"/>
  <c r="U17" i="18" s="1"/>
  <c r="W17" i="18"/>
  <c r="T20" i="18"/>
  <c r="U20" i="18" s="1"/>
  <c r="W20" i="18"/>
  <c r="T16" i="18"/>
  <c r="U16" i="18" s="1"/>
  <c r="W16" i="18"/>
  <c r="T151" i="18"/>
  <c r="W151" i="18"/>
  <c r="T19" i="18"/>
  <c r="W19" i="18"/>
  <c r="W25" i="18"/>
  <c r="T25" i="18"/>
  <c r="T26" i="18"/>
  <c r="W26" i="18"/>
  <c r="T46" i="18"/>
  <c r="U46" i="18" s="1"/>
  <c r="W46" i="18"/>
  <c r="T190" i="18"/>
  <c r="U190" i="18" s="1"/>
  <c r="W190" i="18"/>
  <c r="T193" i="18"/>
  <c r="U193" i="18" s="1"/>
  <c r="W193" i="18"/>
  <c r="K138" i="12"/>
  <c r="K170" i="12"/>
  <c r="K194" i="12"/>
  <c r="K330" i="12"/>
  <c r="K354" i="12"/>
  <c r="K474" i="12"/>
  <c r="K482" i="12"/>
  <c r="K530" i="12"/>
  <c r="K546" i="12"/>
  <c r="K554" i="12"/>
  <c r="K562" i="12"/>
  <c r="K586" i="12"/>
  <c r="V5" i="18"/>
  <c r="K429" i="12"/>
  <c r="K533" i="12"/>
  <c r="K541" i="12"/>
  <c r="K549" i="12"/>
  <c r="K565" i="12"/>
  <c r="K573" i="12"/>
  <c r="K581" i="12"/>
  <c r="K589" i="12"/>
  <c r="K597" i="12"/>
  <c r="V72" i="18"/>
  <c r="K17" i="12"/>
  <c r="L17" i="12" s="1"/>
  <c r="K25" i="12"/>
  <c r="K33" i="12"/>
  <c r="K41" i="12"/>
  <c r="K49" i="12"/>
  <c r="K57" i="12"/>
  <c r="K73" i="12"/>
  <c r="K81" i="12"/>
  <c r="K89" i="12"/>
  <c r="L89" i="12" s="1"/>
  <c r="M89" i="12" s="1"/>
  <c r="K97" i="12"/>
  <c r="K105" i="12"/>
  <c r="K137" i="12"/>
  <c r="K153" i="12"/>
  <c r="K161" i="12"/>
  <c r="K201" i="12"/>
  <c r="K209" i="12"/>
  <c r="K217" i="12"/>
  <c r="K225" i="12"/>
  <c r="K233" i="12"/>
  <c r="K241" i="12"/>
  <c r="K249" i="12"/>
  <c r="K257" i="12"/>
  <c r="K265" i="12"/>
  <c r="K281" i="12"/>
  <c r="K297" i="12"/>
  <c r="K305" i="12"/>
  <c r="K313" i="12"/>
  <c r="K369" i="12"/>
  <c r="K385" i="12"/>
  <c r="K393" i="12"/>
  <c r="K401" i="12"/>
  <c r="K417" i="12"/>
  <c r="K441" i="12"/>
  <c r="K449" i="12"/>
  <c r="K457" i="12"/>
  <c r="K465" i="12"/>
  <c r="K473" i="12"/>
  <c r="K497" i="12"/>
  <c r="K505" i="12"/>
  <c r="K513" i="12"/>
  <c r="K529" i="12"/>
  <c r="L529" i="12" s="1"/>
  <c r="M529" i="12" s="1"/>
  <c r="K545" i="12"/>
  <c r="K569" i="12"/>
  <c r="V27" i="18"/>
  <c r="V175" i="18"/>
  <c r="U121" i="18"/>
  <c r="V52" i="18"/>
  <c r="V75" i="18"/>
  <c r="V51" i="18"/>
  <c r="U55" i="18"/>
  <c r="V125" i="18"/>
  <c r="V9" i="18"/>
  <c r="R111" i="17"/>
  <c r="S111" i="17" s="1"/>
  <c r="W111" i="17" s="1"/>
  <c r="U41" i="18"/>
  <c r="V156" i="18"/>
  <c r="V66" i="18"/>
  <c r="U107" i="18"/>
  <c r="K256" i="12"/>
  <c r="K19" i="12"/>
  <c r="K27" i="12"/>
  <c r="K35" i="12"/>
  <c r="K43" i="12"/>
  <c r="K51" i="12"/>
  <c r="L51" i="12" s="1"/>
  <c r="M51" i="12" s="1"/>
  <c r="K59" i="12"/>
  <c r="K75" i="12"/>
  <c r="K83" i="12"/>
  <c r="K91" i="12"/>
  <c r="K107" i="12"/>
  <c r="K115" i="12"/>
  <c r="K123" i="12"/>
  <c r="K139" i="12"/>
  <c r="L139" i="12" s="1"/>
  <c r="M139" i="12" s="1"/>
  <c r="K147" i="12"/>
  <c r="K155" i="12"/>
  <c r="K163" i="12"/>
  <c r="K171" i="12"/>
  <c r="K187" i="12"/>
  <c r="K195" i="12"/>
  <c r="K203" i="12"/>
  <c r="K219" i="12"/>
  <c r="L219" i="12" s="1"/>
  <c r="M219" i="12" s="1"/>
  <c r="K235" i="12"/>
  <c r="K251" i="12"/>
  <c r="K275" i="12"/>
  <c r="K291" i="12"/>
  <c r="K299" i="12"/>
  <c r="K307" i="12"/>
  <c r="K315" i="12"/>
  <c r="K323" i="12"/>
  <c r="K331" i="12"/>
  <c r="K339" i="12"/>
  <c r="K347" i="12"/>
  <c r="K355" i="12"/>
  <c r="K363" i="12"/>
  <c r="K379" i="12"/>
  <c r="K387" i="12"/>
  <c r="K395" i="12"/>
  <c r="L395" i="12" s="1"/>
  <c r="M395" i="12" s="1"/>
  <c r="K403" i="12"/>
  <c r="L403" i="12" s="1"/>
  <c r="M403" i="12" s="1"/>
  <c r="K411" i="12"/>
  <c r="K419" i="12"/>
  <c r="K427" i="12"/>
  <c r="K435" i="12"/>
  <c r="K443" i="12"/>
  <c r="K451" i="12"/>
  <c r="K459" i="12"/>
  <c r="K467" i="12"/>
  <c r="K475" i="12"/>
  <c r="K483" i="12"/>
  <c r="K491" i="12"/>
  <c r="K499" i="12"/>
  <c r="K507" i="12"/>
  <c r="K515" i="12"/>
  <c r="K523" i="12"/>
  <c r="L523" i="12" s="1"/>
  <c r="M523" i="12" s="1"/>
  <c r="K531" i="12"/>
  <c r="L531" i="12" s="1"/>
  <c r="M531" i="12" s="1"/>
  <c r="K539" i="12"/>
  <c r="K547" i="12"/>
  <c r="K555" i="12"/>
  <c r="K563" i="12"/>
  <c r="K571" i="12"/>
  <c r="K579" i="12"/>
  <c r="K587" i="12"/>
  <c r="L587" i="12" s="1"/>
  <c r="M587" i="12" s="1"/>
  <c r="K595" i="12"/>
  <c r="L595" i="12" s="1"/>
  <c r="M595" i="12" s="1"/>
  <c r="K603" i="12"/>
  <c r="K121" i="12"/>
  <c r="K129" i="12"/>
  <c r="K177" i="12"/>
  <c r="K321" i="12"/>
  <c r="K329" i="12"/>
  <c r="K337" i="12"/>
  <c r="L337" i="12" s="1"/>
  <c r="M337" i="12" s="1"/>
  <c r="K345" i="12"/>
  <c r="L345" i="12" s="1"/>
  <c r="M345" i="12" s="1"/>
  <c r="K353" i="12"/>
  <c r="K425" i="12"/>
  <c r="K481" i="12"/>
  <c r="K561" i="12"/>
  <c r="K156" i="12"/>
  <c r="K492" i="12"/>
  <c r="K588" i="12"/>
  <c r="K596" i="12"/>
  <c r="K604" i="12"/>
  <c r="V143" i="18"/>
  <c r="U143" i="18"/>
  <c r="K557" i="12"/>
  <c r="V100" i="18"/>
  <c r="V176" i="18"/>
  <c r="V164" i="18"/>
  <c r="U158" i="18"/>
  <c r="W160" i="17"/>
  <c r="V160" i="17" s="1"/>
  <c r="V182" i="18"/>
  <c r="V85" i="18"/>
  <c r="T132" i="17"/>
  <c r="V132" i="17" s="1"/>
  <c r="V173" i="18"/>
  <c r="V59" i="18"/>
  <c r="U124" i="18"/>
  <c r="V15" i="18"/>
  <c r="K65" i="12"/>
  <c r="L65" i="12" s="1"/>
  <c r="M65" i="12" s="1"/>
  <c r="K113" i="12"/>
  <c r="L113" i="12" s="1"/>
  <c r="M113" i="12" s="1"/>
  <c r="K289" i="12"/>
  <c r="L289" i="12" s="1"/>
  <c r="M289" i="12" s="1"/>
  <c r="K433" i="12"/>
  <c r="L433" i="12" s="1"/>
  <c r="M433" i="12" s="1"/>
  <c r="K521" i="12"/>
  <c r="L521" i="12" s="1"/>
  <c r="M521" i="12" s="1"/>
  <c r="K68" i="12"/>
  <c r="L68" i="12" s="1"/>
  <c r="M68" i="12" s="1"/>
  <c r="L92" i="12"/>
  <c r="K92" i="12"/>
  <c r="K100" i="12"/>
  <c r="L100" i="12" s="1"/>
  <c r="M100" i="12" s="1"/>
  <c r="K108" i="12"/>
  <c r="L108" i="12" s="1"/>
  <c r="M108" i="12" s="1"/>
  <c r="K140" i="12"/>
  <c r="L140" i="12" s="1"/>
  <c r="M140" i="12" s="1"/>
  <c r="L164" i="12"/>
  <c r="M164" i="12" s="1"/>
  <c r="K164" i="12"/>
  <c r="K172" i="12"/>
  <c r="L172" i="12" s="1"/>
  <c r="M172" i="12" s="1"/>
  <c r="K180" i="12"/>
  <c r="L180" i="12" s="1"/>
  <c r="M180" i="12" s="1"/>
  <c r="K196" i="12"/>
  <c r="L196" i="12" s="1"/>
  <c r="M196" i="12" s="1"/>
  <c r="K228" i="12"/>
  <c r="L228" i="12" s="1"/>
  <c r="M228" i="12" s="1"/>
  <c r="K268" i="12"/>
  <c r="L268" i="12" s="1"/>
  <c r="M268" i="12" s="1"/>
  <c r="K276" i="12"/>
  <c r="L276" i="12" s="1"/>
  <c r="M276" i="12" s="1"/>
  <c r="K300" i="12"/>
  <c r="L300" i="12" s="1"/>
  <c r="M300" i="12" s="1"/>
  <c r="K308" i="12"/>
  <c r="L308" i="12" s="1"/>
  <c r="M308" i="12" s="1"/>
  <c r="K316" i="12"/>
  <c r="L316" i="12" s="1"/>
  <c r="M316" i="12" s="1"/>
  <c r="K396" i="12"/>
  <c r="L396" i="12" s="1"/>
  <c r="M396" i="12" s="1"/>
  <c r="K436" i="12"/>
  <c r="L436" i="12" s="1"/>
  <c r="M436" i="12" s="1"/>
  <c r="K444" i="12"/>
  <c r="L444" i="12" s="1"/>
  <c r="M444" i="12" s="1"/>
  <c r="K468" i="12"/>
  <c r="L468" i="12" s="1"/>
  <c r="M468" i="12" s="1"/>
  <c r="K500" i="12"/>
  <c r="L500" i="12" s="1"/>
  <c r="M500" i="12" s="1"/>
  <c r="K508" i="12"/>
  <c r="L508" i="12" s="1"/>
  <c r="M508" i="12" s="1"/>
  <c r="K516" i="12"/>
  <c r="L516" i="12" s="1"/>
  <c r="M516" i="12" s="1"/>
  <c r="L524" i="12"/>
  <c r="M524" i="12" s="1"/>
  <c r="K524" i="12"/>
  <c r="K548" i="12"/>
  <c r="L548" i="12" s="1"/>
  <c r="M548" i="12" s="1"/>
  <c r="K580" i="12"/>
  <c r="L580" i="12" s="1"/>
  <c r="M580" i="12" s="1"/>
  <c r="V42" i="18"/>
  <c r="U42" i="18"/>
  <c r="K23" i="12"/>
  <c r="K31" i="12"/>
  <c r="L31" i="12" s="1"/>
  <c r="M31" i="12" s="1"/>
  <c r="K39" i="12"/>
  <c r="K47" i="12"/>
  <c r="K55" i="12"/>
  <c r="L55" i="12" s="1"/>
  <c r="M55" i="12" s="1"/>
  <c r="K63" i="12"/>
  <c r="L63" i="12" s="1"/>
  <c r="K71" i="12"/>
  <c r="L79" i="12"/>
  <c r="M79" i="12" s="1"/>
  <c r="K79" i="12"/>
  <c r="K87" i="12"/>
  <c r="K95" i="12"/>
  <c r="L95" i="12" s="1"/>
  <c r="M95" i="12" s="1"/>
  <c r="K103" i="12"/>
  <c r="K111" i="12"/>
  <c r="L111" i="12" s="1"/>
  <c r="M111" i="12" s="1"/>
  <c r="K119" i="12"/>
  <c r="K127" i="12"/>
  <c r="K135" i="12"/>
  <c r="K143" i="12"/>
  <c r="K151" i="12"/>
  <c r="K159" i="12"/>
  <c r="L159" i="12" s="1"/>
  <c r="M159" i="12" s="1"/>
  <c r="K167" i="12"/>
  <c r="L175" i="12"/>
  <c r="M175" i="12" s="1"/>
  <c r="K175" i="12"/>
  <c r="K183" i="12"/>
  <c r="K191" i="12"/>
  <c r="K199" i="12"/>
  <c r="L199" i="12" s="1"/>
  <c r="M199" i="12" s="1"/>
  <c r="K207" i="12"/>
  <c r="L207" i="12" s="1"/>
  <c r="M207" i="12" s="1"/>
  <c r="K215" i="12"/>
  <c r="K223" i="12"/>
  <c r="K231" i="12"/>
  <c r="K239" i="12"/>
  <c r="L239" i="12" s="1"/>
  <c r="M239" i="12" s="1"/>
  <c r="K247" i="12"/>
  <c r="L255" i="12"/>
  <c r="K255" i="12"/>
  <c r="K263" i="12"/>
  <c r="L263" i="12" s="1"/>
  <c r="M263" i="12" s="1"/>
  <c r="K271" i="12"/>
  <c r="K279" i="12"/>
  <c r="K287" i="12"/>
  <c r="K295" i="12"/>
  <c r="L295" i="12" s="1"/>
  <c r="M295" i="12" s="1"/>
  <c r="K303" i="12"/>
  <c r="K311" i="12"/>
  <c r="K319" i="12"/>
  <c r="L319" i="12" s="1"/>
  <c r="M319" i="12" s="1"/>
  <c r="K327" i="12"/>
  <c r="L327" i="12" s="1"/>
  <c r="M327" i="12" s="1"/>
  <c r="K335" i="12"/>
  <c r="L335" i="12" s="1"/>
  <c r="M335" i="12" s="1"/>
  <c r="K343" i="12"/>
  <c r="K351" i="12"/>
  <c r="K359" i="12"/>
  <c r="K367" i="12"/>
  <c r="L367" i="12" s="1"/>
  <c r="M367" i="12" s="1"/>
  <c r="K375" i="12"/>
  <c r="K383" i="12"/>
  <c r="K391" i="12"/>
  <c r="L391" i="12" s="1"/>
  <c r="M391" i="12" s="1"/>
  <c r="K399" i="12"/>
  <c r="K407" i="12"/>
  <c r="L407" i="12" s="1"/>
  <c r="M407" i="12" s="1"/>
  <c r="K415" i="12"/>
  <c r="K423" i="12"/>
  <c r="K431" i="12"/>
  <c r="K439" i="12"/>
  <c r="L439" i="12" s="1"/>
  <c r="M439" i="12" s="1"/>
  <c r="K447" i="12"/>
  <c r="K455" i="12"/>
  <c r="K463" i="12"/>
  <c r="K471" i="12"/>
  <c r="K479" i="12"/>
  <c r="K487" i="12"/>
  <c r="L487" i="12" s="1"/>
  <c r="M487" i="12" s="1"/>
  <c r="K495" i="12"/>
  <c r="K503" i="12"/>
  <c r="K511" i="12"/>
  <c r="K519" i="12"/>
  <c r="K527" i="12"/>
  <c r="K535" i="12"/>
  <c r="K543" i="12"/>
  <c r="K551" i="12"/>
  <c r="L551" i="12" s="1"/>
  <c r="M551" i="12" s="1"/>
  <c r="K559" i="12"/>
  <c r="K567" i="12"/>
  <c r="L567" i="12" s="1"/>
  <c r="M567" i="12" s="1"/>
  <c r="K575" i="12"/>
  <c r="L575" i="12" s="1"/>
  <c r="M575" i="12" s="1"/>
  <c r="K583" i="12"/>
  <c r="K591" i="12"/>
  <c r="K599" i="12"/>
  <c r="V37" i="18"/>
  <c r="V129" i="18"/>
  <c r="V80" i="18"/>
  <c r="U113" i="18"/>
  <c r="V113" i="18"/>
  <c r="L202" i="12"/>
  <c r="K202" i="12"/>
  <c r="K370" i="12"/>
  <c r="L370" i="12" s="1"/>
  <c r="M370" i="12" s="1"/>
  <c r="K386" i="12"/>
  <c r="L386" i="12" s="1"/>
  <c r="M386" i="12" s="1"/>
  <c r="L450" i="12"/>
  <c r="K450" i="12"/>
  <c r="K490" i="12"/>
  <c r="L490" i="12" s="1"/>
  <c r="M490" i="12" s="1"/>
  <c r="K506" i="12"/>
  <c r="L506" i="12" s="1"/>
  <c r="M506" i="12" s="1"/>
  <c r="K522" i="12"/>
  <c r="L522" i="12" s="1"/>
  <c r="M522" i="12" s="1"/>
  <c r="K538" i="12"/>
  <c r="L538" i="12" s="1"/>
  <c r="M538" i="12" s="1"/>
  <c r="K570" i="12"/>
  <c r="L570" i="12" s="1"/>
  <c r="M570" i="12" s="1"/>
  <c r="K578" i="12"/>
  <c r="L578" i="12" s="1"/>
  <c r="M578" i="12" s="1"/>
  <c r="K594" i="12"/>
  <c r="L594" i="12" s="1"/>
  <c r="M594" i="12" s="1"/>
  <c r="L169" i="12"/>
  <c r="M169" i="12" s="1"/>
  <c r="K169" i="12"/>
  <c r="K185" i="12"/>
  <c r="L185" i="12" s="1"/>
  <c r="M185" i="12" s="1"/>
  <c r="K361" i="12"/>
  <c r="L361" i="12" s="1"/>
  <c r="M361" i="12" s="1"/>
  <c r="K585" i="12"/>
  <c r="L585" i="12" s="1"/>
  <c r="M585" i="12" s="1"/>
  <c r="L250" i="12"/>
  <c r="M250" i="12" s="1"/>
  <c r="K250" i="12"/>
  <c r="K282" i="12"/>
  <c r="L282" i="12" s="1"/>
  <c r="M282" i="12" s="1"/>
  <c r="K21" i="12"/>
  <c r="K29" i="12"/>
  <c r="K37" i="12"/>
  <c r="K45" i="12"/>
  <c r="K53" i="12"/>
  <c r="K61" i="12"/>
  <c r="K69" i="12"/>
  <c r="L69" i="12" s="1"/>
  <c r="M69" i="12" s="1"/>
  <c r="K77" i="12"/>
  <c r="K85" i="12"/>
  <c r="K93" i="12"/>
  <c r="K101" i="12"/>
  <c r="K109" i="12"/>
  <c r="K117" i="12"/>
  <c r="K125" i="12"/>
  <c r="K133" i="12"/>
  <c r="K141" i="12"/>
  <c r="L141" i="12" s="1"/>
  <c r="M141" i="12" s="1"/>
  <c r="K149" i="12"/>
  <c r="K157" i="12"/>
  <c r="K165" i="12"/>
  <c r="K173" i="12"/>
  <c r="L173" i="12" s="1"/>
  <c r="M173" i="12" s="1"/>
  <c r="K181" i="12"/>
  <c r="K189" i="12"/>
  <c r="L197" i="12"/>
  <c r="M197" i="12" s="1"/>
  <c r="K197" i="12"/>
  <c r="K205" i="12"/>
  <c r="L213" i="12"/>
  <c r="K213" i="12"/>
  <c r="K221" i="12"/>
  <c r="K229" i="12"/>
  <c r="K237" i="12"/>
  <c r="L237" i="12" s="1"/>
  <c r="M237" i="12" s="1"/>
  <c r="K245" i="12"/>
  <c r="L245" i="12" s="1"/>
  <c r="M245" i="12" s="1"/>
  <c r="K253" i="12"/>
  <c r="K261" i="12"/>
  <c r="K269" i="12"/>
  <c r="K277" i="12"/>
  <c r="K285" i="12"/>
  <c r="L285" i="12" s="1"/>
  <c r="M285" i="12" s="1"/>
  <c r="K293" i="12"/>
  <c r="K301" i="12"/>
  <c r="K309" i="12"/>
  <c r="K317" i="12"/>
  <c r="K325" i="12"/>
  <c r="K333" i="12"/>
  <c r="K341" i="12"/>
  <c r="K349" i="12"/>
  <c r="L349" i="12" s="1"/>
  <c r="M349" i="12" s="1"/>
  <c r="K357" i="12"/>
  <c r="K365" i="12"/>
  <c r="K373" i="12"/>
  <c r="K381" i="12"/>
  <c r="K389" i="12"/>
  <c r="K397" i="12"/>
  <c r="K405" i="12"/>
  <c r="L405" i="12" s="1"/>
  <c r="M405" i="12" s="1"/>
  <c r="K413" i="12"/>
  <c r="K421" i="12"/>
  <c r="L421" i="12" s="1"/>
  <c r="M421" i="12" s="1"/>
  <c r="K437" i="12"/>
  <c r="K445" i="12"/>
  <c r="L445" i="12" s="1"/>
  <c r="M445" i="12" s="1"/>
  <c r="K453" i="12"/>
  <c r="K461" i="12"/>
  <c r="L469" i="12"/>
  <c r="M469" i="12" s="1"/>
  <c r="K469" i="12"/>
  <c r="K477" i="12"/>
  <c r="K485" i="12"/>
  <c r="K493" i="12"/>
  <c r="K501" i="12"/>
  <c r="K509" i="12"/>
  <c r="K517" i="12"/>
  <c r="K525" i="12"/>
  <c r="L525" i="12" s="1"/>
  <c r="M525" i="12" s="1"/>
  <c r="V81" i="18"/>
  <c r="U81" i="18"/>
  <c r="U174" i="18"/>
  <c r="V174" i="18"/>
  <c r="U10" i="18"/>
  <c r="V10" i="18"/>
  <c r="K537" i="12"/>
  <c r="L537" i="12" s="1"/>
  <c r="M537" i="12" s="1"/>
  <c r="K553" i="12"/>
  <c r="L553" i="12" s="1"/>
  <c r="M553" i="12" s="1"/>
  <c r="K146" i="12"/>
  <c r="L146" i="12" s="1"/>
  <c r="M146" i="12" s="1"/>
  <c r="K178" i="12"/>
  <c r="L178" i="12" s="1"/>
  <c r="M178" i="12" s="1"/>
  <c r="K226" i="12"/>
  <c r="L226" i="12" s="1"/>
  <c r="M226" i="12" s="1"/>
  <c r="K338" i="12"/>
  <c r="L338" i="12" s="1"/>
  <c r="M338" i="12" s="1"/>
  <c r="K24" i="12"/>
  <c r="K32" i="12"/>
  <c r="K40" i="12"/>
  <c r="L40" i="12" s="1"/>
  <c r="M40" i="12" s="1"/>
  <c r="K48" i="12"/>
  <c r="K56" i="12"/>
  <c r="L56" i="12" s="1"/>
  <c r="M56" i="12" s="1"/>
  <c r="K64" i="12"/>
  <c r="K72" i="12"/>
  <c r="L72" i="12" s="1"/>
  <c r="M72" i="12" s="1"/>
  <c r="L80" i="12"/>
  <c r="K80" i="12"/>
  <c r="K88" i="12"/>
  <c r="K96" i="12"/>
  <c r="K104" i="12"/>
  <c r="K112" i="12"/>
  <c r="K120" i="12"/>
  <c r="K128" i="12"/>
  <c r="K136" i="12"/>
  <c r="K144" i="12"/>
  <c r="K152" i="12"/>
  <c r="K160" i="12"/>
  <c r="L160" i="12" s="1"/>
  <c r="M160" i="12" s="1"/>
  <c r="K168" i="12"/>
  <c r="L168" i="12" s="1"/>
  <c r="M168" i="12" s="1"/>
  <c r="K176" i="12"/>
  <c r="K184" i="12"/>
  <c r="L184" i="12" s="1"/>
  <c r="M184" i="12" s="1"/>
  <c r="K192" i="12"/>
  <c r="K200" i="12"/>
  <c r="K208" i="12"/>
  <c r="L208" i="12" s="1"/>
  <c r="M208" i="12" s="1"/>
  <c r="K216" i="12"/>
  <c r="K224" i="12"/>
  <c r="K232" i="12"/>
  <c r="L232" i="12" s="1"/>
  <c r="M232" i="12" s="1"/>
  <c r="K272" i="12"/>
  <c r="K280" i="12"/>
  <c r="K288" i="12"/>
  <c r="K296" i="12"/>
  <c r="K304" i="12"/>
  <c r="K312" i="12"/>
  <c r="L312" i="12" s="1"/>
  <c r="M312" i="12" s="1"/>
  <c r="K320" i="12"/>
  <c r="L320" i="12" s="1"/>
  <c r="M320" i="12" s="1"/>
  <c r="K328" i="12"/>
  <c r="K336" i="12"/>
  <c r="K344" i="12"/>
  <c r="K352" i="12"/>
  <c r="K360" i="12"/>
  <c r="K368" i="12"/>
  <c r="K376" i="12"/>
  <c r="K384" i="12"/>
  <c r="L384" i="12" s="1"/>
  <c r="M384" i="12" s="1"/>
  <c r="K392" i="12"/>
  <c r="K400" i="12"/>
  <c r="K408" i="12"/>
  <c r="L408" i="12" s="1"/>
  <c r="M408" i="12" s="1"/>
  <c r="K416" i="12"/>
  <c r="K424" i="12"/>
  <c r="L424" i="12" s="1"/>
  <c r="M424" i="12" s="1"/>
  <c r="K432" i="12"/>
  <c r="K440" i="12"/>
  <c r="K448" i="12"/>
  <c r="K456" i="12"/>
  <c r="K464" i="12"/>
  <c r="K472" i="12"/>
  <c r="L472" i="12" s="1"/>
  <c r="M472" i="12" s="1"/>
  <c r="K480" i="12"/>
  <c r="K488" i="12"/>
  <c r="K496" i="12"/>
  <c r="L496" i="12" s="1"/>
  <c r="M496" i="12" s="1"/>
  <c r="K504" i="12"/>
  <c r="L504" i="12" s="1"/>
  <c r="M504" i="12" s="1"/>
  <c r="K512" i="12"/>
  <c r="L512" i="12" s="1"/>
  <c r="M512" i="12" s="1"/>
  <c r="K520" i="12"/>
  <c r="K528" i="12"/>
  <c r="K536" i="12"/>
  <c r="L536" i="12" s="1"/>
  <c r="M536" i="12" s="1"/>
  <c r="K544" i="12"/>
  <c r="K552" i="12"/>
  <c r="L552" i="12" s="1"/>
  <c r="M552" i="12" s="1"/>
  <c r="K560" i="12"/>
  <c r="K568" i="12"/>
  <c r="K576" i="12"/>
  <c r="K584" i="12"/>
  <c r="K592" i="12"/>
  <c r="K600" i="12"/>
  <c r="L600" i="12" s="1"/>
  <c r="M600" i="12" s="1"/>
  <c r="K145" i="12"/>
  <c r="L145" i="12" s="1"/>
  <c r="M145" i="12" s="1"/>
  <c r="K273" i="12"/>
  <c r="L273" i="12" s="1"/>
  <c r="M273" i="12" s="1"/>
  <c r="L90" i="12"/>
  <c r="M90" i="12" s="1"/>
  <c r="K90" i="12"/>
  <c r="L362" i="12"/>
  <c r="K362" i="12"/>
  <c r="K67" i="12"/>
  <c r="L67" i="12" s="1"/>
  <c r="M67" i="12" s="1"/>
  <c r="K99" i="12"/>
  <c r="L99" i="12" s="1"/>
  <c r="M99" i="12" s="1"/>
  <c r="L131" i="12"/>
  <c r="K131" i="12"/>
  <c r="L179" i="12"/>
  <c r="M179" i="12" s="1"/>
  <c r="K179" i="12"/>
  <c r="K211" i="12"/>
  <c r="L211" i="12" s="1"/>
  <c r="M211" i="12" s="1"/>
  <c r="K227" i="12"/>
  <c r="L227" i="12" s="1"/>
  <c r="M227" i="12" s="1"/>
  <c r="K243" i="12"/>
  <c r="L243" i="12" s="1"/>
  <c r="M243" i="12" s="1"/>
  <c r="K259" i="12"/>
  <c r="K267" i="12"/>
  <c r="K283" i="12"/>
  <c r="L283" i="12" s="1"/>
  <c r="M283" i="12" s="1"/>
  <c r="K371" i="12"/>
  <c r="L371" i="12" s="1"/>
  <c r="M371" i="12" s="1"/>
  <c r="U92" i="18"/>
  <c r="V92" i="18"/>
  <c r="V187" i="18"/>
  <c r="V93" i="18"/>
  <c r="U34" i="18"/>
  <c r="V34" i="18"/>
  <c r="K193" i="12"/>
  <c r="L193" i="12" s="1"/>
  <c r="M193" i="12" s="1"/>
  <c r="L377" i="12"/>
  <c r="M377" i="12" s="1"/>
  <c r="K377" i="12"/>
  <c r="K409" i="12"/>
  <c r="L409" i="12" s="1"/>
  <c r="M409" i="12" s="1"/>
  <c r="K154" i="12"/>
  <c r="L154" i="12" s="1"/>
  <c r="M154" i="12" s="1"/>
  <c r="K234" i="12"/>
  <c r="L234" i="12" s="1"/>
  <c r="M234" i="12" s="1"/>
  <c r="K22" i="12"/>
  <c r="K30" i="12"/>
  <c r="L30" i="12" s="1"/>
  <c r="M30" i="12" s="1"/>
  <c r="K38" i="12"/>
  <c r="K46" i="12"/>
  <c r="K54" i="12"/>
  <c r="K62" i="12"/>
  <c r="K70" i="12"/>
  <c r="K78" i="12"/>
  <c r="L78" i="12" s="1"/>
  <c r="M78" i="12" s="1"/>
  <c r="K86" i="12"/>
  <c r="L86" i="12" s="1"/>
  <c r="M86" i="12" s="1"/>
  <c r="K94" i="12"/>
  <c r="L94" i="12" s="1"/>
  <c r="M94" i="12" s="1"/>
  <c r="K102" i="12"/>
  <c r="K110" i="12"/>
  <c r="K118" i="12"/>
  <c r="K126" i="12"/>
  <c r="K134" i="12"/>
  <c r="L134" i="12" s="1"/>
  <c r="M134" i="12" s="1"/>
  <c r="K142" i="12"/>
  <c r="K150" i="12"/>
  <c r="L150" i="12" s="1"/>
  <c r="M150" i="12" s="1"/>
  <c r="K158" i="12"/>
  <c r="K166" i="12"/>
  <c r="K174" i="12"/>
  <c r="K182" i="12"/>
  <c r="K190" i="12"/>
  <c r="K198" i="12"/>
  <c r="K206" i="12"/>
  <c r="K214" i="12"/>
  <c r="L214" i="12" s="1"/>
  <c r="M214" i="12" s="1"/>
  <c r="K222" i="12"/>
  <c r="K230" i="12"/>
  <c r="K238" i="12"/>
  <c r="K246" i="12"/>
  <c r="L246" i="12" s="1"/>
  <c r="M246" i="12" s="1"/>
  <c r="K254" i="12"/>
  <c r="L254" i="12" s="1"/>
  <c r="M254" i="12" s="1"/>
  <c r="K262" i="12"/>
  <c r="K270" i="12"/>
  <c r="L270" i="12" s="1"/>
  <c r="M270" i="12" s="1"/>
  <c r="K278" i="12"/>
  <c r="L278" i="12" s="1"/>
  <c r="M278" i="12" s="1"/>
  <c r="K286" i="12"/>
  <c r="K294" i="12"/>
  <c r="K302" i="12"/>
  <c r="K310" i="12"/>
  <c r="K318" i="12"/>
  <c r="L318" i="12" s="1"/>
  <c r="M318" i="12" s="1"/>
  <c r="K326" i="12"/>
  <c r="K334" i="12"/>
  <c r="K342" i="12"/>
  <c r="L342" i="12" s="1"/>
  <c r="M342" i="12" s="1"/>
  <c r="K350" i="12"/>
  <c r="K358" i="12"/>
  <c r="K366" i="12"/>
  <c r="K374" i="12"/>
  <c r="L374" i="12" s="1"/>
  <c r="M374" i="12" s="1"/>
  <c r="K382" i="12"/>
  <c r="K390" i="12"/>
  <c r="K398" i="12"/>
  <c r="K406" i="12"/>
  <c r="K414" i="12"/>
  <c r="K422" i="12"/>
  <c r="K430" i="12"/>
  <c r="K438" i="12"/>
  <c r="K446" i="12"/>
  <c r="K454" i="12"/>
  <c r="L454" i="12" s="1"/>
  <c r="M454" i="12" s="1"/>
  <c r="K462" i="12"/>
  <c r="L470" i="12"/>
  <c r="M470" i="12" s="1"/>
  <c r="K470" i="12"/>
  <c r="K478" i="12"/>
  <c r="L486" i="12"/>
  <c r="M486" i="12" s="1"/>
  <c r="K486" i="12"/>
  <c r="K494" i="12"/>
  <c r="L494" i="12" s="1"/>
  <c r="M494" i="12" s="1"/>
  <c r="L502" i="12"/>
  <c r="M502" i="12" s="1"/>
  <c r="K502" i="12"/>
  <c r="K510" i="12"/>
  <c r="K518" i="12"/>
  <c r="K526" i="12"/>
  <c r="K534" i="12"/>
  <c r="L534" i="12" s="1"/>
  <c r="M534" i="12" s="1"/>
  <c r="K542" i="12"/>
  <c r="K550" i="12"/>
  <c r="K558" i="12"/>
  <c r="K566" i="12"/>
  <c r="K574" i="12"/>
  <c r="K582" i="12"/>
  <c r="L582" i="12" s="1"/>
  <c r="M582" i="12" s="1"/>
  <c r="K590" i="12"/>
  <c r="L590" i="12" s="1"/>
  <c r="M590" i="12" s="1"/>
  <c r="K598" i="12"/>
  <c r="T141" i="17"/>
  <c r="U141" i="17" s="1"/>
  <c r="W13" i="17"/>
  <c r="V13" i="17" s="1"/>
  <c r="T23" i="17"/>
  <c r="U23" i="17" s="1"/>
  <c r="W67" i="17"/>
  <c r="V67" i="17" s="1"/>
  <c r="W90" i="17"/>
  <c r="V90" i="17" s="1"/>
  <c r="R133" i="17"/>
  <c r="S133" i="17" s="1"/>
  <c r="T133" i="17" s="1"/>
  <c r="U133" i="17" s="1"/>
  <c r="T140" i="17"/>
  <c r="V140" i="17" s="1"/>
  <c r="T6" i="17"/>
  <c r="V6" i="17" s="1"/>
  <c r="R128" i="17"/>
  <c r="S128" i="17" s="1"/>
  <c r="W131" i="17"/>
  <c r="T131" i="17"/>
  <c r="U131" i="17" s="1"/>
  <c r="T161" i="17"/>
  <c r="U161" i="17" s="1"/>
  <c r="W161" i="17"/>
  <c r="T7" i="17"/>
  <c r="U7" i="17" s="1"/>
  <c r="W7" i="17"/>
  <c r="T66" i="17"/>
  <c r="U66" i="17" s="1"/>
  <c r="W66" i="17"/>
  <c r="R159" i="17"/>
  <c r="S159" i="17" s="1"/>
  <c r="R45" i="17"/>
  <c r="S45" i="17" s="1"/>
  <c r="T14" i="17"/>
  <c r="V14" i="17" s="1"/>
  <c r="W22" i="17"/>
  <c r="V22" i="17" s="1"/>
  <c r="R25" i="17"/>
  <c r="S25" i="17" s="1"/>
  <c r="T25" i="17" s="1"/>
  <c r="U25" i="17" s="1"/>
  <c r="W83" i="17"/>
  <c r="V83" i="17" s="1"/>
  <c r="W135" i="17"/>
  <c r="V135" i="17" s="1"/>
  <c r="T98" i="17"/>
  <c r="V98" i="17" s="1"/>
  <c r="V483" i="17"/>
  <c r="W37" i="17"/>
  <c r="V37" i="17" s="1"/>
  <c r="V547" i="17"/>
  <c r="W52" i="17"/>
  <c r="V52" i="17" s="1"/>
  <c r="R27" i="17"/>
  <c r="S27" i="17" s="1"/>
  <c r="T27" i="17" s="1"/>
  <c r="U27" i="17" s="1"/>
  <c r="R82" i="17"/>
  <c r="S82" i="17" s="1"/>
  <c r="T82" i="17" s="1"/>
  <c r="U82" i="17" s="1"/>
  <c r="W43" i="17"/>
  <c r="V43" i="17" s="1"/>
  <c r="U532" i="17"/>
  <c r="R102" i="17"/>
  <c r="S102" i="17" s="1"/>
  <c r="T76" i="17"/>
  <c r="V76" i="17" s="1"/>
  <c r="R138" i="17"/>
  <c r="S138" i="17" s="1"/>
  <c r="T138" i="17" s="1"/>
  <c r="U138" i="17" s="1"/>
  <c r="R55" i="17"/>
  <c r="S55" i="17" s="1"/>
  <c r="T55" i="17" s="1"/>
  <c r="U55" i="17" s="1"/>
  <c r="V548" i="17"/>
  <c r="R53" i="17"/>
  <c r="S53" i="17" s="1"/>
  <c r="T53" i="17" s="1"/>
  <c r="U53" i="17" s="1"/>
  <c r="R28" i="17"/>
  <c r="S28" i="17" s="1"/>
  <c r="T28" i="17" s="1"/>
  <c r="U28" i="17" s="1"/>
  <c r="T26" i="17"/>
  <c r="U26" i="17" s="1"/>
  <c r="R92" i="17"/>
  <c r="S92" i="17" s="1"/>
  <c r="R24" i="17"/>
  <c r="S24" i="17" s="1"/>
  <c r="W24" i="17" s="1"/>
  <c r="R99" i="17"/>
  <c r="S99" i="17" s="1"/>
  <c r="W99" i="17" s="1"/>
  <c r="R95" i="17"/>
  <c r="S95" i="17" s="1"/>
  <c r="W95" i="17" s="1"/>
  <c r="W100" i="17"/>
  <c r="V100" i="17" s="1"/>
  <c r="R65" i="17"/>
  <c r="S65" i="17" s="1"/>
  <c r="R44" i="17"/>
  <c r="S44" i="17" s="1"/>
  <c r="T44" i="17" s="1"/>
  <c r="U44" i="17" s="1"/>
  <c r="R148" i="17"/>
  <c r="S148" i="17" s="1"/>
  <c r="W148" i="17" s="1"/>
  <c r="T77" i="17"/>
  <c r="U77" i="17" s="1"/>
  <c r="W77" i="17"/>
  <c r="R105" i="17"/>
  <c r="S105" i="17" s="1"/>
  <c r="R137" i="17"/>
  <c r="S137" i="17" s="1"/>
  <c r="T137" i="17" s="1"/>
  <c r="U137" i="17" s="1"/>
  <c r="R107" i="17"/>
  <c r="S107" i="17" s="1"/>
  <c r="W107" i="17" s="1"/>
  <c r="T94" i="17"/>
  <c r="V94" i="17" s="1"/>
  <c r="R57" i="17"/>
  <c r="S57" i="17" s="1"/>
  <c r="R15" i="17"/>
  <c r="S15" i="17" s="1"/>
  <c r="R46" i="17"/>
  <c r="S46" i="17" s="1"/>
  <c r="T46" i="17" s="1"/>
  <c r="U46" i="17" s="1"/>
  <c r="R96" i="17"/>
  <c r="S96" i="17" s="1"/>
  <c r="T96" i="17" s="1"/>
  <c r="W72" i="17"/>
  <c r="V72" i="17" s="1"/>
  <c r="W130" i="17"/>
  <c r="T130" i="17"/>
  <c r="U130" i="17" s="1"/>
  <c r="W150" i="17"/>
  <c r="T150" i="17"/>
  <c r="U150" i="17" s="1"/>
  <c r="W129" i="17"/>
  <c r="T129" i="17"/>
  <c r="T54" i="17"/>
  <c r="U54" i="17" s="1"/>
  <c r="W54" i="17"/>
  <c r="W149" i="17"/>
  <c r="T149" i="17"/>
  <c r="U149" i="17" s="1"/>
  <c r="T50" i="17"/>
  <c r="U50" i="17" s="1"/>
  <c r="W50" i="17"/>
  <c r="R108" i="17"/>
  <c r="S108" i="17" s="1"/>
  <c r="T64" i="17"/>
  <c r="U64" i="17" s="1"/>
  <c r="W64" i="17"/>
  <c r="R81" i="17"/>
  <c r="S81" i="17" s="1"/>
  <c r="T81" i="17" s="1"/>
  <c r="U81" i="17" s="1"/>
  <c r="R73" i="17"/>
  <c r="S73" i="17" s="1"/>
  <c r="W73" i="17" s="1"/>
  <c r="R34" i="17"/>
  <c r="S34" i="17" s="1"/>
  <c r="W34" i="17" s="1"/>
  <c r="W143" i="17"/>
  <c r="V143" i="17" s="1"/>
  <c r="W120" i="17"/>
  <c r="V120" i="17" s="1"/>
  <c r="W97" i="17"/>
  <c r="T97" i="17"/>
  <c r="U97" i="17" s="1"/>
  <c r="R146" i="17"/>
  <c r="S146" i="17" s="1"/>
  <c r="R110" i="17"/>
  <c r="S110" i="17" s="1"/>
  <c r="W9" i="17"/>
  <c r="V9" i="17" s="1"/>
  <c r="R56" i="17"/>
  <c r="S56" i="17" s="1"/>
  <c r="T56" i="17" s="1"/>
  <c r="U56" i="17" s="1"/>
  <c r="R93" i="17"/>
  <c r="S93" i="17" s="1"/>
  <c r="W93" i="17" s="1"/>
  <c r="R47" i="17"/>
  <c r="S47" i="17" s="1"/>
  <c r="R80" i="17"/>
  <c r="S80" i="17" s="1"/>
  <c r="T80" i="17" s="1"/>
  <c r="U80" i="17" s="1"/>
  <c r="R79" i="17"/>
  <c r="S79" i="17" s="1"/>
  <c r="R68" i="17"/>
  <c r="S68" i="17" s="1"/>
  <c r="R106" i="17"/>
  <c r="S106" i="17" s="1"/>
  <c r="W106" i="17" s="1"/>
  <c r="R118" i="17"/>
  <c r="S118" i="17" s="1"/>
  <c r="W78" i="17"/>
  <c r="T78" i="17"/>
  <c r="U78" i="17" s="1"/>
  <c r="T48" i="17"/>
  <c r="U48" i="17" s="1"/>
  <c r="W48" i="17"/>
  <c r="T21" i="17"/>
  <c r="U21" i="17" s="1"/>
  <c r="W21" i="17"/>
  <c r="T33" i="17"/>
  <c r="U33" i="17" s="1"/>
  <c r="W33" i="17"/>
  <c r="W142" i="17"/>
  <c r="T142" i="17"/>
  <c r="U142" i="17" s="1"/>
  <c r="T29" i="17"/>
  <c r="U29" i="17" s="1"/>
  <c r="W29" i="17"/>
  <c r="T39" i="17"/>
  <c r="U39" i="17" s="1"/>
  <c r="W39" i="17"/>
  <c r="R16" i="17"/>
  <c r="S16" i="17" s="1"/>
  <c r="R17" i="17"/>
  <c r="S17" i="17" s="1"/>
  <c r="R36" i="17"/>
  <c r="S36" i="17" s="1"/>
  <c r="R145" i="17"/>
  <c r="S145" i="17" s="1"/>
  <c r="R147" i="17"/>
  <c r="S147" i="17" s="1"/>
  <c r="V515" i="17"/>
  <c r="U519" i="17"/>
  <c r="U493" i="17"/>
  <c r="V543" i="17"/>
  <c r="V523" i="17"/>
  <c r="V551" i="17"/>
  <c r="V476" i="17"/>
  <c r="V505" i="17"/>
  <c r="V496" i="17"/>
  <c r="V503" i="17"/>
  <c r="U475" i="17"/>
  <c r="V524" i="17"/>
  <c r="V470" i="17"/>
  <c r="V512" i="17"/>
  <c r="V559" i="17"/>
  <c r="V479" i="17"/>
  <c r="V541" i="17"/>
  <c r="U454" i="17"/>
  <c r="V527" i="17"/>
  <c r="V557" i="17"/>
  <c r="V451" i="17"/>
  <c r="U466" i="17"/>
  <c r="V521" i="17"/>
  <c r="V453" i="17"/>
  <c r="V569" i="17"/>
  <c r="U553" i="17"/>
  <c r="V487" i="17"/>
  <c r="V456" i="17"/>
  <c r="V477" i="17"/>
  <c r="U446" i="17"/>
  <c r="V509" i="17"/>
  <c r="V457" i="17"/>
  <c r="U552" i="17"/>
  <c r="U498" i="17"/>
  <c r="U564" i="17"/>
  <c r="U530" i="17"/>
  <c r="V526" i="17"/>
  <c r="V42" i="17"/>
  <c r="V481" i="17"/>
  <c r="V491" i="17"/>
  <c r="V484" i="17"/>
  <c r="V461" i="17"/>
  <c r="V556" i="17"/>
  <c r="V538" i="17"/>
  <c r="U518" i="17"/>
  <c r="V518" i="17"/>
  <c r="W115" i="17"/>
  <c r="V115" i="17" s="1"/>
  <c r="U41" i="17"/>
  <c r="U40" i="17"/>
  <c r="V550" i="17"/>
  <c r="W144" i="17"/>
  <c r="V144" i="17" s="1"/>
  <c r="U452" i="17"/>
  <c r="V452" i="17"/>
  <c r="V560" i="17"/>
  <c r="U542" i="17"/>
  <c r="V565" i="17"/>
  <c r="V554" i="17"/>
  <c r="R154" i="17"/>
  <c r="S154" i="17" s="1"/>
  <c r="T154" i="17" s="1"/>
  <c r="W19" i="17"/>
  <c r="V19" i="17" s="1"/>
  <c r="W71" i="17"/>
  <c r="V71" i="17" s="1"/>
  <c r="U501" i="17"/>
  <c r="V501" i="17"/>
  <c r="U555" i="17"/>
  <c r="V555" i="17"/>
  <c r="V561" i="17"/>
  <c r="R30" i="17"/>
  <c r="S30" i="17" s="1"/>
  <c r="W30" i="17" s="1"/>
  <c r="W122" i="17"/>
  <c r="V122" i="17" s="1"/>
  <c r="R112" i="17"/>
  <c r="S112" i="17" s="1"/>
  <c r="W112" i="17" s="1"/>
  <c r="W163" i="17"/>
  <c r="V163" i="17" s="1"/>
  <c r="W162" i="17"/>
  <c r="V162" i="17" s="1"/>
  <c r="R109" i="17"/>
  <c r="S109" i="17" s="1"/>
  <c r="W109" i="17" s="1"/>
  <c r="R164" i="17"/>
  <c r="S164" i="17" s="1"/>
  <c r="T164" i="17" s="1"/>
  <c r="U164" i="17" s="1"/>
  <c r="S31" i="17"/>
  <c r="T31" i="17" s="1"/>
  <c r="U31" i="17" s="1"/>
  <c r="W151" i="17"/>
  <c r="T151" i="17"/>
  <c r="W20" i="17"/>
  <c r="V20" i="17" s="1"/>
  <c r="T152" i="17"/>
  <c r="U152" i="17" s="1"/>
  <c r="W152" i="17"/>
  <c r="W123" i="17"/>
  <c r="T123" i="17"/>
  <c r="T59" i="17"/>
  <c r="W59" i="17"/>
  <c r="T156" i="17"/>
  <c r="U156" i="17" s="1"/>
  <c r="W156" i="17"/>
  <c r="T58" i="17"/>
  <c r="W58" i="17"/>
  <c r="W155" i="17"/>
  <c r="T155" i="17"/>
  <c r="W87" i="17"/>
  <c r="T87" i="17"/>
  <c r="T70" i="17"/>
  <c r="U70" i="17" s="1"/>
  <c r="W70" i="17"/>
  <c r="W49" i="17"/>
  <c r="T49" i="17"/>
  <c r="T89" i="17"/>
  <c r="U89" i="17" s="1"/>
  <c r="W89" i="17"/>
  <c r="W85" i="17"/>
  <c r="T85" i="17"/>
  <c r="T4" i="17"/>
  <c r="W4" i="17"/>
  <c r="W114" i="17"/>
  <c r="T114" i="17"/>
  <c r="T158" i="17"/>
  <c r="U158" i="17" s="1"/>
  <c r="W158" i="17"/>
  <c r="T134" i="17"/>
  <c r="W134" i="17"/>
  <c r="T139" i="17"/>
  <c r="W139" i="17"/>
  <c r="W11" i="17"/>
  <c r="T11" i="17"/>
  <c r="T104" i="17"/>
  <c r="W104" i="17"/>
  <c r="T61" i="17"/>
  <c r="U61" i="17" s="1"/>
  <c r="W61" i="17"/>
  <c r="T86" i="17"/>
  <c r="W86" i="17"/>
  <c r="W69" i="17"/>
  <c r="T69" i="17"/>
  <c r="T127" i="17"/>
  <c r="U127" i="17" s="1"/>
  <c r="W127" i="17"/>
  <c r="T121" i="17"/>
  <c r="U121" i="17" s="1"/>
  <c r="W121" i="17"/>
  <c r="W126" i="17"/>
  <c r="T126" i="17"/>
  <c r="T12" i="17"/>
  <c r="W12" i="17"/>
  <c r="W103" i="17"/>
  <c r="T103" i="17"/>
  <c r="W5" i="17"/>
  <c r="T5" i="17"/>
  <c r="T60" i="17"/>
  <c r="W60" i="17"/>
  <c r="W124" i="17"/>
  <c r="T124" i="17"/>
  <c r="T62" i="17"/>
  <c r="W62" i="17"/>
  <c r="W88" i="17"/>
  <c r="T88" i="17"/>
  <c r="T125" i="17"/>
  <c r="W125" i="17"/>
  <c r="W8" i="17"/>
  <c r="T8" i="17"/>
  <c r="W157" i="17"/>
  <c r="T157" i="17"/>
  <c r="T75" i="17"/>
  <c r="W75" i="17"/>
  <c r="T165" i="17"/>
  <c r="U165" i="17" s="1"/>
  <c r="W165" i="17"/>
  <c r="T153" i="17"/>
  <c r="U153" i="17" s="1"/>
  <c r="W116" i="17"/>
  <c r="V116" i="17" s="1"/>
  <c r="W51" i="17"/>
  <c r="V51" i="17" s="1"/>
  <c r="V528" i="17"/>
  <c r="V445" i="17"/>
  <c r="T117" i="17"/>
  <c r="V117" i="17" s="1"/>
  <c r="T119" i="17"/>
  <c r="W119" i="17"/>
  <c r="W3" i="17"/>
  <c r="V3" i="17" s="1"/>
  <c r="R38" i="17"/>
  <c r="S38" i="17" s="1"/>
  <c r="L27" i="12"/>
  <c r="M27" i="12" s="1"/>
  <c r="L75" i="12"/>
  <c r="M75" i="12" s="1"/>
  <c r="L123" i="12"/>
  <c r="M123" i="12" s="1"/>
  <c r="L475" i="12"/>
  <c r="M475" i="12" s="1"/>
  <c r="L491" i="12"/>
  <c r="M491" i="12" s="1"/>
  <c r="L603" i="12"/>
  <c r="M603" i="12" s="1"/>
  <c r="L509" i="12"/>
  <c r="M509" i="12" s="1"/>
  <c r="L360" i="12"/>
  <c r="M360" i="12" s="1"/>
  <c r="L568" i="12"/>
  <c r="M568" i="12" s="1"/>
  <c r="L584" i="12"/>
  <c r="M584" i="12" s="1"/>
  <c r="L62" i="12"/>
  <c r="M62" i="12" s="1"/>
  <c r="L478" i="12"/>
  <c r="M478" i="12" s="1"/>
  <c r="L510" i="12"/>
  <c r="M510" i="12" s="1"/>
  <c r="L526" i="12"/>
  <c r="M526" i="12" s="1"/>
  <c r="L558" i="12"/>
  <c r="M558" i="12" s="1"/>
  <c r="L363" i="12"/>
  <c r="M363" i="12" s="1"/>
  <c r="L480" i="12"/>
  <c r="M480" i="12" s="1"/>
  <c r="L528" i="12"/>
  <c r="M528" i="12" s="1"/>
  <c r="L544" i="12"/>
  <c r="M544" i="12" s="1"/>
  <c r="L555" i="12"/>
  <c r="M555" i="12" s="1"/>
  <c r="L451" i="12"/>
  <c r="M451" i="12" s="1"/>
  <c r="L483" i="12"/>
  <c r="M483" i="12" s="1"/>
  <c r="L579" i="12"/>
  <c r="M579" i="12" s="1"/>
  <c r="L422" i="12"/>
  <c r="M422" i="12" s="1"/>
  <c r="L286" i="12"/>
  <c r="M286" i="12" s="1"/>
  <c r="L417" i="12"/>
  <c r="M417" i="12" s="1"/>
  <c r="L306" i="12"/>
  <c r="M306" i="12" s="1"/>
  <c r="L192" i="12"/>
  <c r="M192" i="12" s="1"/>
  <c r="L355" i="12"/>
  <c r="M355" i="12" s="1"/>
  <c r="L460" i="12"/>
  <c r="M460" i="12" s="1"/>
  <c r="L527" i="12"/>
  <c r="M527" i="12" s="1"/>
  <c r="L114" i="12"/>
  <c r="M114" i="12" s="1"/>
  <c r="L261" i="12"/>
  <c r="M261" i="12" s="1"/>
  <c r="L387" i="12"/>
  <c r="M387" i="12" s="1"/>
  <c r="L476" i="12"/>
  <c r="M476" i="12" s="1"/>
  <c r="L492" i="12"/>
  <c r="M492" i="12" s="1"/>
  <c r="L473" i="12"/>
  <c r="M473" i="12" s="1"/>
  <c r="L392" i="12"/>
  <c r="M392" i="12" s="1"/>
  <c r="L513" i="12"/>
  <c r="M513" i="12" s="1"/>
  <c r="L117" i="12"/>
  <c r="M117" i="12" s="1"/>
  <c r="L84" i="12"/>
  <c r="M84" i="12" s="1"/>
  <c r="L115" i="12"/>
  <c r="M115" i="12" s="1"/>
  <c r="L136" i="12"/>
  <c r="M136" i="12" s="1"/>
  <c r="L346" i="12"/>
  <c r="M346" i="12" s="1"/>
  <c r="L383" i="12"/>
  <c r="M383" i="12" s="1"/>
  <c r="L435" i="12"/>
  <c r="M435" i="12" s="1"/>
  <c r="L540" i="12"/>
  <c r="M540" i="12" s="1"/>
  <c r="L577" i="12"/>
  <c r="M577" i="12" s="1"/>
  <c r="L103" i="12"/>
  <c r="M103" i="12" s="1"/>
  <c r="L519" i="12"/>
  <c r="M519" i="12" s="1"/>
  <c r="L484" i="12"/>
  <c r="M484" i="12" s="1"/>
  <c r="L74" i="12"/>
  <c r="M74" i="12" s="1"/>
  <c r="L183" i="12"/>
  <c r="M183" i="12" s="1"/>
  <c r="L364" i="12"/>
  <c r="M364" i="12" s="1"/>
  <c r="L107" i="12"/>
  <c r="M107" i="12" s="1"/>
  <c r="L591" i="12"/>
  <c r="M591" i="12" s="1"/>
  <c r="L505" i="12"/>
  <c r="M505" i="12" s="1"/>
  <c r="L495" i="12"/>
  <c r="M495" i="12" s="1"/>
  <c r="L515" i="12"/>
  <c r="M515" i="12" s="1"/>
  <c r="L187" i="12"/>
  <c r="M187" i="12" s="1"/>
  <c r="L269" i="12"/>
  <c r="M269" i="12" s="1"/>
  <c r="L279" i="12"/>
  <c r="M279" i="12" s="1"/>
  <c r="L45" i="12"/>
  <c r="M45" i="12" s="1"/>
  <c r="L143" i="12"/>
  <c r="M143" i="12" s="1"/>
  <c r="L265" i="12"/>
  <c r="M265" i="12" s="1"/>
  <c r="L35" i="12"/>
  <c r="M35" i="12" s="1"/>
  <c r="L126" i="12"/>
  <c r="M126" i="12" s="1"/>
  <c r="L317" i="12"/>
  <c r="M317" i="12" s="1"/>
  <c r="L415" i="12"/>
  <c r="M415" i="12" s="1"/>
  <c r="L249" i="12"/>
  <c r="M249" i="12" s="1"/>
  <c r="L258" i="12"/>
  <c r="M258" i="12" s="1"/>
  <c r="L322" i="12"/>
  <c r="M322" i="12" s="1"/>
  <c r="L533" i="12"/>
  <c r="M533" i="12" s="1"/>
  <c r="L375" i="12"/>
  <c r="M375" i="12" s="1"/>
  <c r="L466" i="12"/>
  <c r="M466" i="12" s="1"/>
  <c r="L82" i="12"/>
  <c r="M82" i="12" s="1"/>
  <c r="L102" i="12"/>
  <c r="M102" i="12" s="1"/>
  <c r="L401" i="12"/>
  <c r="M401" i="12" s="1"/>
  <c r="L321" i="12"/>
  <c r="M321" i="12" s="1"/>
  <c r="L420" i="12"/>
  <c r="M420" i="12" s="1"/>
  <c r="L471" i="12"/>
  <c r="M471" i="12" s="1"/>
  <c r="L98" i="12"/>
  <c r="M98" i="12" s="1"/>
  <c r="L122" i="12"/>
  <c r="M122" i="12" s="1"/>
  <c r="L132" i="12"/>
  <c r="M132" i="12" s="1"/>
  <c r="L225" i="12"/>
  <c r="M225" i="12" s="1"/>
  <c r="L293" i="12"/>
  <c r="M293" i="12" s="1"/>
  <c r="L303" i="12"/>
  <c r="M303" i="12" s="1"/>
  <c r="L357" i="12"/>
  <c r="M357" i="12" s="1"/>
  <c r="L569" i="12"/>
  <c r="M569" i="12" s="1"/>
  <c r="L482" i="12"/>
  <c r="M482" i="12" s="1"/>
  <c r="L81" i="12"/>
  <c r="M81" i="12" s="1"/>
  <c r="L124" i="12"/>
  <c r="M124" i="12" s="1"/>
  <c r="L161" i="12"/>
  <c r="M161" i="12" s="1"/>
  <c r="L305" i="12"/>
  <c r="M305" i="12" s="1"/>
  <c r="L559" i="12"/>
  <c r="M559" i="12" s="1"/>
  <c r="L110" i="12"/>
  <c r="M110" i="12" s="1"/>
  <c r="L190" i="12"/>
  <c r="M190" i="12" s="1"/>
  <c r="L284" i="12"/>
  <c r="M284" i="12" s="1"/>
  <c r="L372" i="12"/>
  <c r="M372" i="12" s="1"/>
  <c r="L43" i="12"/>
  <c r="M43" i="12" s="1"/>
  <c r="L58" i="12"/>
  <c r="M58" i="12" s="1"/>
  <c r="L106" i="12"/>
  <c r="M106" i="12" s="1"/>
  <c r="L120" i="12"/>
  <c r="M120" i="12" s="1"/>
  <c r="L148" i="12"/>
  <c r="M148" i="12" s="1"/>
  <c r="L195" i="12"/>
  <c r="M195" i="12" s="1"/>
  <c r="L257" i="12"/>
  <c r="M257" i="12" s="1"/>
  <c r="L315" i="12"/>
  <c r="M315" i="12" s="1"/>
  <c r="L427" i="12"/>
  <c r="M427" i="12" s="1"/>
  <c r="L448" i="12"/>
  <c r="M448" i="12" s="1"/>
  <c r="L458" i="12"/>
  <c r="M458" i="12" s="1"/>
  <c r="L546" i="12"/>
  <c r="M546" i="12" s="1"/>
  <c r="L333" i="12"/>
  <c r="M333" i="12" s="1"/>
  <c r="L347" i="12"/>
  <c r="M347" i="12" s="1"/>
  <c r="L299" i="12"/>
  <c r="M299" i="12" s="1"/>
  <c r="L28" i="12"/>
  <c r="M28" i="12" s="1"/>
  <c r="L186" i="12"/>
  <c r="M186" i="12" s="1"/>
  <c r="L267" i="12"/>
  <c r="M267" i="12" s="1"/>
  <c r="L379" i="12"/>
  <c r="M379" i="12" s="1"/>
  <c r="L418" i="12"/>
  <c r="M418" i="12" s="1"/>
  <c r="L498" i="12"/>
  <c r="M498" i="12" s="1"/>
  <c r="L556" i="12"/>
  <c r="M556" i="12" s="1"/>
  <c r="L561" i="12"/>
  <c r="M561" i="12" s="1"/>
  <c r="L566" i="12"/>
  <c r="M566" i="12" s="1"/>
  <c r="L596" i="12"/>
  <c r="M596" i="12" s="1"/>
  <c r="L601" i="12"/>
  <c r="M601" i="12" s="1"/>
  <c r="L19" i="12"/>
  <c r="M19" i="12" s="1"/>
  <c r="M255" i="12"/>
  <c r="M63" i="12"/>
  <c r="M92" i="12"/>
  <c r="M131" i="12"/>
  <c r="M50" i="12"/>
  <c r="M202" i="12"/>
  <c r="M80" i="12"/>
  <c r="M362" i="12"/>
  <c r="M213" i="12"/>
  <c r="M450" i="12"/>
  <c r="U62" i="18" l="1"/>
  <c r="V48" i="18"/>
  <c r="U139" i="18"/>
  <c r="U128" i="18"/>
  <c r="V128" i="18"/>
  <c r="U114" i="18"/>
  <c r="V133" i="18"/>
  <c r="U134" i="18"/>
  <c r="V131" i="18"/>
  <c r="V146" i="18"/>
  <c r="V145" i="18"/>
  <c r="U145" i="18"/>
  <c r="U118" i="18"/>
  <c r="V118" i="18"/>
  <c r="U148" i="18"/>
  <c r="V148" i="18"/>
  <c r="V144" i="18"/>
  <c r="U87" i="18"/>
  <c r="V87" i="18"/>
  <c r="U117" i="18"/>
  <c r="V117" i="18"/>
  <c r="V120" i="18"/>
  <c r="U115" i="18"/>
  <c r="V115" i="18"/>
  <c r="U147" i="18"/>
  <c r="V147" i="18"/>
  <c r="V35" i="17"/>
  <c r="V136" i="17"/>
  <c r="V16" i="18"/>
  <c r="V63" i="18"/>
  <c r="V3" i="18"/>
  <c r="V57" i="18"/>
  <c r="U123" i="18"/>
  <c r="V123" i="18"/>
  <c r="U31" i="18"/>
  <c r="V31" i="18"/>
  <c r="U29" i="18"/>
  <c r="V29" i="18"/>
  <c r="U22" i="18"/>
  <c r="V22" i="18"/>
  <c r="V190" i="18"/>
  <c r="V17" i="18"/>
  <c r="V150" i="18"/>
  <c r="W1" i="18"/>
  <c r="V193" i="18"/>
  <c r="U25" i="18"/>
  <c r="V25" i="18"/>
  <c r="V20" i="18"/>
  <c r="V149" i="18"/>
  <c r="V194" i="18"/>
  <c r="U194" i="18"/>
  <c r="U191" i="18"/>
  <c r="V191" i="18"/>
  <c r="U19" i="18"/>
  <c r="V19" i="18"/>
  <c r="U64" i="18"/>
  <c r="V64" i="18"/>
  <c r="V46" i="18"/>
  <c r="U7" i="18"/>
  <c r="V7" i="18"/>
  <c r="V8" i="18"/>
  <c r="V18" i="18"/>
  <c r="U18" i="18"/>
  <c r="V4" i="18"/>
  <c r="U4" i="18"/>
  <c r="U151" i="18"/>
  <c r="V151" i="18"/>
  <c r="U192" i="18"/>
  <c r="V192" i="18"/>
  <c r="U26" i="18"/>
  <c r="V26" i="18"/>
  <c r="T111" i="17"/>
  <c r="U111" i="17" s="1"/>
  <c r="U132" i="17"/>
  <c r="V23" i="17"/>
  <c r="V141" i="17"/>
  <c r="W27" i="17"/>
  <c r="V27" i="17" s="1"/>
  <c r="U140" i="17"/>
  <c r="U6" i="17"/>
  <c r="W133" i="17"/>
  <c r="V133" i="17" s="1"/>
  <c r="U98" i="17"/>
  <c r="W128" i="17"/>
  <c r="T128" i="17"/>
  <c r="V66" i="17"/>
  <c r="V7" i="17"/>
  <c r="V161" i="17"/>
  <c r="W45" i="17"/>
  <c r="T45" i="17"/>
  <c r="V131" i="17"/>
  <c r="T159" i="17"/>
  <c r="U159" i="17" s="1"/>
  <c r="W159" i="17"/>
  <c r="U14" i="17"/>
  <c r="W25" i="17"/>
  <c r="V25" i="17" s="1"/>
  <c r="W82" i="17"/>
  <c r="V82" i="17" s="1"/>
  <c r="W55" i="17"/>
  <c r="V55" i="17" s="1"/>
  <c r="U76" i="17"/>
  <c r="W53" i="17"/>
  <c r="V53" i="17" s="1"/>
  <c r="W102" i="17"/>
  <c r="T102" i="17"/>
  <c r="T24" i="17"/>
  <c r="U24" i="17" s="1"/>
  <c r="W138" i="17"/>
  <c r="V138" i="17" s="1"/>
  <c r="V26" i="17"/>
  <c r="W28" i="17"/>
  <c r="V28" i="17" s="1"/>
  <c r="T95" i="17"/>
  <c r="U95" i="17" s="1"/>
  <c r="T107" i="17"/>
  <c r="U107" i="17" s="1"/>
  <c r="W81" i="17"/>
  <c r="V81" i="17" s="1"/>
  <c r="T99" i="17"/>
  <c r="U99" i="17" s="1"/>
  <c r="V129" i="17"/>
  <c r="V77" i="17"/>
  <c r="W137" i="17"/>
  <c r="V137" i="17" s="1"/>
  <c r="T92" i="17"/>
  <c r="U92" i="17" s="1"/>
  <c r="W92" i="17"/>
  <c r="V149" i="17"/>
  <c r="V130" i="17"/>
  <c r="W44" i="17"/>
  <c r="V44" i="17" s="1"/>
  <c r="T106" i="17"/>
  <c r="U106" i="17" s="1"/>
  <c r="U129" i="17"/>
  <c r="W96" i="17"/>
  <c r="V96" i="17" s="1"/>
  <c r="T148" i="17"/>
  <c r="W46" i="17"/>
  <c r="V46" i="17" s="1"/>
  <c r="T65" i="17"/>
  <c r="U65" i="17" s="1"/>
  <c r="W65" i="17"/>
  <c r="V21" i="17"/>
  <c r="T57" i="17"/>
  <c r="U57" i="17" s="1"/>
  <c r="W57" i="17"/>
  <c r="T34" i="17"/>
  <c r="U34" i="17" s="1"/>
  <c r="T73" i="17"/>
  <c r="U73" i="17" s="1"/>
  <c r="V97" i="17"/>
  <c r="T105" i="17"/>
  <c r="U105" i="17" s="1"/>
  <c r="W105" i="17"/>
  <c r="U94" i="17"/>
  <c r="W56" i="17"/>
  <c r="V56" i="17" s="1"/>
  <c r="W15" i="17"/>
  <c r="T15" i="17"/>
  <c r="V150" i="17"/>
  <c r="V54" i="17"/>
  <c r="W108" i="17"/>
  <c r="T108" i="17"/>
  <c r="V50" i="17"/>
  <c r="V64" i="17"/>
  <c r="V48" i="17"/>
  <c r="W80" i="17"/>
  <c r="V80" i="17" s="1"/>
  <c r="W47" i="17"/>
  <c r="T47" i="17"/>
  <c r="W110" i="17"/>
  <c r="T110" i="17"/>
  <c r="W146" i="17"/>
  <c r="T146" i="17"/>
  <c r="T93" i="17"/>
  <c r="U93" i="17" s="1"/>
  <c r="W79" i="17"/>
  <c r="T79" i="17"/>
  <c r="V29" i="17"/>
  <c r="V33" i="17"/>
  <c r="V39" i="17"/>
  <c r="W118" i="17"/>
  <c r="T118" i="17"/>
  <c r="W68" i="17"/>
  <c r="T68" i="17"/>
  <c r="U96" i="17"/>
  <c r="V78" i="17"/>
  <c r="T145" i="17"/>
  <c r="U145" i="17" s="1"/>
  <c r="W145" i="17"/>
  <c r="W36" i="17"/>
  <c r="T36" i="17"/>
  <c r="W17" i="17"/>
  <c r="T17" i="17"/>
  <c r="T16" i="17"/>
  <c r="U16" i="17" s="1"/>
  <c r="W16" i="17"/>
  <c r="V142" i="17"/>
  <c r="T147" i="17"/>
  <c r="U147" i="17" s="1"/>
  <c r="W147" i="17"/>
  <c r="W31" i="17"/>
  <c r="T30" i="17"/>
  <c r="U30" i="17" s="1"/>
  <c r="W154" i="17"/>
  <c r="V154" i="17" s="1"/>
  <c r="V158" i="17"/>
  <c r="V70" i="17"/>
  <c r="W164" i="17"/>
  <c r="V164" i="17" s="1"/>
  <c r="V152" i="17"/>
  <c r="T112" i="17"/>
  <c r="V121" i="17"/>
  <c r="T109" i="17"/>
  <c r="U109" i="17" s="1"/>
  <c r="V156" i="17"/>
  <c r="V61" i="17"/>
  <c r="V89" i="17"/>
  <c r="U123" i="17"/>
  <c r="V123" i="17"/>
  <c r="V151" i="17"/>
  <c r="U151" i="17"/>
  <c r="U155" i="17"/>
  <c r="V155" i="17"/>
  <c r="V103" i="17"/>
  <c r="U103" i="17"/>
  <c r="U12" i="17"/>
  <c r="V12" i="17"/>
  <c r="U75" i="17"/>
  <c r="V75" i="17"/>
  <c r="U60" i="17"/>
  <c r="V60" i="17"/>
  <c r="U126" i="17"/>
  <c r="V126" i="17"/>
  <c r="V127" i="17"/>
  <c r="U139" i="17"/>
  <c r="V139" i="17"/>
  <c r="V134" i="17"/>
  <c r="U134" i="17"/>
  <c r="V49" i="17"/>
  <c r="U49" i="17"/>
  <c r="U5" i="17"/>
  <c r="V5" i="17"/>
  <c r="U4" i="17"/>
  <c r="V4" i="17"/>
  <c r="U58" i="17"/>
  <c r="V58" i="17"/>
  <c r="U125" i="17"/>
  <c r="V125" i="17"/>
  <c r="V69" i="17"/>
  <c r="U69" i="17"/>
  <c r="U85" i="17"/>
  <c r="V85" i="17"/>
  <c r="U157" i="17"/>
  <c r="V157" i="17"/>
  <c r="U154" i="17"/>
  <c r="V62" i="17"/>
  <c r="U62" i="17"/>
  <c r="U104" i="17"/>
  <c r="V104" i="17"/>
  <c r="U114" i="17"/>
  <c r="V114" i="17"/>
  <c r="U87" i="17"/>
  <c r="V87" i="17"/>
  <c r="V165" i="17"/>
  <c r="U8" i="17"/>
  <c r="V8" i="17"/>
  <c r="U88" i="17"/>
  <c r="V88" i="17"/>
  <c r="U124" i="17"/>
  <c r="V124" i="17"/>
  <c r="U86" i="17"/>
  <c r="V86" i="17"/>
  <c r="U11" i="17"/>
  <c r="V11" i="17"/>
  <c r="U59" i="17"/>
  <c r="V59" i="17"/>
  <c r="U117" i="17"/>
  <c r="V153" i="17"/>
  <c r="U119" i="17"/>
  <c r="V119" i="17"/>
  <c r="T38" i="17"/>
  <c r="W38" i="17"/>
  <c r="W113" i="17"/>
  <c r="T113" i="17"/>
  <c r="L511" i="12"/>
  <c r="M511" i="12" s="1"/>
  <c r="L153" i="12"/>
  <c r="M153" i="12" s="1"/>
  <c r="L604" i="12"/>
  <c r="M604" i="12" s="1"/>
  <c r="L248" i="12"/>
  <c r="M248" i="12" s="1"/>
  <c r="L324" i="12"/>
  <c r="M324" i="12" s="1"/>
  <c r="L291" i="12"/>
  <c r="M291" i="12" s="1"/>
  <c r="L241" i="12"/>
  <c r="M241" i="12" s="1"/>
  <c r="L220" i="12"/>
  <c r="M220" i="12" s="1"/>
  <c r="L147" i="12"/>
  <c r="M147" i="12" s="1"/>
  <c r="L48" i="12"/>
  <c r="M48" i="12" s="1"/>
  <c r="L133" i="12"/>
  <c r="M133" i="12" s="1"/>
  <c r="L332" i="12"/>
  <c r="M332" i="12" s="1"/>
  <c r="L592" i="12"/>
  <c r="M592" i="12" s="1"/>
  <c r="L352" i="12"/>
  <c r="M352" i="12" s="1"/>
  <c r="L343" i="12"/>
  <c r="M343" i="12" s="1"/>
  <c r="L467" i="12"/>
  <c r="M467" i="12" s="1"/>
  <c r="L112" i="12"/>
  <c r="M112" i="12" s="1"/>
  <c r="L266" i="12"/>
  <c r="M266" i="12" s="1"/>
  <c r="L292" i="12"/>
  <c r="M292" i="12" s="1"/>
  <c r="L251" i="12"/>
  <c r="M251" i="12" s="1"/>
  <c r="L499" i="12"/>
  <c r="M499" i="12" s="1"/>
  <c r="L97" i="12"/>
  <c r="M97" i="12" s="1"/>
  <c r="L571" i="12"/>
  <c r="M571" i="12" s="1"/>
  <c r="L589" i="12"/>
  <c r="M589" i="12" s="1"/>
  <c r="L209" i="12"/>
  <c r="M209" i="12" s="1"/>
  <c r="L156" i="12"/>
  <c r="M156" i="12" s="1"/>
  <c r="L44" i="12"/>
  <c r="M44" i="12" s="1"/>
  <c r="L423" i="12"/>
  <c r="M423" i="12" s="1"/>
  <c r="L105" i="12"/>
  <c r="M105" i="12" s="1"/>
  <c r="L323" i="12"/>
  <c r="M323" i="12" s="1"/>
  <c r="L574" i="12"/>
  <c r="M574" i="12" s="1"/>
  <c r="L326" i="12"/>
  <c r="M326" i="12" s="1"/>
  <c r="L341" i="12"/>
  <c r="M341" i="12" s="1"/>
  <c r="L462" i="12"/>
  <c r="M462" i="12" s="1"/>
  <c r="L96" i="12"/>
  <c r="M96" i="12" s="1"/>
  <c r="L203" i="12"/>
  <c r="M203" i="12" s="1"/>
  <c r="L274" i="12"/>
  <c r="M274" i="12" s="1"/>
  <c r="L191" i="12"/>
  <c r="M191" i="12" s="1"/>
  <c r="L453" i="12"/>
  <c r="M453" i="12" s="1"/>
  <c r="L76" i="12"/>
  <c r="M76" i="12" s="1"/>
  <c r="L49" i="12"/>
  <c r="M49" i="12" s="1"/>
  <c r="L288" i="12"/>
  <c r="M288" i="12" s="1"/>
  <c r="L518" i="12"/>
  <c r="M518" i="12" s="1"/>
  <c r="L314" i="12"/>
  <c r="M314" i="12" s="1"/>
  <c r="L399" i="12"/>
  <c r="M399" i="12" s="1"/>
  <c r="L547" i="12"/>
  <c r="M547" i="12" s="1"/>
  <c r="L222" i="12"/>
  <c r="M222" i="12" s="1"/>
  <c r="L465" i="12"/>
  <c r="M465" i="12" s="1"/>
  <c r="L34" i="12"/>
  <c r="M34" i="12" s="1"/>
  <c r="L545" i="12"/>
  <c r="M545" i="12" s="1"/>
  <c r="L259" i="12"/>
  <c r="M259" i="12" s="1"/>
  <c r="L429" i="12"/>
  <c r="M429" i="12" s="1"/>
  <c r="L348" i="12"/>
  <c r="M348" i="12" s="1"/>
  <c r="L88" i="12"/>
  <c r="M88" i="12" s="1"/>
  <c r="L25" i="12"/>
  <c r="M25" i="12" s="1"/>
  <c r="L549" i="12"/>
  <c r="M549" i="12" s="1"/>
  <c r="L368" i="12"/>
  <c r="M368" i="12" s="1"/>
  <c r="L514" i="12"/>
  <c r="M514" i="12" s="1"/>
  <c r="L224" i="12"/>
  <c r="M224" i="12" s="1"/>
  <c r="L562" i="12"/>
  <c r="M562" i="12" s="1"/>
  <c r="L280" i="12"/>
  <c r="M280" i="12" s="1"/>
  <c r="L598" i="12"/>
  <c r="M598" i="12" s="1"/>
  <c r="L602" i="12"/>
  <c r="M602" i="12" s="1"/>
  <c r="L21" i="12"/>
  <c r="M21" i="12" s="1"/>
  <c r="L588" i="12"/>
  <c r="M588" i="12" s="1"/>
  <c r="L61" i="12"/>
  <c r="M61" i="12" s="1"/>
  <c r="L298" i="12"/>
  <c r="M298" i="12" s="1"/>
  <c r="L167" i="12"/>
  <c r="M167" i="12" s="1"/>
  <c r="L229" i="12"/>
  <c r="M229" i="12" s="1"/>
  <c r="L432" i="12"/>
  <c r="M432" i="12" s="1"/>
  <c r="L331" i="12"/>
  <c r="M331" i="12" s="1"/>
  <c r="L116" i="12"/>
  <c r="M116" i="12" s="1"/>
  <c r="L119" i="12"/>
  <c r="M119" i="12" s="1"/>
  <c r="L550" i="12"/>
  <c r="M550" i="12" s="1"/>
  <c r="L64" i="12"/>
  <c r="M64" i="12" s="1"/>
  <c r="L277" i="12"/>
  <c r="M277" i="12" s="1"/>
  <c r="L174" i="12"/>
  <c r="M174" i="12" s="1"/>
  <c r="L104" i="12"/>
  <c r="M104" i="12" s="1"/>
  <c r="L36" i="12"/>
  <c r="M36" i="12" s="1"/>
  <c r="L389" i="12"/>
  <c r="M389" i="12" s="1"/>
  <c r="L46" i="12"/>
  <c r="M46" i="12" s="1"/>
  <c r="L170" i="12"/>
  <c r="M170" i="12" s="1"/>
  <c r="L215" i="12"/>
  <c r="M215" i="12" s="1"/>
  <c r="L53" i="12"/>
  <c r="M53" i="12" s="1"/>
  <c r="L565" i="12"/>
  <c r="M565" i="12" s="1"/>
  <c r="L200" i="12"/>
  <c r="M200" i="12" s="1"/>
  <c r="L428" i="12"/>
  <c r="M428" i="12" s="1"/>
  <c r="L378" i="12"/>
  <c r="M378" i="12" s="1"/>
  <c r="L573" i="12"/>
  <c r="M573" i="12" s="1"/>
  <c r="L344" i="12"/>
  <c r="M344" i="12" s="1"/>
  <c r="L41" i="12"/>
  <c r="M41" i="12" s="1"/>
  <c r="L125" i="12"/>
  <c r="M125" i="12" s="1"/>
  <c r="L380" i="12"/>
  <c r="M380" i="12" s="1"/>
  <c r="L60" i="12"/>
  <c r="M60" i="12" s="1"/>
  <c r="L354" i="12"/>
  <c r="M354" i="12" s="1"/>
  <c r="L381" i="12"/>
  <c r="M381" i="12" s="1"/>
  <c r="L130" i="12"/>
  <c r="M130" i="12" s="1"/>
  <c r="L37" i="12"/>
  <c r="M37" i="12" s="1"/>
  <c r="L101" i="12"/>
  <c r="M101" i="12" s="1"/>
  <c r="L177" i="12"/>
  <c r="M177" i="12" s="1"/>
  <c r="L91" i="12"/>
  <c r="M91" i="12" s="1"/>
  <c r="L296" i="12"/>
  <c r="M296" i="12" s="1"/>
  <c r="L311" i="12"/>
  <c r="M311" i="12" s="1"/>
  <c r="L201" i="12"/>
  <c r="M201" i="12" s="1"/>
  <c r="L434" i="12"/>
  <c r="M434" i="12" s="1"/>
  <c r="L430" i="12"/>
  <c r="M430" i="12" s="1"/>
  <c r="L231" i="12"/>
  <c r="M231" i="12" s="1"/>
  <c r="L542" i="12"/>
  <c r="M542" i="12" s="1"/>
  <c r="L307" i="12"/>
  <c r="M307" i="12" s="1"/>
  <c r="L71" i="12"/>
  <c r="M71" i="12" s="1"/>
  <c r="L252" i="12"/>
  <c r="M252" i="12" s="1"/>
  <c r="L410" i="12"/>
  <c r="M410" i="12" s="1"/>
  <c r="L189" i="12"/>
  <c r="M189" i="12" s="1"/>
  <c r="L474" i="12"/>
  <c r="M474" i="12" s="1"/>
  <c r="L520" i="12"/>
  <c r="M520" i="12" s="1"/>
  <c r="L221" i="12"/>
  <c r="M221" i="12" s="1"/>
  <c r="L26" i="12"/>
  <c r="M26" i="12" s="1"/>
  <c r="L32" i="12"/>
  <c r="M32" i="12" s="1"/>
  <c r="L455" i="12"/>
  <c r="M455" i="12" s="1"/>
  <c r="L47" i="12"/>
  <c r="M47" i="12" s="1"/>
  <c r="L256" i="12"/>
  <c r="M256" i="12" s="1"/>
  <c r="L373" i="12"/>
  <c r="M373" i="12" s="1"/>
  <c r="L149" i="12"/>
  <c r="M149" i="12" s="1"/>
  <c r="L431" i="12"/>
  <c r="M431" i="12" s="1"/>
  <c r="L194" i="12"/>
  <c r="M194" i="12" s="1"/>
  <c r="L24" i="12"/>
  <c r="M24" i="12" s="1"/>
  <c r="L330" i="12"/>
  <c r="M330" i="12" s="1"/>
  <c r="L411" i="12"/>
  <c r="M411" i="12" s="1"/>
  <c r="L416" i="12"/>
  <c r="M416" i="12" s="1"/>
  <c r="L54" i="12"/>
  <c r="M54" i="12" s="1"/>
  <c r="L304" i="12"/>
  <c r="M304" i="12" s="1"/>
  <c r="L459" i="12"/>
  <c r="M459" i="12" s="1"/>
  <c r="L353" i="12"/>
  <c r="M353" i="12" s="1"/>
  <c r="L390" i="12"/>
  <c r="M390" i="12" s="1"/>
  <c r="L309" i="12"/>
  <c r="M309" i="12" s="1"/>
  <c r="L66" i="12"/>
  <c r="M66" i="12" s="1"/>
  <c r="L464" i="12"/>
  <c r="M464" i="12" s="1"/>
  <c r="L535" i="12"/>
  <c r="M535" i="12" s="1"/>
  <c r="L437" i="12"/>
  <c r="M437" i="12" s="1"/>
  <c r="L181" i="12"/>
  <c r="M181" i="12" s="1"/>
  <c r="L557" i="12"/>
  <c r="M557" i="12" s="1"/>
  <c r="L507" i="12"/>
  <c r="M507" i="12" s="1"/>
  <c r="L456" i="12"/>
  <c r="M456" i="12" s="1"/>
  <c r="L22" i="12"/>
  <c r="M22" i="12" s="1"/>
  <c r="L438" i="12"/>
  <c r="M438" i="12" s="1"/>
  <c r="L425" i="12"/>
  <c r="M425" i="12" s="1"/>
  <c r="L479" i="12"/>
  <c r="M479" i="12" s="1"/>
  <c r="L275" i="12"/>
  <c r="M275" i="12" s="1"/>
  <c r="L70" i="12"/>
  <c r="M70" i="12" s="1"/>
  <c r="L144" i="12"/>
  <c r="M144" i="12" s="1"/>
  <c r="L449" i="12"/>
  <c r="M449" i="12" s="1"/>
  <c r="L262" i="12"/>
  <c r="M262" i="12" s="1"/>
  <c r="L188" i="12"/>
  <c r="M188" i="12" s="1"/>
  <c r="L413" i="12"/>
  <c r="M413" i="12" s="1"/>
  <c r="L402" i="12"/>
  <c r="M402" i="12" s="1"/>
  <c r="L182" i="12"/>
  <c r="M182" i="12" s="1"/>
  <c r="L397" i="12"/>
  <c r="M397" i="12" s="1"/>
  <c r="L52" i="12"/>
  <c r="M52" i="12" s="1"/>
  <c r="L142" i="12"/>
  <c r="M142" i="12" s="1"/>
  <c r="L443" i="12"/>
  <c r="M443" i="12" s="1"/>
  <c r="L121" i="12"/>
  <c r="M121" i="12" s="1"/>
  <c r="L394" i="12"/>
  <c r="M394" i="12" s="1"/>
  <c r="L138" i="12"/>
  <c r="M138" i="12" s="1"/>
  <c r="L543" i="12"/>
  <c r="M543" i="12" s="1"/>
  <c r="L398" i="12"/>
  <c r="M398" i="12" s="1"/>
  <c r="L158" i="12"/>
  <c r="M158" i="12" s="1"/>
  <c r="L218" i="12"/>
  <c r="M218" i="12" s="1"/>
  <c r="L597" i="12"/>
  <c r="M597" i="12" s="1"/>
  <c r="L356" i="12"/>
  <c r="M356" i="12" s="1"/>
  <c r="L532" i="12"/>
  <c r="M532" i="12" s="1"/>
  <c r="L328" i="12"/>
  <c r="M328" i="12" s="1"/>
  <c r="L503" i="12"/>
  <c r="M503" i="12" s="1"/>
  <c r="L419" i="12"/>
  <c r="M419" i="12" s="1"/>
  <c r="L446" i="12"/>
  <c r="M446" i="12" s="1"/>
  <c r="L93" i="12"/>
  <c r="M93" i="12" s="1"/>
  <c r="L382" i="12"/>
  <c r="M382" i="12" s="1"/>
  <c r="L572" i="12"/>
  <c r="M572" i="12" s="1"/>
  <c r="L313" i="12"/>
  <c r="M313" i="12" s="1"/>
  <c r="L452" i="12"/>
  <c r="M452" i="12" s="1"/>
  <c r="L85" i="12"/>
  <c r="M85" i="12" s="1"/>
  <c r="L272" i="12"/>
  <c r="M272" i="12" s="1"/>
  <c r="L29" i="12"/>
  <c r="M29" i="12" s="1"/>
  <c r="L59" i="12"/>
  <c r="M59" i="12" s="1"/>
  <c r="L554" i="12"/>
  <c r="M554" i="12" s="1"/>
  <c r="L581" i="12"/>
  <c r="M581" i="12" s="1"/>
  <c r="L198" i="12"/>
  <c r="M198" i="12" s="1"/>
  <c r="L442" i="12"/>
  <c r="M442" i="12" s="1"/>
  <c r="L129" i="12"/>
  <c r="M129" i="12" s="1"/>
  <c r="L294" i="12"/>
  <c r="M294" i="12" s="1"/>
  <c r="L235" i="12"/>
  <c r="M235" i="12" s="1"/>
  <c r="L414" i="12"/>
  <c r="M414" i="12" s="1"/>
  <c r="L135" i="12"/>
  <c r="M135" i="12" s="1"/>
  <c r="L73" i="12"/>
  <c r="M73" i="12" s="1"/>
  <c r="L501" i="12"/>
  <c r="M501" i="12" s="1"/>
  <c r="L477" i="12"/>
  <c r="M477" i="12" s="1"/>
  <c r="L166" i="12"/>
  <c r="M166" i="12" s="1"/>
  <c r="L271" i="12"/>
  <c r="M271" i="12" s="1"/>
  <c r="L287" i="12"/>
  <c r="M287" i="12" s="1"/>
  <c r="L77" i="12"/>
  <c r="M77" i="12" s="1"/>
  <c r="L247" i="12"/>
  <c r="M247" i="12" s="1"/>
  <c r="L369" i="12"/>
  <c r="M369" i="12" s="1"/>
  <c r="L488" i="12"/>
  <c r="M488" i="12" s="1"/>
  <c r="L204" i="12"/>
  <c r="M204" i="12" s="1"/>
  <c r="L493" i="12"/>
  <c r="M493" i="12" s="1"/>
  <c r="L33" i="12"/>
  <c r="M33" i="12" s="1"/>
  <c r="L217" i="12"/>
  <c r="M217" i="12" s="1"/>
  <c r="L359" i="12"/>
  <c r="M359" i="12" s="1"/>
  <c r="L485" i="12"/>
  <c r="M485" i="12" s="1"/>
  <c r="L563" i="12"/>
  <c r="M563" i="12" s="1"/>
  <c r="L461" i="12"/>
  <c r="M461" i="12" s="1"/>
  <c r="L162" i="12"/>
  <c r="M162" i="12" s="1"/>
  <c r="L489" i="12"/>
  <c r="M489" i="12" s="1"/>
  <c r="L216" i="12"/>
  <c r="M216" i="12" s="1"/>
  <c r="L388" i="12"/>
  <c r="M388" i="12" s="1"/>
  <c r="L336" i="12"/>
  <c r="M336" i="12" s="1"/>
  <c r="L152" i="12"/>
  <c r="M152" i="12" s="1"/>
  <c r="L206" i="12"/>
  <c r="M206" i="12" s="1"/>
  <c r="L20" i="12"/>
  <c r="M20" i="12" s="1"/>
  <c r="L23" i="12"/>
  <c r="M23" i="12" s="1"/>
  <c r="L530" i="12"/>
  <c r="M530" i="12" s="1"/>
  <c r="L155" i="12"/>
  <c r="M155" i="12" s="1"/>
  <c r="L481" i="12"/>
  <c r="M481" i="12" s="1"/>
  <c r="L244" i="12"/>
  <c r="M244" i="12" s="1"/>
  <c r="L171" i="12"/>
  <c r="M171" i="12" s="1"/>
  <c r="L365" i="12"/>
  <c r="M365" i="12" s="1"/>
  <c r="L210" i="12"/>
  <c r="M210" i="12" s="1"/>
  <c r="L253" i="12"/>
  <c r="M253" i="12" s="1"/>
  <c r="L334" i="12"/>
  <c r="M334" i="12" s="1"/>
  <c r="L233" i="12"/>
  <c r="M233" i="12" s="1"/>
  <c r="L242" i="12"/>
  <c r="M242" i="12" s="1"/>
  <c r="L599" i="12"/>
  <c r="M599" i="12" s="1"/>
  <c r="L463" i="12"/>
  <c r="M463" i="12" s="1"/>
  <c r="L351" i="12"/>
  <c r="M351" i="12" s="1"/>
  <c r="L42" i="12"/>
  <c r="M42" i="12" s="1"/>
  <c r="L205" i="12"/>
  <c r="M205" i="12" s="1"/>
  <c r="L358" i="12"/>
  <c r="M358" i="12" s="1"/>
  <c r="L310" i="12"/>
  <c r="M310" i="12" s="1"/>
  <c r="L128" i="12"/>
  <c r="M128" i="12" s="1"/>
  <c r="L366" i="12"/>
  <c r="M366" i="12" s="1"/>
  <c r="L325" i="12"/>
  <c r="M325" i="12" s="1"/>
  <c r="L426" i="12"/>
  <c r="M426" i="12" s="1"/>
  <c r="L39" i="12"/>
  <c r="M39" i="12" s="1"/>
  <c r="L87" i="12"/>
  <c r="M87" i="12" s="1"/>
  <c r="L406" i="12"/>
  <c r="M406" i="12" s="1"/>
  <c r="L564" i="12"/>
  <c r="M564" i="12" s="1"/>
  <c r="L240" i="12"/>
  <c r="M240" i="12" s="1"/>
  <c r="L457" i="12"/>
  <c r="M457" i="12" s="1"/>
  <c r="L583" i="12"/>
  <c r="M583" i="12" s="1"/>
  <c r="L412" i="12"/>
  <c r="M412" i="12" s="1"/>
  <c r="L340" i="12"/>
  <c r="M340" i="12" s="1"/>
  <c r="L151" i="12"/>
  <c r="M151" i="12" s="1"/>
  <c r="L586" i="12"/>
  <c r="M586" i="12" s="1"/>
  <c r="L165" i="12"/>
  <c r="M165" i="12" s="1"/>
  <c r="L441" i="12"/>
  <c r="M441" i="12" s="1"/>
  <c r="L301" i="12"/>
  <c r="M301" i="12" s="1"/>
  <c r="L83" i="12"/>
  <c r="M83" i="12" s="1"/>
  <c r="L385" i="12"/>
  <c r="M385" i="12" s="1"/>
  <c r="L260" i="12"/>
  <c r="M260" i="12" s="1"/>
  <c r="L290" i="12"/>
  <c r="M290" i="12" s="1"/>
  <c r="L404" i="12"/>
  <c r="M404" i="12" s="1"/>
  <c r="L350" i="12"/>
  <c r="M350" i="12" s="1"/>
  <c r="L109" i="12"/>
  <c r="M109" i="12" s="1"/>
  <c r="L264" i="12"/>
  <c r="M264" i="12" s="1"/>
  <c r="L560" i="12"/>
  <c r="M560" i="12" s="1"/>
  <c r="L238" i="12"/>
  <c r="M238" i="12" s="1"/>
  <c r="L447" i="12"/>
  <c r="M447" i="12" s="1"/>
  <c r="L576" i="12"/>
  <c r="M576" i="12" s="1"/>
  <c r="L400" i="12"/>
  <c r="M400" i="12" s="1"/>
  <c r="L329" i="12"/>
  <c r="M329" i="12" s="1"/>
  <c r="L38" i="12"/>
  <c r="M38" i="12" s="1"/>
  <c r="L541" i="12"/>
  <c r="M541" i="12" s="1"/>
  <c r="L163" i="12"/>
  <c r="M163" i="12" s="1"/>
  <c r="L176" i="12"/>
  <c r="M176" i="12" s="1"/>
  <c r="L230" i="12"/>
  <c r="M230" i="12" s="1"/>
  <c r="L57" i="12"/>
  <c r="M57" i="12" s="1"/>
  <c r="L339" i="12"/>
  <c r="M339" i="12" s="1"/>
  <c r="L376" i="12"/>
  <c r="M376" i="12" s="1"/>
  <c r="L281" i="12"/>
  <c r="M281" i="12" s="1"/>
  <c r="L302" i="12"/>
  <c r="M302" i="12" s="1"/>
  <c r="L127" i="12"/>
  <c r="M127" i="12" s="1"/>
  <c r="L212" i="12"/>
  <c r="M212" i="12" s="1"/>
  <c r="L517" i="12"/>
  <c r="M517" i="12" s="1"/>
  <c r="L236" i="12"/>
  <c r="M236" i="12" s="1"/>
  <c r="L440" i="12"/>
  <c r="M440" i="12" s="1"/>
  <c r="L539" i="12"/>
  <c r="M539" i="12" s="1"/>
  <c r="L393" i="12"/>
  <c r="M393" i="12" s="1"/>
  <c r="L297" i="12"/>
  <c r="M297" i="12" s="1"/>
  <c r="L157" i="12"/>
  <c r="M157" i="12" s="1"/>
  <c r="L497" i="12"/>
  <c r="M497" i="12" s="1"/>
  <c r="L137" i="12"/>
  <c r="M137" i="12" s="1"/>
  <c r="L593" i="12"/>
  <c r="M593" i="12" s="1"/>
  <c r="L223" i="12"/>
  <c r="M223" i="12" s="1"/>
  <c r="L118" i="12"/>
  <c r="M118" i="12" s="1"/>
  <c r="L18" i="12"/>
  <c r="M18" i="12" s="1"/>
  <c r="M17" i="12"/>
  <c r="K27" i="5"/>
  <c r="K26" i="5"/>
  <c r="K25" i="5"/>
  <c r="K24" i="5"/>
  <c r="K23" i="5"/>
  <c r="K22" i="5"/>
  <c r="K21" i="5"/>
  <c r="K20" i="5"/>
  <c r="K19" i="5"/>
  <c r="K18" i="5"/>
  <c r="K17" i="5"/>
  <c r="K16" i="5"/>
  <c r="V1" i="18" l="1"/>
  <c r="U1" i="18"/>
  <c r="V31" i="17"/>
  <c r="W1" i="17"/>
  <c r="V111" i="17"/>
  <c r="U128" i="17"/>
  <c r="V128" i="17"/>
  <c r="V159" i="17"/>
  <c r="U45" i="17"/>
  <c r="V45" i="17"/>
  <c r="V24" i="17"/>
  <c r="U102" i="17"/>
  <c r="V102" i="17"/>
  <c r="V57" i="17"/>
  <c r="V95" i="17"/>
  <c r="V65" i="17"/>
  <c r="V92" i="17"/>
  <c r="V107" i="17"/>
  <c r="V99" i="17"/>
  <c r="V73" i="17"/>
  <c r="V106" i="17"/>
  <c r="U148" i="17"/>
  <c r="V148" i="17"/>
  <c r="V105" i="17"/>
  <c r="U15" i="17"/>
  <c r="V15" i="17"/>
  <c r="V93" i="17"/>
  <c r="V34" i="17"/>
  <c r="U108" i="17"/>
  <c r="V108" i="17"/>
  <c r="U146" i="17"/>
  <c r="V146" i="17"/>
  <c r="V110" i="17"/>
  <c r="U110" i="17"/>
  <c r="U79" i="17"/>
  <c r="V79" i="17"/>
  <c r="U47" i="17"/>
  <c r="V47" i="17"/>
  <c r="V16" i="17"/>
  <c r="U68" i="17"/>
  <c r="V68" i="17"/>
  <c r="V118" i="17"/>
  <c r="U118" i="17"/>
  <c r="U36" i="17"/>
  <c r="V36" i="17"/>
  <c r="V145" i="17"/>
  <c r="V147" i="17"/>
  <c r="U17" i="17"/>
  <c r="V17" i="17"/>
  <c r="V30" i="17"/>
  <c r="V109" i="17"/>
  <c r="U112" i="17"/>
  <c r="V112" i="17"/>
  <c r="U38" i="17"/>
  <c r="V38" i="17"/>
  <c r="V113" i="17"/>
  <c r="U113" i="17"/>
  <c r="U1" i="17" l="1"/>
  <c r="V1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<sst xmlns="http://schemas.openxmlformats.org/spreadsheetml/2006/main" count="4472" uniqueCount="241">
  <si>
    <t>MATALAN SHIPPING CARTON RFQ</t>
  </si>
  <si>
    <t>Version: 1.2</t>
  </si>
  <si>
    <t>Quoted by:</t>
  </si>
  <si>
    <t xml:space="preserve">NOTE: </t>
  </si>
  <si>
    <t>Supply to:</t>
  </si>
  <si>
    <t>Matalan Product Factories</t>
  </si>
  <si>
    <t>1-  Standard cartons from A1~D3 need to be quoted by each</t>
  </si>
  <si>
    <t>Delivery:</t>
  </si>
  <si>
    <t>EX-Works</t>
  </si>
  <si>
    <t>2-  The Price Calculator only for custom carton in RSC(Regular Slotted Carton, FEFCO-0201) style</t>
  </si>
  <si>
    <t>Payments</t>
  </si>
  <si>
    <t>Net 45 Days (end of month invoicing)</t>
  </si>
  <si>
    <t>3-  The results is EX-Works price with MOQ&gt;=200pcs, (MOQ=Minimum Order Quantity)</t>
  </si>
  <si>
    <t>VAT:</t>
  </si>
  <si>
    <t>Included</t>
  </si>
  <si>
    <t>4- Packaging Factory will charge CNY 300.00 fee for PO quantity less than MOQ=200;  If printing is different on any line item that is considered an unique PO quantity.</t>
  </si>
  <si>
    <t>MOQ/MDQ:</t>
  </si>
  <si>
    <t>Drawings:</t>
  </si>
  <si>
    <t>Attached Matalan standard carton drawings</t>
  </si>
  <si>
    <t>5-  Price rate will be reviewed every six months.     Pricing to be advised no less than 30 days prior to the next 6 month term.</t>
  </si>
  <si>
    <t>Date:</t>
  </si>
  <si>
    <t>STANDARD CARTON</t>
  </si>
  <si>
    <t>CTN#</t>
  </si>
  <si>
    <t>CARTON OUTSIDE DIMENSION(mm)</t>
  </si>
  <si>
    <t>CARTON STYLE</t>
  </si>
  <si>
    <t>PRINTING</t>
  </si>
  <si>
    <t>FLUTE TYPE</t>
  </si>
  <si>
    <t>ECT(lbs/in)</t>
  </si>
  <si>
    <t>BLANK SIZE(mm)</t>
  </si>
  <si>
    <t>AREA(sqm)</t>
  </si>
  <si>
    <t>MOQ</t>
  </si>
  <si>
    <t>EXW Price</t>
  </si>
  <si>
    <t>Length</t>
  </si>
  <si>
    <t>Width</t>
  </si>
  <si>
    <t>Height</t>
  </si>
  <si>
    <t>Rebates % for Matalan</t>
  </si>
  <si>
    <t>Rebates￥ for Matalan</t>
  </si>
  <si>
    <t>A1</t>
  </si>
  <si>
    <r>
      <rPr>
        <sz val="11"/>
        <color rgb="FF000000"/>
        <rFont val="Aptos Narrow"/>
        <family val="2"/>
        <scheme val="minor"/>
      </rPr>
      <t xml:space="preserve">RSC(Regular Slotted Carton,FEFCO0201) with </t>
    </r>
    <r>
      <rPr>
        <b/>
        <u/>
        <sz val="11"/>
        <color rgb="FF000000"/>
        <rFont val="Aptos Narrow"/>
        <family val="2"/>
        <scheme val="minor"/>
      </rPr>
      <t>Trapezoid Perforation</t>
    </r>
    <r>
      <rPr>
        <sz val="11"/>
        <color rgb="FF000000"/>
        <rFont val="Aptos Narrow"/>
        <family val="2"/>
        <scheme val="minor"/>
      </rPr>
      <t xml:space="preserve"> at one of the side panel, See attached drawings</t>
    </r>
  </si>
  <si>
    <t>FLEXO 1C,BLACK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</si>
  <si>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</si>
  <si>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</si>
  <si>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</si>
  <si>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</si>
  <si>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</si>
  <si>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</si>
  <si>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</si>
  <si>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</si>
  <si>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</si>
  <si>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</si>
  <si>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</si>
  <si>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/</t>
  </si>
  <si>
    <t>RSC(Regular Slotted Carton,FEFCO0201)</t>
  </si>
  <si>
    <t xml:space="preserve">C-Flute </t>
  </si>
  <si>
    <t>Click here&gt;&gt;&gt;</t>
  </si>
  <si>
    <t>PRICE FORMULA FOR NORMAL RSC CARTON</t>
  </si>
  <si>
    <t>Price = Area * SqmPrice</t>
  </si>
  <si>
    <t>Area(C-Flute)=(2*L+2*W+15)*(H+W-10)/1000000</t>
  </si>
  <si>
    <t>MATALAN CUSTOM CARTON PRICE CALCULATOR</t>
  </si>
  <si>
    <t>Color</t>
  </si>
  <si>
    <t>Note</t>
  </si>
  <si>
    <t>CONFIRGURATION</t>
  </si>
  <si>
    <t>Matalan/PACD Config</t>
  </si>
  <si>
    <t>Flute Type</t>
  </si>
  <si>
    <t xml:space="preserve"> Caliper(MM)</t>
  </si>
  <si>
    <t xml:space="preserve">EXW(w/VAT,CNY/SQM) </t>
  </si>
  <si>
    <t>Exchange Rate, $1=?</t>
  </si>
  <si>
    <t>Supplier fill area</t>
  </si>
  <si>
    <t>C-Flute</t>
  </si>
  <si>
    <t>Fixed/Automatical-fill</t>
  </si>
  <si>
    <t>Carton Price Result</t>
  </si>
  <si>
    <t>Item#</t>
  </si>
  <si>
    <t>Size</t>
  </si>
  <si>
    <t>Carton Style</t>
  </si>
  <si>
    <t>FLUTE</t>
  </si>
  <si>
    <t>Thickness
(mm)</t>
  </si>
  <si>
    <t>Outside Dimension(MM)</t>
  </si>
  <si>
    <t>Blank Sizes(mm)</t>
  </si>
  <si>
    <t>Area(sqm)</t>
  </si>
  <si>
    <t>Carton's Unit Price
(CNY,EXW w/VAT)</t>
  </si>
  <si>
    <t>(USD REF.)</t>
  </si>
  <si>
    <t>NOTE</t>
  </si>
  <si>
    <t>L</t>
  </si>
  <si>
    <t>W</t>
  </si>
  <si>
    <t>XL</t>
  </si>
  <si>
    <t>RSC - 0201</t>
  </si>
  <si>
    <t>M</t>
  </si>
  <si>
    <t>CARTON SIZE</t>
  </si>
  <si>
    <t>H</t>
  </si>
  <si>
    <t>RATIO &amp; CUSTOM CARTON</t>
  </si>
  <si>
    <t>PRICE FORMULA FOR 0201</t>
  </si>
  <si>
    <t>Version: 1.3</t>
  </si>
  <si>
    <t>Total Amount</t>
  </si>
  <si>
    <t>Carton Selection</t>
  </si>
  <si>
    <t>Final Price, CNY/CTN</t>
  </si>
  <si>
    <t>Standard Carton-Singles</t>
  </si>
  <si>
    <t>Rebates for Matalan (Ratio&amp;Custom=10%)</t>
  </si>
  <si>
    <t>Length(mm)</t>
  </si>
  <si>
    <t>Width(mm)</t>
  </si>
  <si>
    <t>Height(mm)</t>
  </si>
  <si>
    <t>Factory Name</t>
  </si>
  <si>
    <t>Packaging Supplier Name</t>
  </si>
  <si>
    <t>Shipment Date</t>
  </si>
  <si>
    <t>PO Received Date</t>
  </si>
  <si>
    <t>Supplier Name</t>
  </si>
  <si>
    <t>eBiz Customer Reference #</t>
  </si>
  <si>
    <t>eBiz 
Sales Order #</t>
  </si>
  <si>
    <t>Carton QTY</t>
  </si>
  <si>
    <t>Matalan Product PO#</t>
  </si>
  <si>
    <t>Custom Carton</t>
  </si>
  <si>
    <t>BC-Flute</t>
  </si>
  <si>
    <t>4% for PACD</t>
  </si>
  <si>
    <t>Rebates for Matalan (Singles=5%)</t>
  </si>
  <si>
    <t>Contracted Prices with Nominated Supplier （USD,$)</t>
  </si>
  <si>
    <t>Final FOB Price （USD,$)</t>
  </si>
  <si>
    <t>Rebates $  for Matalan</t>
  </si>
  <si>
    <t>Contracted Prices with Nominated Supplier (USD,$)/ SQM</t>
  </si>
  <si>
    <t>Final FOB Price (USD,$) /SQM</t>
  </si>
  <si>
    <t>Bangladesh Estimated prices, but need to confirm with Pkg Suppliers</t>
  </si>
  <si>
    <t>3-  The results is EX-Works price with MOQ&gt;=100pcs, (MOQ=Minimum Order Quantity)</t>
  </si>
  <si>
    <t>4- Packaging Factory will charge a $20 fee for PO quantity less than MOQ=100;  If printing is different on any line item, that is considered a unique PO quantity.</t>
  </si>
  <si>
    <t>Ratio Carton</t>
  </si>
  <si>
    <t>7.5% for PACD</t>
  </si>
  <si>
    <t>Custom</t>
  </si>
  <si>
    <t>Revise</t>
  </si>
  <si>
    <t>20pcs, 29.10</t>
  </si>
  <si>
    <t>Transworld Packaging (BD) Ltd.</t>
  </si>
  <si>
    <t>Grand Apparels Design</t>
  </si>
  <si>
    <t>Virtual Bottom</t>
  </si>
  <si>
    <t>Uniglory Packaging Industries Ltd.</t>
  </si>
  <si>
    <t>R-FPC</t>
  </si>
  <si>
    <t>CONCORD VENTURES EXPORTS LLC</t>
  </si>
  <si>
    <t>Dhaka Garments &amp; Washing Ltd.</t>
  </si>
  <si>
    <t>Relaxed Fit</t>
  </si>
  <si>
    <t>STD</t>
  </si>
  <si>
    <t>RTO</t>
  </si>
  <si>
    <t>Pacd</t>
  </si>
  <si>
    <t>Mat</t>
  </si>
  <si>
    <t>F3033032</t>
  </si>
  <si>
    <t>F3033033</t>
  </si>
  <si>
    <t>F3033105</t>
  </si>
  <si>
    <t>R-FPD</t>
  </si>
  <si>
    <t>Cigarette Jean S27</t>
  </si>
  <si>
    <t>F3071356</t>
  </si>
  <si>
    <t>F3071308</t>
  </si>
  <si>
    <t>F3076619</t>
  </si>
  <si>
    <t>F3066770</t>
  </si>
  <si>
    <t xml:space="preserve">Lariz Fashion Ltd </t>
  </si>
  <si>
    <t>C0998545</t>
  </si>
  <si>
    <t>Mouchak Knit Composite Ltd</t>
  </si>
  <si>
    <t>M2693003</t>
  </si>
  <si>
    <t>Radial International Unit2 Ltd</t>
  </si>
  <si>
    <t>ST.BE5B2+ZS1,R-15517</t>
  </si>
  <si>
    <t>GWM1+2+3,R-15390+91</t>
  </si>
  <si>
    <t>ST.BE5B2,R-15517,J-458</t>
  </si>
  <si>
    <t>ST.BE2S1,R-15560,J-496</t>
  </si>
  <si>
    <t>ST.WM1,R-15390,L-355</t>
  </si>
  <si>
    <t>ST.WM3,R-15392,L-357</t>
  </si>
  <si>
    <t>ST.WM2,R-15391,L-356</t>
  </si>
  <si>
    <t>KDS IDR Ltd.</t>
  </si>
  <si>
    <t>B0496737</t>
  </si>
  <si>
    <t>B0496925</t>
  </si>
  <si>
    <t>G0516728</t>
  </si>
  <si>
    <t>G0516742</t>
  </si>
  <si>
    <t>B0498208</t>
  </si>
  <si>
    <t>B0494456</t>
  </si>
  <si>
    <t>C0990206</t>
  </si>
  <si>
    <t>B0499058</t>
  </si>
  <si>
    <t>B0499059</t>
  </si>
  <si>
    <t>G0521578</t>
  </si>
  <si>
    <t>C1008339</t>
  </si>
  <si>
    <t>G0521595</t>
  </si>
  <si>
    <t>C1008695</t>
  </si>
  <si>
    <t>C1011314</t>
  </si>
  <si>
    <t>C1008656</t>
  </si>
  <si>
    <t>C1011278</t>
  </si>
  <si>
    <t>C1008524</t>
  </si>
  <si>
    <t>G0521732</t>
  </si>
  <si>
    <t>G0519577</t>
  </si>
  <si>
    <t>G0520032</t>
  </si>
  <si>
    <t>C1018995</t>
  </si>
  <si>
    <t>KESKAN FZC</t>
  </si>
  <si>
    <t xml:space="preserve">Desh Garments Ltd. </t>
  </si>
  <si>
    <t>GCW26SH02AB</t>
  </si>
  <si>
    <t xml:space="preserve">H.B Knittex Ltd. </t>
  </si>
  <si>
    <t>GCW26SE19AB</t>
  </si>
  <si>
    <t>C0989744</t>
  </si>
  <si>
    <t>R-FPA</t>
  </si>
  <si>
    <t>Crown Exclusive Wears Ltd.</t>
  </si>
  <si>
    <t>CHW26KN076</t>
  </si>
  <si>
    <t>CHW26KN084</t>
  </si>
  <si>
    <t>CHS27KN057</t>
  </si>
  <si>
    <t>CHW26KN013</t>
  </si>
  <si>
    <t>Appollo Fashion Ltd.</t>
  </si>
  <si>
    <t>Appollo Knit Wear (BD) Ltd.</t>
  </si>
  <si>
    <t>ASW26TG41_900+73+74+75+7</t>
  </si>
  <si>
    <t>ETS7TTB02_900-6188+89</t>
  </si>
  <si>
    <t>ASS27TG04_900-6181</t>
  </si>
  <si>
    <t>ASS27OG02-900-6180</t>
  </si>
  <si>
    <t>ASS27TG02_900-6178+79RAT</t>
  </si>
  <si>
    <t>Design ARC Asia</t>
  </si>
  <si>
    <t>Confidance Knitwear Ltd.</t>
  </si>
  <si>
    <t>OB010 B0501578</t>
  </si>
  <si>
    <t>TG03</t>
  </si>
  <si>
    <t>TG01</t>
  </si>
  <si>
    <t>OB01</t>
  </si>
  <si>
    <t>TDS02</t>
  </si>
  <si>
    <t>BTS02</t>
  </si>
  <si>
    <t>TS02</t>
  </si>
  <si>
    <t>PT02</t>
  </si>
  <si>
    <t>AR-Tex Composite Ltd.</t>
  </si>
  <si>
    <t>F476035</t>
  </si>
  <si>
    <t>F469375</t>
  </si>
  <si>
    <t>M928014</t>
  </si>
  <si>
    <t>M289099</t>
  </si>
  <si>
    <t>M289425</t>
  </si>
  <si>
    <t>F469364</t>
  </si>
  <si>
    <t>F469109</t>
  </si>
  <si>
    <t>N.A.Z Bangladesh Ltd.</t>
  </si>
  <si>
    <t>ASW26TB09AB-C1007195</t>
  </si>
  <si>
    <t>ETS25NW012-M2688267</t>
  </si>
  <si>
    <t>SLS27BN06-C1007758</t>
  </si>
  <si>
    <t>B0497801</t>
  </si>
  <si>
    <t>B0493982</t>
  </si>
  <si>
    <t>B0498084</t>
  </si>
  <si>
    <t>B0498016</t>
  </si>
  <si>
    <t>C0992251</t>
  </si>
  <si>
    <t>C1002485</t>
  </si>
  <si>
    <t>DHW6LBF031</t>
  </si>
  <si>
    <t>DHW6DBF21A</t>
  </si>
  <si>
    <t>SPS26BT02</t>
  </si>
  <si>
    <t>GCW26SE20A</t>
  </si>
  <si>
    <t>GCW25TS04A</t>
  </si>
  <si>
    <t>DHW6DBF22A</t>
  </si>
  <si>
    <t>GCW265TS04A</t>
  </si>
  <si>
    <t>DHW6LBF034-C1001979</t>
  </si>
  <si>
    <t>ASW26TB02AB-C1007145</t>
  </si>
  <si>
    <t>ASS27TB02AB-C1007228</t>
  </si>
  <si>
    <t>SLS27BN04AB-C1007773</t>
  </si>
  <si>
    <t>JWS27NW005-M2686580</t>
  </si>
  <si>
    <t>R-FPB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</si>
</sst>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[$¥-804]* #,##0.00_ ;_ [$¥-804]* \-#,##0.00_ ;_ [$¥-804]* &quot;-&quot;??_ ;_ @_ "/>
    <numFmt numFmtId="165" formatCode="_([$$-409]* #,##0.00_);_([$$-409]* \(#,##0.00\);_([$$-409]* &quot;-&quot;??_);_(@_)"/>
    <numFmt numFmtId="166" formatCode="0.000"/>
    <numFmt numFmtId="167" formatCode="[$-409]mmmm\ d\,\ yyyy;@"/>
    <numFmt numFmtId="168" formatCode="_(* #,##0_);_(* \(#,##0\);_(* &quot;-&quot;??_);_(@_)"/>
    <numFmt numFmtId="169" formatCode="_(* #,##0.000_);_(* \(#,##0.000\);_(* &quot;-&quot;??_);_(@_)"/>
    <numFmt numFmtId="170" formatCode="[$-F800]dddd\,\ mmmm\ dd\,\ yyyy"/>
    <numFmt numFmtId="171" formatCode="_-[$$-2809]* #,##0.00_-;\-[$$-2809]* #,##0.00_-;_-[$$-2809]* &quot;-&quot;??_-;_-@_-"/>
  </numFmts>
  <fonts count="3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10"/>
      <color theme="1"/>
      <name val="Segoe UI"/>
      <family val="2"/>
    </font>
    <font>
      <i/>
      <sz val="10"/>
      <color theme="1"/>
      <name val="Aptos Narrow"/>
      <family val="2"/>
      <scheme val="minor"/>
    </font>
    <font>
      <sz val="11"/>
      <color theme="1"/>
      <name val="Segoe UI"/>
      <family val="2"/>
    </font>
    <font>
      <sz val="9"/>
      <color theme="1"/>
      <name val="Segoe UI"/>
      <family val="2"/>
    </font>
    <font>
      <b/>
      <u/>
      <sz val="11"/>
      <color theme="1"/>
      <name val="Segoe UI"/>
      <family val="2"/>
    </font>
    <font>
      <u/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0"/>
      <color theme="1"/>
      <name val="Segoe UI"/>
      <family val="2"/>
    </font>
    <font>
      <i/>
      <sz val="9"/>
      <color theme="1"/>
      <name val="Segoe UI"/>
      <family val="2"/>
    </font>
    <font>
      <b/>
      <sz val="10"/>
      <color theme="0"/>
      <name val="Segoe UI"/>
      <family val="2"/>
    </font>
    <font>
      <b/>
      <sz val="9"/>
      <color theme="1"/>
      <name val="Segoe UI"/>
      <family val="2"/>
    </font>
    <font>
      <sz val="9"/>
      <color theme="0" tint="-0.499984740745262"/>
      <name val="Segoe UI"/>
      <family val="2"/>
    </font>
    <font>
      <b/>
      <u/>
      <sz val="10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sz val="9"/>
      <name val="Aptos Narrow"/>
      <family val="3"/>
      <charset val="134"/>
      <scheme val="minor"/>
    </font>
    <font>
      <b/>
      <i/>
      <sz val="9"/>
      <color theme="1"/>
      <name val="Segoe UI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b/>
      <u/>
      <sz val="11"/>
      <color rgb="FFFFFF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  <font>
      <sz val="9"/>
      <name val="Segoe UI"/>
      <family val="2"/>
    </font>
    <font>
      <b/>
      <sz val="9"/>
      <name val="Segoe UI"/>
      <family val="2"/>
    </font>
    <font>
      <b/>
      <sz val="11"/>
      <color theme="1"/>
      <name val="Aptos Narrow"/>
      <scheme val="minor"/>
    </font>
    <font>
      <i/>
      <sz val="9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5" fillId="0" borderId="0" applyFont="0" applyFill="0" applyBorder="0" applyAlignment="0" applyProtection="0"/>
    <xf numFmtId="0" fontId="6" fillId="0" borderId="0">
      <alignment vertical="center"/>
    </xf>
    <xf numFmtId="4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173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7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8" fillId="2" borderId="6" xfId="0" applyFont="1" applyFill="1" applyBorder="1" applyAlignment="1">
      <alignment horizontal="left" vertical="center" inden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 vertical="center" indent="1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167" fontId="9" fillId="2" borderId="5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0" fontId="11" fillId="2" borderId="0" xfId="0" applyFont="1" applyFill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9" fillId="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64" fontId="10" fillId="7" borderId="3" xfId="0" applyNumberFormat="1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>
      <alignment horizontal="left" vertical="center" indent="1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left" vertical="center" indent="1"/>
    </xf>
    <xf numFmtId="0" fontId="10" fillId="7" borderId="4" xfId="0" applyFont="1" applyFill="1" applyBorder="1" applyAlignment="1" applyProtection="1">
      <alignment horizontal="center" vertical="center"/>
      <protection locked="0"/>
    </xf>
    <xf numFmtId="0" fontId="10" fillId="7" borderId="2" xfId="0" applyFont="1" applyFill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>
      <alignment horizontal="center" vertical="center"/>
    </xf>
    <xf numFmtId="168" fontId="10" fillId="2" borderId="2" xfId="3" applyNumberFormat="1" applyFont="1" applyFill="1" applyBorder="1" applyAlignment="1" applyProtection="1">
      <alignment horizontal="center" vertical="center"/>
    </xf>
    <xf numFmtId="168" fontId="10" fillId="7" borderId="2" xfId="3" applyNumberFormat="1" applyFont="1" applyFill="1" applyBorder="1" applyAlignment="1" applyProtection="1">
      <alignment horizontal="center" vertical="center"/>
      <protection locked="0"/>
    </xf>
    <xf numFmtId="169" fontId="10" fillId="2" borderId="2" xfId="3" applyNumberFormat="1" applyFont="1" applyFill="1" applyBorder="1" applyAlignment="1" applyProtection="1">
      <alignment horizontal="center" vertical="center"/>
    </xf>
    <xf numFmtId="164" fontId="17" fillId="4" borderId="2" xfId="0" applyNumberFormat="1" applyFont="1" applyFill="1" applyBorder="1" applyAlignment="1">
      <alignment horizontal="center" vertical="center"/>
    </xf>
    <xf numFmtId="44" fontId="18" fillId="2" borderId="2" xfId="1" applyFont="1" applyFill="1" applyBorder="1" applyAlignment="1">
      <alignment horizontal="center" vertical="center"/>
    </xf>
    <xf numFmtId="168" fontId="10" fillId="2" borderId="4" xfId="3" applyNumberFormat="1" applyFont="1" applyFill="1" applyBorder="1" applyAlignment="1" applyProtection="1">
      <alignment horizontal="center" vertical="center"/>
    </xf>
    <xf numFmtId="168" fontId="10" fillId="7" borderId="4" xfId="3" applyNumberFormat="1" applyFont="1" applyFill="1" applyBorder="1" applyAlignment="1" applyProtection="1">
      <alignment horizontal="center" vertical="center"/>
      <protection locked="0"/>
    </xf>
    <xf numFmtId="169" fontId="10" fillId="2" borderId="4" xfId="3" applyNumberFormat="1" applyFont="1" applyFill="1" applyBorder="1" applyAlignment="1" applyProtection="1">
      <alignment horizontal="center" vertical="center"/>
    </xf>
    <xf numFmtId="164" fontId="17" fillId="4" borderId="4" xfId="0" applyNumberFormat="1" applyFont="1" applyFill="1" applyBorder="1" applyAlignment="1">
      <alignment horizontal="center" vertical="center"/>
    </xf>
    <xf numFmtId="44" fontId="18" fillId="2" borderId="4" xfId="1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left" vertical="center"/>
    </xf>
    <xf numFmtId="0" fontId="15" fillId="2" borderId="11" xfId="0" applyFont="1" applyFill="1" applyBorder="1" applyAlignment="1">
      <alignment horizontal="left" vertical="center"/>
    </xf>
    <xf numFmtId="0" fontId="19" fillId="10" borderId="13" xfId="0" applyFont="1" applyFill="1" applyBorder="1" applyAlignment="1">
      <alignment horizontal="left" vertical="center"/>
    </xf>
    <xf numFmtId="0" fontId="9" fillId="10" borderId="14" xfId="0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/>
    </xf>
    <xf numFmtId="49" fontId="18" fillId="2" borderId="2" xfId="1" applyNumberFormat="1" applyFont="1" applyFill="1" applyBorder="1" applyAlignment="1">
      <alignment horizontal="center" vertical="center"/>
    </xf>
    <xf numFmtId="49" fontId="18" fillId="2" borderId="4" xfId="1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right"/>
    </xf>
    <xf numFmtId="0" fontId="1" fillId="3" borderId="9" xfId="0" applyFont="1" applyFill="1" applyBorder="1" applyAlignment="1">
      <alignment horizontal="right"/>
    </xf>
    <xf numFmtId="0" fontId="1" fillId="3" borderId="11" xfId="0" applyFont="1" applyFill="1" applyBorder="1" applyAlignment="1">
      <alignment horizontal="right"/>
    </xf>
    <xf numFmtId="0" fontId="11" fillId="9" borderId="13" xfId="0" applyFont="1" applyFill="1" applyBorder="1" applyAlignment="1">
      <alignment horizontal="left" vertical="center"/>
    </xf>
    <xf numFmtId="0" fontId="12" fillId="9" borderId="14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2" fillId="10" borderId="6" xfId="4" applyFont="1" applyFill="1" applyBorder="1" applyAlignment="1">
      <alignment horizontal="left" vertical="center"/>
    </xf>
    <xf numFmtId="0" fontId="2" fillId="10" borderId="7" xfId="4" applyFont="1" applyFill="1" applyBorder="1" applyAlignment="1">
      <alignment horizontal="center" vertical="center"/>
    </xf>
    <xf numFmtId="0" fontId="2" fillId="10" borderId="8" xfId="4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0" fontId="0" fillId="2" borderId="0" xfId="0" applyFill="1" applyAlignment="1">
      <alignment vertical="center"/>
    </xf>
    <xf numFmtId="164" fontId="10" fillId="12" borderId="1" xfId="0" applyNumberFormat="1" applyFont="1" applyFill="1" applyBorder="1" applyAlignment="1">
      <alignment vertical="center"/>
    </xf>
    <xf numFmtId="0" fontId="15" fillId="2" borderId="6" xfId="0" applyFont="1" applyFill="1" applyBorder="1" applyAlignment="1">
      <alignment horizontal="left" vertical="center"/>
    </xf>
    <xf numFmtId="0" fontId="23" fillId="2" borderId="0" xfId="0" applyFont="1" applyFill="1" applyAlignment="1">
      <alignment vertical="top" wrapText="1"/>
    </xf>
    <xf numFmtId="0" fontId="23" fillId="2" borderId="9" xfId="0" applyFont="1" applyFill="1" applyBorder="1" applyAlignment="1">
      <alignment vertical="top"/>
    </xf>
    <xf numFmtId="9" fontId="0" fillId="9" borderId="1" xfId="5" applyFont="1" applyFill="1" applyBorder="1" applyAlignment="1">
      <alignment horizontal="center" vertical="center"/>
    </xf>
    <xf numFmtId="0" fontId="24" fillId="2" borderId="0" xfId="0" applyFont="1" applyFill="1" applyAlignment="1">
      <alignment horizontal="right" vertical="center"/>
    </xf>
    <xf numFmtId="167" fontId="25" fillId="2" borderId="5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wrapText="1"/>
    </xf>
    <xf numFmtId="14" fontId="10" fillId="2" borderId="0" xfId="0" applyNumberFormat="1" applyFont="1" applyFill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 wrapText="1"/>
    </xf>
    <xf numFmtId="44" fontId="0" fillId="13" borderId="1" xfId="1" applyFont="1" applyFill="1" applyBorder="1"/>
    <xf numFmtId="44" fontId="0" fillId="7" borderId="1" xfId="1" applyFont="1" applyFill="1" applyBorder="1"/>
    <xf numFmtId="44" fontId="0" fillId="13" borderId="1" xfId="1" applyFont="1" applyFill="1" applyBorder="1" applyAlignment="1">
      <alignment horizontal="center" vertical="center"/>
    </xf>
    <xf numFmtId="44" fontId="0" fillId="7" borderId="1" xfId="1" applyFont="1" applyFill="1" applyBorder="1" applyAlignment="1">
      <alignment horizontal="center" vertical="center"/>
    </xf>
    <xf numFmtId="44" fontId="0" fillId="2" borderId="1" xfId="1" applyFont="1" applyFill="1" applyBorder="1"/>
    <xf numFmtId="44" fontId="0" fillId="2" borderId="1" xfId="1" applyFont="1" applyFill="1" applyBorder="1" applyAlignment="1">
      <alignment vertical="center"/>
    </xf>
    <xf numFmtId="0" fontId="0" fillId="7" borderId="0" xfId="0" applyFill="1"/>
    <xf numFmtId="0" fontId="0" fillId="7" borderId="1" xfId="0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  <xf numFmtId="171" fontId="0" fillId="0" borderId="0" xfId="0" applyNumberFormat="1"/>
    <xf numFmtId="0" fontId="14" fillId="5" borderId="1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center" wrapText="1"/>
    </xf>
    <xf numFmtId="14" fontId="10" fillId="0" borderId="4" xfId="0" applyNumberFormat="1" applyFont="1" applyFill="1" applyBorder="1" applyAlignment="1" applyProtection="1">
      <alignment horizontal="center" vertical="center"/>
      <protection locked="0"/>
    </xf>
    <xf numFmtId="14" fontId="10" fillId="0" borderId="0" xfId="0" applyNumberFormat="1" applyFont="1" applyFill="1" applyAlignment="1">
      <alignment horizontal="center" vertical="center"/>
    </xf>
    <xf numFmtId="0" fontId="10" fillId="0" borderId="4" xfId="0" applyFont="1" applyFill="1" applyBorder="1" applyAlignment="1" applyProtection="1">
      <alignment horizontal="center" vertical="center"/>
      <protection locked="0"/>
    </xf>
    <xf numFmtId="0" fontId="10" fillId="0" borderId="0" xfId="0" applyFont="1" applyFill="1" applyAlignment="1">
      <alignment horizontal="center" vertical="center"/>
    </xf>
    <xf numFmtId="168" fontId="10" fillId="0" borderId="4" xfId="3" applyNumberFormat="1" applyFont="1" applyFill="1" applyBorder="1" applyAlignment="1" applyProtection="1">
      <alignment horizontal="center" vertical="center"/>
    </xf>
    <xf numFmtId="169" fontId="10" fillId="0" borderId="4" xfId="3" applyNumberFormat="1" applyFont="1" applyFill="1" applyBorder="1" applyAlignment="1" applyProtection="1">
      <alignment horizontal="center" vertical="center"/>
    </xf>
    <xf numFmtId="44" fontId="17" fillId="0" borderId="4" xfId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5" fontId="17" fillId="0" borderId="4" xfId="0" applyNumberFormat="1" applyFont="1" applyFill="1" applyBorder="1" applyAlignment="1">
      <alignment horizontal="center" vertical="center"/>
    </xf>
    <xf numFmtId="49" fontId="18" fillId="0" borderId="2" xfId="1" applyNumberFormat="1" applyFont="1" applyFill="1" applyBorder="1" applyAlignment="1">
      <alignment horizontal="center" vertical="center"/>
    </xf>
    <xf numFmtId="49" fontId="18" fillId="0" borderId="4" xfId="1" applyNumberFormat="1" applyFont="1" applyFill="1" applyBorder="1" applyAlignment="1">
      <alignment horizontal="center" vertical="center"/>
    </xf>
    <xf numFmtId="49" fontId="10" fillId="0" borderId="4" xfId="1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14" fontId="10" fillId="0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 wrapText="1"/>
    </xf>
    <xf numFmtId="14" fontId="10" fillId="2" borderId="4" xfId="0" applyNumberFormat="1" applyFont="1" applyFill="1" applyBorder="1" applyAlignment="1" applyProtection="1">
      <alignment horizontal="center" vertical="center"/>
      <protection locked="0"/>
    </xf>
    <xf numFmtId="0" fontId="10" fillId="2" borderId="4" xfId="0" applyFont="1" applyFill="1" applyBorder="1" applyAlignment="1" applyProtection="1">
      <alignment horizontal="center" vertical="center"/>
      <protection locked="0"/>
    </xf>
    <xf numFmtId="14" fontId="29" fillId="2" borderId="4" xfId="0" applyNumberFormat="1" applyFont="1" applyFill="1" applyBorder="1" applyAlignment="1" applyProtection="1">
      <alignment horizontal="center" vertical="center"/>
      <protection locked="0"/>
    </xf>
    <xf numFmtId="0" fontId="29" fillId="2" borderId="4" xfId="0" applyFont="1" applyFill="1" applyBorder="1" applyAlignment="1" applyProtection="1">
      <alignment horizontal="center" vertical="center"/>
      <protection locked="0"/>
    </xf>
    <xf numFmtId="14" fontId="10" fillId="2" borderId="4" xfId="0" quotePrefix="1" applyNumberFormat="1" applyFont="1" applyFill="1" applyBorder="1" applyAlignment="1" applyProtection="1">
      <alignment horizontal="center" vertical="center"/>
      <protection locked="0"/>
    </xf>
    <xf numFmtId="165" fontId="17" fillId="4" borderId="4" xfId="0" applyNumberFormat="1" applyFont="1" applyFill="1" applyBorder="1" applyAlignment="1">
      <alignment horizontal="center" vertical="center"/>
    </xf>
    <xf numFmtId="165" fontId="17" fillId="4" borderId="2" xfId="0" applyNumberFormat="1" applyFont="1" applyFill="1" applyBorder="1" applyAlignment="1">
      <alignment horizontal="center" vertical="center"/>
    </xf>
    <xf numFmtId="44" fontId="17" fillId="4" borderId="4" xfId="1" applyFont="1" applyFill="1" applyBorder="1" applyAlignment="1">
      <alignment horizontal="center" vertical="center"/>
    </xf>
    <xf numFmtId="49" fontId="18" fillId="4" borderId="2" xfId="1" applyNumberFormat="1" applyFont="1" applyFill="1" applyBorder="1" applyAlignment="1">
      <alignment horizontal="center" vertical="center"/>
    </xf>
    <xf numFmtId="49" fontId="18" fillId="4" borderId="4" xfId="1" applyNumberFormat="1" applyFont="1" applyFill="1" applyBorder="1" applyAlignment="1">
      <alignment horizontal="center" vertical="center"/>
    </xf>
    <xf numFmtId="2" fontId="10" fillId="2" borderId="0" xfId="0" applyNumberFormat="1" applyFont="1" applyFill="1" applyAlignment="1">
      <alignment horizontal="center" vertical="center"/>
    </xf>
    <xf numFmtId="165" fontId="30" fillId="14" borderId="4" xfId="0" applyNumberFormat="1" applyFont="1" applyFill="1" applyBorder="1" applyAlignment="1">
      <alignment horizontal="center" vertical="center"/>
    </xf>
    <xf numFmtId="44" fontId="0" fillId="0" borderId="0" xfId="1" applyFont="1"/>
    <xf numFmtId="44" fontId="0" fillId="0" borderId="0" xfId="1" applyFont="1" applyAlignment="1">
      <alignment horizontal="center"/>
    </xf>
    <xf numFmtId="44" fontId="31" fillId="0" borderId="0" xfId="0" applyNumberFormat="1" applyFont="1"/>
    <xf numFmtId="0" fontId="32" fillId="2" borderId="4" xfId="0" applyFont="1" applyFill="1" applyBorder="1" applyAlignment="1" applyProtection="1">
      <alignment horizontal="center" vertical="center"/>
      <protection locked="0"/>
    </xf>
    <xf numFmtId="0" fontId="26" fillId="13" borderId="7" xfId="0" applyFont="1" applyFill="1" applyBorder="1" applyAlignment="1">
      <alignment horizontal="left" vertical="center" indent="1"/>
    </xf>
    <xf numFmtId="0" fontId="26" fillId="13" borderId="8" xfId="0" applyFont="1" applyFill="1" applyBorder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0" fillId="2" borderId="10" xfId="0" applyFill="1" applyBorder="1" applyAlignment="1">
      <alignment horizontal="left" vertical="center" indent="1"/>
    </xf>
    <xf numFmtId="0" fontId="21" fillId="8" borderId="0" xfId="0" applyFont="1" applyFill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170" fontId="0" fillId="2" borderId="5" xfId="0" applyNumberFormat="1" applyFill="1" applyBorder="1" applyAlignment="1">
      <alignment horizontal="left" indent="1"/>
    </xf>
    <xf numFmtId="170" fontId="0" fillId="2" borderId="12" xfId="0" applyNumberFormat="1" applyFill="1" applyBorder="1" applyAlignment="1">
      <alignment horizontal="left" indent="1"/>
    </xf>
    <xf numFmtId="0" fontId="23" fillId="2" borderId="9" xfId="0" applyFont="1" applyFill="1" applyBorder="1" applyAlignment="1">
      <alignment horizontal="left" vertical="top" wrapText="1"/>
    </xf>
    <xf numFmtId="0" fontId="23" fillId="2" borderId="0" xfId="0" applyFont="1" applyFill="1" applyAlignment="1">
      <alignment horizontal="left" vertical="top" wrapText="1"/>
    </xf>
    <xf numFmtId="0" fontId="23" fillId="2" borderId="10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/>
    </xf>
    <xf numFmtId="9" fontId="0" fillId="9" borderId="2" xfId="5" applyFont="1" applyFill="1" applyBorder="1" applyAlignment="1">
      <alignment horizontal="center" vertical="center"/>
    </xf>
    <xf numFmtId="9" fontId="0" fillId="9" borderId="4" xfId="5" applyFont="1" applyFill="1" applyBorder="1" applyAlignment="1">
      <alignment horizontal="center" vertical="center"/>
    </xf>
    <xf numFmtId="9" fontId="0" fillId="9" borderId="3" xfId="5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/>
    </xf>
    <xf numFmtId="0" fontId="4" fillId="8" borderId="14" xfId="0" applyFont="1" applyFill="1" applyBorder="1" applyAlignment="1">
      <alignment horizontal="center"/>
    </xf>
    <xf numFmtId="44" fontId="31" fillId="0" borderId="0" xfId="1" applyFont="1" applyAlignment="1">
      <alignment horizontal="center"/>
    </xf>
    <xf numFmtId="44" fontId="0" fillId="0" borderId="0" xfId="1" applyFont="1" applyAlignment="1">
      <alignment horizontal="center"/>
    </xf>
    <xf numFmtId="0" fontId="16" fillId="11" borderId="2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</cellXfs>
  <cellStyles count="6">
    <cellStyle name="Comma" xfId="3" builtinId="3"/>
    <cellStyle name="Currency" xfId="1" builtinId="4"/>
    <cellStyle name="Hyperlink" xfId="4" builtinId="8"/>
    <cellStyle name="Normal" xfId="0" builtinId="0"/>
    <cellStyle name="Normal 2" xfId="2" xr:uid="{00000000-0005-0000-0000-000000000000}"/>
    <cellStyle name="Percent" xfId="5" builtinId="5"/>
  </cellStyles>
  <dxfs count="11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AppData/Local/Microsoft/Windows/INetCache/Content.Outlook/0UQWAURH/Matalan%20Carton%20Shipment%20Tracking_NPS_BD%20Dec-25%20to%20May-2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Matalan/Report/Hasib%20Sir%20Matalan%20Carton%20Shipment%20Tracking_NPS_BD%20Apr-26%20to%20Jun-26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Matalan/Report/Q2/Matalan%20Carton%20Shipment%20Tracking_NPS_BD%20May-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Matalan/Report/Q2/Matalan%20Carton%20Shipment%20Tracking_NPS_BD%20Jun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CK_STD"/>
      <sheetName val="TRACK_CUS"/>
      <sheetName val="RFQ_Matalan Carton"/>
      <sheetName val="Carton Sizes Chart"/>
      <sheetName val="Sheet1"/>
      <sheetName val="Matalan Curstom CTN Price Cal"/>
    </sheetNames>
    <sheetDataSet>
      <sheetData sheetId="0" refreshError="1"/>
      <sheetData sheetId="1" refreshError="1"/>
      <sheetData sheetId="2" refreshError="1">
        <row r="40">
          <cell r="M40">
            <v>0.96</v>
          </cell>
        </row>
      </sheetData>
      <sheetData sheetId="3" refreshError="1">
        <row r="4">
          <cell r="A4" t="str">
            <v>A1</v>
          </cell>
          <cell r="B4">
            <v>495</v>
          </cell>
          <cell r="C4">
            <v>285</v>
          </cell>
          <cell r="D4">
            <v>375</v>
          </cell>
          <cell r="E4">
            <v>0.97</v>
          </cell>
        </row>
        <row r="5">
          <cell r="A5" t="str">
            <v>A2</v>
          </cell>
          <cell r="B5">
            <v>495</v>
          </cell>
          <cell r="C5">
            <v>285</v>
          </cell>
          <cell r="D5">
            <v>310</v>
          </cell>
          <cell r="E5">
            <v>0.88</v>
          </cell>
        </row>
        <row r="6">
          <cell r="A6" t="str">
            <v>A3</v>
          </cell>
          <cell r="B6">
            <v>495</v>
          </cell>
          <cell r="C6">
            <v>285</v>
          </cell>
          <cell r="D6">
            <v>260</v>
          </cell>
          <cell r="E6">
            <v>0.81</v>
          </cell>
        </row>
        <row r="7">
          <cell r="A7" t="str">
            <v>B1</v>
          </cell>
          <cell r="B7">
            <v>595</v>
          </cell>
          <cell r="C7">
            <v>285</v>
          </cell>
          <cell r="D7">
            <v>375</v>
          </cell>
          <cell r="E7">
            <v>1.1000000000000001</v>
          </cell>
        </row>
        <row r="8">
          <cell r="A8" t="str">
            <v>B2</v>
          </cell>
          <cell r="B8">
            <v>595</v>
          </cell>
          <cell r="C8">
            <v>285</v>
          </cell>
          <cell r="D8">
            <v>310</v>
          </cell>
          <cell r="E8">
            <v>0.99</v>
          </cell>
        </row>
        <row r="9">
          <cell r="A9" t="str">
            <v>B3</v>
          </cell>
          <cell r="B9">
            <v>595</v>
          </cell>
          <cell r="C9">
            <v>285</v>
          </cell>
          <cell r="D9">
            <v>260</v>
          </cell>
          <cell r="E9">
            <v>0.9</v>
          </cell>
        </row>
        <row r="10">
          <cell r="A10" t="str">
            <v>C1</v>
          </cell>
          <cell r="B10">
            <v>595</v>
          </cell>
          <cell r="C10">
            <v>325</v>
          </cell>
          <cell r="D10">
            <v>375</v>
          </cell>
          <cell r="E10">
            <v>1.22</v>
          </cell>
        </row>
        <row r="11">
          <cell r="A11" t="str">
            <v>C2</v>
          </cell>
          <cell r="B11">
            <v>595</v>
          </cell>
          <cell r="C11">
            <v>325</v>
          </cell>
          <cell r="D11">
            <v>310</v>
          </cell>
          <cell r="E11">
            <v>1.1000000000000001</v>
          </cell>
        </row>
        <row r="12">
          <cell r="A12" t="str">
            <v>C3</v>
          </cell>
          <cell r="B12">
            <v>595</v>
          </cell>
          <cell r="C12">
            <v>325</v>
          </cell>
          <cell r="D12">
            <v>260</v>
          </cell>
          <cell r="E12">
            <v>1.02</v>
          </cell>
        </row>
        <row r="13">
          <cell r="A13" t="str">
            <v>D1</v>
          </cell>
          <cell r="B13">
            <v>595</v>
          </cell>
          <cell r="C13">
            <v>380</v>
          </cell>
          <cell r="D13">
            <v>375</v>
          </cell>
          <cell r="E13">
            <v>1.39</v>
          </cell>
        </row>
        <row r="14">
          <cell r="A14" t="str">
            <v>D2</v>
          </cell>
          <cell r="B14">
            <v>595</v>
          </cell>
          <cell r="C14">
            <v>380</v>
          </cell>
          <cell r="D14">
            <v>310</v>
          </cell>
          <cell r="E14">
            <v>1.27</v>
          </cell>
        </row>
        <row r="15">
          <cell r="A15" t="str">
            <v>D3</v>
          </cell>
          <cell r="B15">
            <v>595</v>
          </cell>
          <cell r="C15">
            <v>380</v>
          </cell>
          <cell r="D15">
            <v>260</v>
          </cell>
          <cell r="E15">
            <v>1.18</v>
          </cell>
        </row>
      </sheetData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CK_STD"/>
      <sheetName val="TRACK_CUS"/>
      <sheetName val="RFQ_Matalan Carton"/>
      <sheetName val="Carton Sizes Chart"/>
      <sheetName val="Sheet1"/>
      <sheetName val="Matalan Curstom CTN Price Cal"/>
    </sheetNames>
    <sheetDataSet>
      <sheetData sheetId="0"/>
      <sheetData sheetId="1"/>
      <sheetData sheetId="2">
        <row r="40">
          <cell r="M40">
            <v>0.96</v>
          </cell>
        </row>
      </sheetData>
      <sheetData sheetId="3">
        <row r="4">
          <cell r="A4" t="str">
            <v>A1</v>
          </cell>
          <cell r="B4">
            <v>495</v>
          </cell>
          <cell r="C4">
            <v>285</v>
          </cell>
          <cell r="D4">
            <v>375</v>
          </cell>
          <cell r="E4">
            <v>0.97</v>
          </cell>
        </row>
        <row r="5">
          <cell r="A5" t="str">
            <v>A2</v>
          </cell>
          <cell r="B5">
            <v>495</v>
          </cell>
          <cell r="C5">
            <v>285</v>
          </cell>
          <cell r="D5">
            <v>310</v>
          </cell>
          <cell r="E5">
            <v>0.88</v>
          </cell>
        </row>
        <row r="6">
          <cell r="A6" t="str">
            <v>A3</v>
          </cell>
          <cell r="B6">
            <v>495</v>
          </cell>
          <cell r="C6">
            <v>285</v>
          </cell>
          <cell r="D6">
            <v>260</v>
          </cell>
          <cell r="E6">
            <v>0.81</v>
          </cell>
        </row>
        <row r="7">
          <cell r="A7" t="str">
            <v>B1</v>
          </cell>
          <cell r="B7">
            <v>595</v>
          </cell>
          <cell r="C7">
            <v>285</v>
          </cell>
          <cell r="D7">
            <v>375</v>
          </cell>
          <cell r="E7">
            <v>1.1000000000000001</v>
          </cell>
        </row>
        <row r="8">
          <cell r="A8" t="str">
            <v>B2</v>
          </cell>
          <cell r="B8">
            <v>595</v>
          </cell>
          <cell r="C8">
            <v>285</v>
          </cell>
          <cell r="D8">
            <v>310</v>
          </cell>
          <cell r="E8">
            <v>0.99</v>
          </cell>
        </row>
        <row r="9">
          <cell r="A9" t="str">
            <v>B3</v>
          </cell>
          <cell r="B9">
            <v>595</v>
          </cell>
          <cell r="C9">
            <v>285</v>
          </cell>
          <cell r="D9">
            <v>260</v>
          </cell>
          <cell r="E9">
            <v>0.9</v>
          </cell>
        </row>
        <row r="10">
          <cell r="A10" t="str">
            <v>C1</v>
          </cell>
          <cell r="B10">
            <v>595</v>
          </cell>
          <cell r="C10">
            <v>325</v>
          </cell>
          <cell r="D10">
            <v>375</v>
          </cell>
          <cell r="E10">
            <v>1.22</v>
          </cell>
        </row>
        <row r="11">
          <cell r="A11" t="str">
            <v>C2</v>
          </cell>
          <cell r="B11">
            <v>595</v>
          </cell>
          <cell r="C11">
            <v>325</v>
          </cell>
          <cell r="D11">
            <v>310</v>
          </cell>
          <cell r="E11">
            <v>1.1000000000000001</v>
          </cell>
        </row>
        <row r="12">
          <cell r="A12" t="str">
            <v>C3</v>
          </cell>
          <cell r="B12">
            <v>595</v>
          </cell>
          <cell r="C12">
            <v>325</v>
          </cell>
          <cell r="D12">
            <v>260</v>
          </cell>
          <cell r="E12">
            <v>1.02</v>
          </cell>
        </row>
        <row r="13">
          <cell r="A13" t="str">
            <v>D1</v>
          </cell>
          <cell r="B13">
            <v>595</v>
          </cell>
          <cell r="C13">
            <v>380</v>
          </cell>
          <cell r="D13">
            <v>375</v>
          </cell>
          <cell r="E13">
            <v>1.39</v>
          </cell>
        </row>
        <row r="14">
          <cell r="A14" t="str">
            <v>D2</v>
          </cell>
          <cell r="B14">
            <v>595</v>
          </cell>
          <cell r="C14">
            <v>380</v>
          </cell>
          <cell r="D14">
            <v>310</v>
          </cell>
          <cell r="E14">
            <v>1.27</v>
          </cell>
        </row>
        <row r="15">
          <cell r="A15" t="str">
            <v>D3</v>
          </cell>
          <cell r="B15">
            <v>595</v>
          </cell>
          <cell r="C15">
            <v>380</v>
          </cell>
          <cell r="D15">
            <v>260</v>
          </cell>
          <cell r="E15">
            <v>1.18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CK_STD"/>
      <sheetName val="TRACK_CUS"/>
      <sheetName val="RFQ_Matalan Carton"/>
      <sheetName val="Carton Sizes Chart"/>
      <sheetName val="Matalan Curstom CTN Price Cal"/>
    </sheetNames>
    <sheetDataSet>
      <sheetData sheetId="0" refreshError="1"/>
      <sheetData sheetId="1" refreshError="1"/>
      <sheetData sheetId="2">
        <row r="32">
          <cell r="M32">
            <v>1.03</v>
          </cell>
        </row>
      </sheetData>
      <sheetData sheetId="3">
        <row r="4">
          <cell r="A4" t="str">
            <v>A1</v>
          </cell>
          <cell r="B4">
            <v>495</v>
          </cell>
          <cell r="C4">
            <v>285</v>
          </cell>
          <cell r="D4">
            <v>375</v>
          </cell>
          <cell r="E4">
            <v>0.97</v>
          </cell>
        </row>
        <row r="5">
          <cell r="A5" t="str">
            <v>A2</v>
          </cell>
          <cell r="B5">
            <v>495</v>
          </cell>
          <cell r="C5">
            <v>285</v>
          </cell>
          <cell r="D5">
            <v>310</v>
          </cell>
          <cell r="E5">
            <v>0.88</v>
          </cell>
        </row>
        <row r="6">
          <cell r="A6" t="str">
            <v>A3</v>
          </cell>
          <cell r="B6">
            <v>495</v>
          </cell>
          <cell r="C6">
            <v>285</v>
          </cell>
          <cell r="D6">
            <v>260</v>
          </cell>
          <cell r="E6">
            <v>0.81</v>
          </cell>
        </row>
        <row r="7">
          <cell r="A7" t="str">
            <v>B1</v>
          </cell>
          <cell r="B7">
            <v>595</v>
          </cell>
          <cell r="C7">
            <v>285</v>
          </cell>
          <cell r="D7">
            <v>375</v>
          </cell>
          <cell r="E7">
            <v>1.1000000000000001</v>
          </cell>
        </row>
        <row r="8">
          <cell r="A8" t="str">
            <v>B2</v>
          </cell>
          <cell r="B8">
            <v>595</v>
          </cell>
          <cell r="C8">
            <v>285</v>
          </cell>
          <cell r="D8">
            <v>310</v>
          </cell>
          <cell r="E8">
            <v>0.99</v>
          </cell>
        </row>
        <row r="9">
          <cell r="A9" t="str">
            <v>B3</v>
          </cell>
          <cell r="B9">
            <v>595</v>
          </cell>
          <cell r="C9">
            <v>285</v>
          </cell>
          <cell r="D9">
            <v>260</v>
          </cell>
          <cell r="E9">
            <v>0.9</v>
          </cell>
        </row>
        <row r="10">
          <cell r="A10" t="str">
            <v>C1</v>
          </cell>
          <cell r="B10">
            <v>595</v>
          </cell>
          <cell r="C10">
            <v>325</v>
          </cell>
          <cell r="D10">
            <v>375</v>
          </cell>
          <cell r="E10">
            <v>1.22</v>
          </cell>
        </row>
        <row r="11">
          <cell r="A11" t="str">
            <v>C2</v>
          </cell>
          <cell r="B11">
            <v>595</v>
          </cell>
          <cell r="C11">
            <v>325</v>
          </cell>
          <cell r="D11">
            <v>310</v>
          </cell>
          <cell r="E11">
            <v>1.1000000000000001</v>
          </cell>
        </row>
        <row r="12">
          <cell r="A12" t="str">
            <v>C3</v>
          </cell>
          <cell r="B12">
            <v>595</v>
          </cell>
          <cell r="C12">
            <v>325</v>
          </cell>
          <cell r="D12">
            <v>260</v>
          </cell>
          <cell r="E12">
            <v>1.02</v>
          </cell>
        </row>
        <row r="13">
          <cell r="A13" t="str">
            <v>D1</v>
          </cell>
          <cell r="B13">
            <v>595</v>
          </cell>
          <cell r="C13">
            <v>380</v>
          </cell>
          <cell r="D13">
            <v>375</v>
          </cell>
          <cell r="E13">
            <v>1.39</v>
          </cell>
        </row>
        <row r="14">
          <cell r="A14" t="str">
            <v>D2</v>
          </cell>
          <cell r="B14">
            <v>595</v>
          </cell>
          <cell r="C14">
            <v>380</v>
          </cell>
          <cell r="D14">
            <v>310</v>
          </cell>
          <cell r="E14">
            <v>1.27</v>
          </cell>
        </row>
        <row r="15">
          <cell r="A15" t="str">
            <v>D3</v>
          </cell>
          <cell r="B15">
            <v>595</v>
          </cell>
          <cell r="C15">
            <v>380</v>
          </cell>
          <cell r="D15">
            <v>260</v>
          </cell>
          <cell r="E15">
            <v>1.18</v>
          </cell>
        </row>
      </sheetData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CK_STD"/>
      <sheetName val="TRACK_CUS"/>
      <sheetName val="RFQ_Matalan Carton"/>
      <sheetName val="Carton Sizes Chart"/>
      <sheetName val="Matalan Curstom CTN Price Cal"/>
    </sheetNames>
    <sheetDataSet>
      <sheetData sheetId="0" refreshError="1"/>
      <sheetData sheetId="1" refreshError="1"/>
      <sheetData sheetId="2">
        <row r="32">
          <cell r="M32">
            <v>1.03</v>
          </cell>
        </row>
      </sheetData>
      <sheetData sheetId="3">
        <row r="4">
          <cell r="A4" t="str">
            <v>A1</v>
          </cell>
          <cell r="B4">
            <v>495</v>
          </cell>
          <cell r="C4">
            <v>285</v>
          </cell>
          <cell r="D4">
            <v>375</v>
          </cell>
          <cell r="E4">
            <v>0.97</v>
          </cell>
        </row>
        <row r="5">
          <cell r="A5" t="str">
            <v>A2</v>
          </cell>
          <cell r="B5">
            <v>495</v>
          </cell>
          <cell r="C5">
            <v>285</v>
          </cell>
          <cell r="D5">
            <v>310</v>
          </cell>
          <cell r="E5">
            <v>0.88</v>
          </cell>
        </row>
        <row r="6">
          <cell r="A6" t="str">
            <v>A3</v>
          </cell>
          <cell r="B6">
            <v>495</v>
          </cell>
          <cell r="C6">
            <v>285</v>
          </cell>
          <cell r="D6">
            <v>260</v>
          </cell>
          <cell r="E6">
            <v>0.81</v>
          </cell>
        </row>
        <row r="7">
          <cell r="A7" t="str">
            <v>B1</v>
          </cell>
          <cell r="B7">
            <v>595</v>
          </cell>
          <cell r="C7">
            <v>285</v>
          </cell>
          <cell r="D7">
            <v>375</v>
          </cell>
          <cell r="E7">
            <v>1.1000000000000001</v>
          </cell>
        </row>
        <row r="8">
          <cell r="A8" t="str">
            <v>B2</v>
          </cell>
          <cell r="B8">
            <v>595</v>
          </cell>
          <cell r="C8">
            <v>285</v>
          </cell>
          <cell r="D8">
            <v>310</v>
          </cell>
          <cell r="E8">
            <v>0.99</v>
          </cell>
        </row>
        <row r="9">
          <cell r="A9" t="str">
            <v>B3</v>
          </cell>
          <cell r="B9">
            <v>595</v>
          </cell>
          <cell r="C9">
            <v>285</v>
          </cell>
          <cell r="D9">
            <v>260</v>
          </cell>
          <cell r="E9">
            <v>0.9</v>
          </cell>
        </row>
        <row r="10">
          <cell r="A10" t="str">
            <v>C1</v>
          </cell>
          <cell r="B10">
            <v>595</v>
          </cell>
          <cell r="C10">
            <v>325</v>
          </cell>
          <cell r="D10">
            <v>375</v>
          </cell>
          <cell r="E10">
            <v>1.22</v>
          </cell>
        </row>
        <row r="11">
          <cell r="A11" t="str">
            <v>C2</v>
          </cell>
          <cell r="B11">
            <v>595</v>
          </cell>
          <cell r="C11">
            <v>325</v>
          </cell>
          <cell r="D11">
            <v>310</v>
          </cell>
          <cell r="E11">
            <v>1.1000000000000001</v>
          </cell>
        </row>
        <row r="12">
          <cell r="A12" t="str">
            <v>C3</v>
          </cell>
          <cell r="B12">
            <v>595</v>
          </cell>
          <cell r="C12">
            <v>325</v>
          </cell>
          <cell r="D12">
            <v>260</v>
          </cell>
          <cell r="E12">
            <v>1.02</v>
          </cell>
        </row>
        <row r="13">
          <cell r="A13" t="str">
            <v>D1</v>
          </cell>
          <cell r="B13">
            <v>595</v>
          </cell>
          <cell r="C13">
            <v>380</v>
          </cell>
          <cell r="D13">
            <v>375</v>
          </cell>
          <cell r="E13">
            <v>1.39</v>
          </cell>
        </row>
        <row r="14">
          <cell r="A14" t="str">
            <v>D2</v>
          </cell>
          <cell r="B14">
            <v>595</v>
          </cell>
          <cell r="C14">
            <v>380</v>
          </cell>
          <cell r="D14">
            <v>310</v>
          </cell>
          <cell r="E14">
            <v>1.27</v>
          </cell>
        </row>
        <row r="15">
          <cell r="A15" t="str">
            <v>D3</v>
          </cell>
          <cell r="B15">
            <v>595</v>
          </cell>
          <cell r="C15">
            <v>380</v>
          </cell>
          <cell r="D15">
            <v>260</v>
          </cell>
          <cell r="E15">
            <v>1.18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3685-8F5D-4F63-BD53-B854E5FA0160}">
  <dimension ref="A1:X509"/>
  <sheetViews>
    <sheetView tabSelected="1" zoomScaleNormal="100" workbookViewId="0">
      <pane ySplit="2" topLeftCell="A3" activePane="bottomLeft" state="frozen"/>
      <selection pane="bottomLeft" activeCell="C3" sqref="C3"/>
    </sheetView>
  </sheetViews>
  <sheetFormatPr defaultColWidth="8.875" defaultRowHeight="12"/>
  <cols>
    <col min="1" max="2" width="16.375" style="104" customWidth="1"/>
    <col min="3" max="3" width="16.375" style="115" customWidth="1"/>
    <col min="4" max="4" width="21.25" style="116" bestFit="1" customWidth="1"/>
    <col min="5" max="5" width="24.25" style="104" bestFit="1" customWidth="1"/>
    <col min="6" max="6" width="23.75" style="116" bestFit="1" customWidth="1"/>
    <col min="7" max="7" width="16.375" style="106" customWidth="1"/>
    <col min="8" max="8" width="11.75" style="106" customWidth="1"/>
    <col min="9" max="9" width="10.375" style="106" customWidth="1"/>
    <col min="10" max="10" width="18.875" style="106" customWidth="1"/>
    <col min="11" max="18" width="10.375" style="106" customWidth="1"/>
    <col min="19" max="19" width="17.875" style="106" bestFit="1" customWidth="1"/>
    <col min="20" max="20" width="10.75" style="106" bestFit="1" customWidth="1"/>
    <col min="21" max="21" width="13.375" style="106" bestFit="1" customWidth="1"/>
    <col min="22" max="22" width="12.75" style="106" bestFit="1" customWidth="1"/>
    <col min="23" max="23" width="19.125" style="106" bestFit="1" customWidth="1"/>
    <col min="24" max="24" width="20.25" style="106" customWidth="1"/>
    <col min="25" max="16384" width="8.875" style="106"/>
  </cols>
  <sheetData>
    <row r="1" spans="1:24" ht="21" customHeight="1">
      <c r="I1" s="17">
        <f>SUBTOTAL(9,I3:I513)</f>
        <v>28001</v>
      </c>
      <c r="U1" s="128">
        <f>SUBTOTAL(9,U3:U513)</f>
        <v>33646.915210879997</v>
      </c>
      <c r="V1" s="128">
        <f>SUBTOTAL(9,V3:V513)</f>
        <v>1278.5827780134405</v>
      </c>
      <c r="W1" s="128">
        <f>SUBTOTAL(9,W3:W513)</f>
        <v>1682.3457605439999</v>
      </c>
    </row>
    <row r="2" spans="1:24" s="117" customFormat="1" ht="28.5">
      <c r="A2" s="88" t="s">
        <v>103</v>
      </c>
      <c r="B2" s="88" t="s">
        <v>102</v>
      </c>
      <c r="C2" s="88" t="s">
        <v>108</v>
      </c>
      <c r="D2" s="88" t="s">
        <v>104</v>
      </c>
      <c r="E2" s="88" t="s">
        <v>100</v>
      </c>
      <c r="F2" s="102" t="s">
        <v>101</v>
      </c>
      <c r="G2" s="88" t="s">
        <v>105</v>
      </c>
      <c r="H2" s="88" t="s">
        <v>106</v>
      </c>
      <c r="I2" s="88" t="s">
        <v>107</v>
      </c>
      <c r="J2" s="88" t="s">
        <v>73</v>
      </c>
      <c r="K2" s="88" t="s">
        <v>74</v>
      </c>
      <c r="L2" s="88" t="s">
        <v>93</v>
      </c>
      <c r="M2" s="88" t="s">
        <v>97</v>
      </c>
      <c r="N2" s="88" t="s">
        <v>98</v>
      </c>
      <c r="O2" s="88" t="s">
        <v>99</v>
      </c>
      <c r="P2" s="100" t="s">
        <v>82</v>
      </c>
      <c r="Q2" s="100" t="s">
        <v>83</v>
      </c>
      <c r="R2" s="100" t="s">
        <v>78</v>
      </c>
      <c r="S2" s="100" t="s">
        <v>79</v>
      </c>
      <c r="T2" s="101" t="s">
        <v>94</v>
      </c>
      <c r="U2" s="101" t="s">
        <v>92</v>
      </c>
      <c r="V2" s="101" t="s">
        <v>111</v>
      </c>
      <c r="W2" s="101" t="s">
        <v>112</v>
      </c>
      <c r="X2" s="101" t="s">
        <v>81</v>
      </c>
    </row>
    <row r="3" spans="1:24">
      <c r="A3" s="118">
        <v>46235</v>
      </c>
      <c r="B3" s="118">
        <v>46237</v>
      </c>
      <c r="C3" s="119"/>
      <c r="D3" s="118" t="s">
        <v>159</v>
      </c>
      <c r="E3" s="118" t="s">
        <v>159</v>
      </c>
      <c r="F3" s="118" t="s">
        <v>126</v>
      </c>
      <c r="G3" s="119" t="s">
        <v>161</v>
      </c>
      <c r="H3" s="119">
        <v>7124457</v>
      </c>
      <c r="I3" s="119">
        <v>176</v>
      </c>
      <c r="J3" s="119" t="s">
        <v>95</v>
      </c>
      <c r="K3" s="119" t="s">
        <v>110</v>
      </c>
      <c r="L3" s="119" t="s">
        <v>45</v>
      </c>
      <c r="M3" s="51" cm="1">
        <f t="array" ref="M3">IF(L3="",0,_xlfn.SWITCH(L3,"A1",495,"A2",495,"A3",495,"Custom",0,595))</f>
        <v>595</v>
      </c>
      <c r="N3" s="51" cm="1">
        <f t="array" ref="N3">IF(L3="",0,_xlfn.SWITCH(L3,"C1",325,"C2",325,"C3",325,"D1",380,"D2",380,"D3",380,"Custom",0,285))</f>
        <v>325</v>
      </c>
      <c r="O3" s="51">
        <f>IF(L3="",0,_xlfn.SWITCH(L3,"A1",375,"B1",375,"C1",375,"D1",375,"A2",310,"B2",310,"C2",310,"D2",310,"Custom",0,260))</f>
        <v>375</v>
      </c>
      <c r="P3" s="51">
        <f>IFERROR(IF(OR(M3=0,N3=0),0,(M3+N3)*2+11),0)</f>
        <v>1851</v>
      </c>
      <c r="Q3" s="51">
        <f>IFERROR(IF(OR(N3=0,O3=0),0,(N3+O3)-16),0)</f>
        <v>684</v>
      </c>
      <c r="R3" s="53">
        <f>P3*Q3/1000000</f>
        <v>1.266084</v>
      </c>
      <c r="S3" s="123">
        <f>IFERROR(VLOOKUP(L3,'Carton Sizes Chart'!$A$4:$E$15,5,FALSE),0)</f>
        <v>1.22</v>
      </c>
      <c r="T3" s="124">
        <f>S3</f>
        <v>1.22</v>
      </c>
      <c r="U3" s="124">
        <f>I3*T3</f>
        <v>214.72</v>
      </c>
      <c r="V3" s="123">
        <f>((T3*I3)-W3)*4%</f>
        <v>8.1593600000000013</v>
      </c>
      <c r="W3" s="124">
        <f>S3*I3*5%</f>
        <v>10.736000000000001</v>
      </c>
      <c r="X3" s="112"/>
    </row>
    <row r="4" spans="1:24">
      <c r="A4" s="118">
        <v>46235</v>
      </c>
      <c r="B4" s="118">
        <v>46237</v>
      </c>
      <c r="C4" s="119"/>
      <c r="D4" s="118" t="s">
        <v>159</v>
      </c>
      <c r="E4" s="118" t="s">
        <v>159</v>
      </c>
      <c r="F4" s="118" t="s">
        <v>126</v>
      </c>
      <c r="G4" s="119" t="s">
        <v>162</v>
      </c>
      <c r="H4" s="119">
        <v>7125716</v>
      </c>
      <c r="I4" s="119">
        <v>131</v>
      </c>
      <c r="J4" s="119" t="s">
        <v>95</v>
      </c>
      <c r="K4" s="119" t="s">
        <v>110</v>
      </c>
      <c r="L4" s="119" t="s">
        <v>50</v>
      </c>
      <c r="M4" s="51" cm="1">
        <f t="array" ref="M4">IF(L4="",0,_xlfn.SWITCH(L4,"A1",495,"A2",495,"A3",495,"Custom",0,595))</f>
        <v>595</v>
      </c>
      <c r="N4" s="51" cm="1">
        <f t="array" ref="N4">IF(L4="",0,_xlfn.SWITCH(L4,"C1",325,"C2",325,"C3",325,"D1",380,"D2",380,"D3",380,"Custom",0,285))</f>
        <v>380</v>
      </c>
      <c r="O4" s="51">
        <f>IF(L4="",0,_xlfn.SWITCH(L4,"A1",375,"B1",375,"C1",375,"D1",375,"A2",310,"B2",310,"C2",310,"D2",310,"Custom",0,260))</f>
        <v>260</v>
      </c>
      <c r="P4" s="51">
        <f>IFERROR(IF(OR(M4=0,N4=0),0,(M4+N4)*2+11),0)</f>
        <v>1961</v>
      </c>
      <c r="Q4" s="51">
        <f>IFERROR(IF(OR(N4=0,O4=0),0,(N4+O4)-16),0)</f>
        <v>624</v>
      </c>
      <c r="R4" s="53">
        <f>P4*Q4/1000000</f>
        <v>1.2236640000000001</v>
      </c>
      <c r="S4" s="123">
        <f>IFERROR(VLOOKUP(L4,'Carton Sizes Chart'!$A$4:$E$15,5,FALSE),0)</f>
        <v>1.18</v>
      </c>
      <c r="T4" s="124">
        <f>S4</f>
        <v>1.18</v>
      </c>
      <c r="U4" s="124">
        <f>I4*T4</f>
        <v>154.57999999999998</v>
      </c>
      <c r="V4" s="123">
        <f>((T4*I4)-W4)*4%</f>
        <v>5.8740399999999999</v>
      </c>
      <c r="W4" s="124">
        <f>S4*I4*5%</f>
        <v>7.7289999999999992</v>
      </c>
      <c r="X4" s="113"/>
    </row>
    <row r="5" spans="1:24">
      <c r="A5" s="118">
        <v>46233</v>
      </c>
      <c r="B5" s="118">
        <v>46235</v>
      </c>
      <c r="C5" s="119"/>
      <c r="D5" s="118" t="s">
        <v>193</v>
      </c>
      <c r="E5" s="118" t="s">
        <v>194</v>
      </c>
      <c r="F5" s="118" t="s">
        <v>126</v>
      </c>
      <c r="G5" s="119" t="s">
        <v>195</v>
      </c>
      <c r="H5" s="119">
        <v>7126382</v>
      </c>
      <c r="I5" s="119">
        <v>43</v>
      </c>
      <c r="J5" s="119" t="s">
        <v>95</v>
      </c>
      <c r="K5" s="119" t="s">
        <v>110</v>
      </c>
      <c r="L5" s="119" t="s">
        <v>46</v>
      </c>
      <c r="M5" s="51" cm="1">
        <f t="array" ref="M5">IF(L5="",0,_xlfn.SWITCH(L5,"A1",495,"A2",495,"A3",495,"Custom",0,595))</f>
        <v>595</v>
      </c>
      <c r="N5" s="51" cm="1">
        <f t="array" ref="N5">IF(L5="",0,_xlfn.SWITCH(L5,"C1",325,"C2",325,"C3",325,"D1",380,"D2",380,"D3",380,"Custom",0,285))</f>
        <v>325</v>
      </c>
      <c r="O5" s="51">
        <f>IF(L5="",0,_xlfn.SWITCH(L5,"A1",375,"B1",375,"C1",375,"D1",375,"A2",310,"B2",310,"C2",310,"D2",310,"Custom",0,260))</f>
        <v>310</v>
      </c>
      <c r="P5" s="51">
        <f>IFERROR(IF(OR(M5=0,N5=0),0,(M5+N5)*2+11),0)</f>
        <v>1851</v>
      </c>
      <c r="Q5" s="51">
        <f>IFERROR(IF(OR(N5=0,O5=0),0,(N5+O5)-16),0)</f>
        <v>619</v>
      </c>
      <c r="R5" s="53">
        <f>P5*Q5/1000000</f>
        <v>1.145769</v>
      </c>
      <c r="S5" s="123">
        <f>IFERROR(VLOOKUP(L5,'Carton Sizes Chart'!$A$4:$E$15,5,FALSE),0)</f>
        <v>1.1000000000000001</v>
      </c>
      <c r="T5" s="124">
        <f>S5</f>
        <v>1.1000000000000001</v>
      </c>
      <c r="U5" s="124">
        <f>I5*T5</f>
        <v>47.300000000000004</v>
      </c>
      <c r="V5" s="123">
        <f>((T5*I5)-W5)*4%</f>
        <v>1.7974000000000001</v>
      </c>
      <c r="W5" s="124">
        <f>S5*I5*5%</f>
        <v>2.3650000000000002</v>
      </c>
      <c r="X5" s="113"/>
    </row>
    <row r="6" spans="1:24">
      <c r="A6" s="118">
        <v>46233</v>
      </c>
      <c r="B6" s="118">
        <v>46235</v>
      </c>
      <c r="C6" s="119"/>
      <c r="D6" s="118" t="s">
        <v>193</v>
      </c>
      <c r="E6" s="118" t="s">
        <v>194</v>
      </c>
      <c r="F6" s="118" t="s">
        <v>126</v>
      </c>
      <c r="G6" s="119" t="s">
        <v>195</v>
      </c>
      <c r="H6" s="119">
        <v>7126382</v>
      </c>
      <c r="I6" s="119">
        <v>62</v>
      </c>
      <c r="J6" s="119" t="s">
        <v>95</v>
      </c>
      <c r="K6" s="119" t="s">
        <v>110</v>
      </c>
      <c r="L6" s="119" t="s">
        <v>49</v>
      </c>
      <c r="M6" s="51" cm="1">
        <f t="array" ref="M6">IF(L6="",0,_xlfn.SWITCH(L6,"A1",495,"A2",495,"A3",495,"Custom",0,595))</f>
        <v>595</v>
      </c>
      <c r="N6" s="51" cm="1">
        <f t="array" ref="N6">IF(L6="",0,_xlfn.SWITCH(L6,"C1",325,"C2",325,"C3",325,"D1",380,"D2",380,"D3",380,"Custom",0,285))</f>
        <v>380</v>
      </c>
      <c r="O6" s="51">
        <f>IF(L6="",0,_xlfn.SWITCH(L6,"A1",375,"B1",375,"C1",375,"D1",375,"A2",310,"B2",310,"C2",310,"D2",310,"Custom",0,260))</f>
        <v>310</v>
      </c>
      <c r="P6" s="51">
        <f>IFERROR(IF(OR(M6=0,N6=0),0,(M6+N6)*2+11),0)</f>
        <v>1961</v>
      </c>
      <c r="Q6" s="51">
        <f>IFERROR(IF(OR(N6=0,O6=0),0,(N6+O6)-16),0)</f>
        <v>674</v>
      </c>
      <c r="R6" s="53">
        <f>P6*Q6/1000000</f>
        <v>1.3217140000000001</v>
      </c>
      <c r="S6" s="123">
        <f>IFERROR(VLOOKUP(L6,'Carton Sizes Chart'!$A$4:$E$15,5,FALSE),0)</f>
        <v>1.27</v>
      </c>
      <c r="T6" s="124">
        <f>S6</f>
        <v>1.27</v>
      </c>
      <c r="U6" s="124">
        <f>I6*T6</f>
        <v>78.739999999999995</v>
      </c>
      <c r="V6" s="123">
        <f>((T6*I6)-W6)*4%</f>
        <v>2.9921199999999999</v>
      </c>
      <c r="W6" s="124">
        <f>S6*I6*5%</f>
        <v>3.9369999999999998</v>
      </c>
      <c r="X6" s="113"/>
    </row>
    <row r="7" spans="1:24">
      <c r="A7" s="118">
        <v>46233</v>
      </c>
      <c r="B7" s="118">
        <v>46235</v>
      </c>
      <c r="C7" s="119"/>
      <c r="D7" s="118" t="s">
        <v>147</v>
      </c>
      <c r="E7" s="118" t="s">
        <v>147</v>
      </c>
      <c r="F7" s="118" t="s">
        <v>126</v>
      </c>
      <c r="G7" s="119" t="s">
        <v>148</v>
      </c>
      <c r="H7" s="119">
        <v>7126761</v>
      </c>
      <c r="I7" s="119">
        <v>130</v>
      </c>
      <c r="J7" s="119" t="s">
        <v>95</v>
      </c>
      <c r="K7" s="119" t="s">
        <v>110</v>
      </c>
      <c r="L7" s="119" t="s">
        <v>46</v>
      </c>
      <c r="M7" s="51" cm="1">
        <f t="array" ref="M7">IF(L7="",0,_xlfn.SWITCH(L7,"A1",495,"A2",495,"A3",495,"Custom",0,595))</f>
        <v>595</v>
      </c>
      <c r="N7" s="51" cm="1">
        <f t="array" ref="N7">IF(L7="",0,_xlfn.SWITCH(L7,"C1",325,"C2",325,"C3",325,"D1",380,"D2",380,"D3",380,"Custom",0,285))</f>
        <v>325</v>
      </c>
      <c r="O7" s="51">
        <f>IF(L7="",0,_xlfn.SWITCH(L7,"A1",375,"B1",375,"C1",375,"D1",375,"A2",310,"B2",310,"C2",310,"D2",310,"Custom",0,260))</f>
        <v>310</v>
      </c>
      <c r="P7" s="51">
        <f>IFERROR(IF(OR(M7=0,N7=0),0,(M7+N7)*2+11),0)</f>
        <v>1851</v>
      </c>
      <c r="Q7" s="51">
        <f>IFERROR(IF(OR(N7=0,O7=0),0,(N7+O7)-16),0)</f>
        <v>619</v>
      </c>
      <c r="R7" s="53">
        <f>P7*Q7/1000000</f>
        <v>1.145769</v>
      </c>
      <c r="S7" s="123">
        <f>IFERROR(VLOOKUP(L7,'Carton Sizes Chart'!$A$4:$E$15,5,FALSE),0)</f>
        <v>1.1000000000000001</v>
      </c>
      <c r="T7" s="124">
        <f>S7</f>
        <v>1.1000000000000001</v>
      </c>
      <c r="U7" s="124">
        <f>I7*T7</f>
        <v>143</v>
      </c>
      <c r="V7" s="123">
        <f>((T7*I7)-W7)*4%</f>
        <v>5.4340000000000002</v>
      </c>
      <c r="W7" s="124">
        <f>S7*I7*5%</f>
        <v>7.15</v>
      </c>
      <c r="X7" s="113"/>
    </row>
    <row r="8" spans="1:24">
      <c r="A8" s="118">
        <v>46235</v>
      </c>
      <c r="B8" s="118">
        <v>46237</v>
      </c>
      <c r="C8" s="119"/>
      <c r="D8" s="118" t="s">
        <v>159</v>
      </c>
      <c r="E8" s="118" t="s">
        <v>159</v>
      </c>
      <c r="F8" s="118" t="s">
        <v>126</v>
      </c>
      <c r="G8" s="119" t="s">
        <v>160</v>
      </c>
      <c r="H8" s="119">
        <v>7127600</v>
      </c>
      <c r="I8" s="119">
        <v>37</v>
      </c>
      <c r="J8" s="119" t="s">
        <v>95</v>
      </c>
      <c r="K8" s="119" t="s">
        <v>110</v>
      </c>
      <c r="L8" s="119" t="s">
        <v>48</v>
      </c>
      <c r="M8" s="51" cm="1">
        <f t="array" ref="M8">IF(L8="",0,_xlfn.SWITCH(L8,"A1",495,"A2",495,"A3",495,"Custom",0,595))</f>
        <v>595</v>
      </c>
      <c r="N8" s="51" cm="1">
        <f t="array" ref="N8">IF(L8="",0,_xlfn.SWITCH(L8,"C1",325,"C2",325,"C3",325,"D1",380,"D2",380,"D3",380,"Custom",0,285))</f>
        <v>380</v>
      </c>
      <c r="O8" s="51">
        <f>IF(L8="",0,_xlfn.SWITCH(L8,"A1",375,"B1",375,"C1",375,"D1",375,"A2",310,"B2",310,"C2",310,"D2",310,"Custom",0,260))</f>
        <v>375</v>
      </c>
      <c r="P8" s="51">
        <f>IFERROR(IF(OR(M8=0,N8=0),0,(M8+N8)*2+11),0)</f>
        <v>1961</v>
      </c>
      <c r="Q8" s="51">
        <f>IFERROR(IF(OR(N8=0,O8=0),0,(N8+O8)-16),0)</f>
        <v>739</v>
      </c>
      <c r="R8" s="53">
        <f>P8*Q8/1000000</f>
        <v>1.449179</v>
      </c>
      <c r="S8" s="123">
        <f>IFERROR(VLOOKUP(L8,'Carton Sizes Chart'!$A$4:$E$15,5,FALSE),0)</f>
        <v>1.39</v>
      </c>
      <c r="T8" s="124">
        <f>S8</f>
        <v>1.39</v>
      </c>
      <c r="U8" s="124">
        <f>I8*T8</f>
        <v>51.43</v>
      </c>
      <c r="V8" s="123">
        <f>((T8*I8)-W8)*4%</f>
        <v>1.95434</v>
      </c>
      <c r="W8" s="124">
        <f>S8*I8*5%</f>
        <v>2.5715000000000003</v>
      </c>
      <c r="X8" s="113"/>
    </row>
    <row r="9" spans="1:24">
      <c r="A9" s="118">
        <v>46235</v>
      </c>
      <c r="B9" s="118">
        <v>46237</v>
      </c>
      <c r="C9" s="119"/>
      <c r="D9" s="118" t="s">
        <v>159</v>
      </c>
      <c r="E9" s="118" t="s">
        <v>159</v>
      </c>
      <c r="F9" s="118" t="s">
        <v>126</v>
      </c>
      <c r="G9" s="119" t="s">
        <v>162</v>
      </c>
      <c r="H9" s="119">
        <v>7127890</v>
      </c>
      <c r="I9" s="119">
        <v>122</v>
      </c>
      <c r="J9" s="119" t="s">
        <v>95</v>
      </c>
      <c r="K9" s="119" t="s">
        <v>110</v>
      </c>
      <c r="L9" s="119" t="s">
        <v>50</v>
      </c>
      <c r="M9" s="51" cm="1">
        <f t="array" ref="M9">IF(L9="",0,_xlfn.SWITCH(L9,"A1",495,"A2",495,"A3",495,"Custom",0,595))</f>
        <v>595</v>
      </c>
      <c r="N9" s="51" cm="1">
        <f t="array" ref="N9">IF(L9="",0,_xlfn.SWITCH(L9,"C1",325,"C2",325,"C3",325,"D1",380,"D2",380,"D3",380,"Custom",0,285))</f>
        <v>380</v>
      </c>
      <c r="O9" s="51">
        <f>IF(L9="",0,_xlfn.SWITCH(L9,"A1",375,"B1",375,"C1",375,"D1",375,"A2",310,"B2",310,"C2",310,"D2",310,"Custom",0,260))</f>
        <v>260</v>
      </c>
      <c r="P9" s="51">
        <f>IFERROR(IF(OR(M9=0,N9=0),0,(M9+N9)*2+11),0)</f>
        <v>1961</v>
      </c>
      <c r="Q9" s="51">
        <f>IFERROR(IF(OR(N9=0,O9=0),0,(N9+O9)-16),0)</f>
        <v>624</v>
      </c>
      <c r="R9" s="53">
        <f>P9*Q9/1000000</f>
        <v>1.2236640000000001</v>
      </c>
      <c r="S9" s="123">
        <f>IFERROR(VLOOKUP(L9,'Carton Sizes Chart'!$A$4:$E$15,5,FALSE),0)</f>
        <v>1.18</v>
      </c>
      <c r="T9" s="124">
        <f>S9</f>
        <v>1.18</v>
      </c>
      <c r="U9" s="124">
        <f>I9*T9</f>
        <v>143.95999999999998</v>
      </c>
      <c r="V9" s="123">
        <f>((T9*I9)-W9)*4%</f>
        <v>5.4704799999999993</v>
      </c>
      <c r="W9" s="124">
        <f>S9*I9*5%</f>
        <v>7.1979999999999995</v>
      </c>
      <c r="X9" s="113"/>
    </row>
    <row r="10" spans="1:24">
      <c r="A10" s="118">
        <v>46236</v>
      </c>
      <c r="B10" s="118">
        <v>46238</v>
      </c>
      <c r="C10" s="119"/>
      <c r="D10" s="118" t="s">
        <v>131</v>
      </c>
      <c r="E10" s="118" t="s">
        <v>132</v>
      </c>
      <c r="F10" s="118" t="s">
        <v>126</v>
      </c>
      <c r="G10" s="119" t="s">
        <v>133</v>
      </c>
      <c r="H10" s="119">
        <v>7127958</v>
      </c>
      <c r="I10" s="119">
        <v>260</v>
      </c>
      <c r="J10" s="119" t="s">
        <v>95</v>
      </c>
      <c r="K10" s="119" t="s">
        <v>110</v>
      </c>
      <c r="L10" s="119" t="s">
        <v>45</v>
      </c>
      <c r="M10" s="51" cm="1">
        <f t="array" ref="M10">IF(L10="",0,_xlfn.SWITCH(L10,"A1",495,"A2",495,"A3",495,"Custom",0,595))</f>
        <v>595</v>
      </c>
      <c r="N10" s="51" cm="1">
        <f t="array" ref="N10">IF(L10="",0,_xlfn.SWITCH(L10,"C1",325,"C2",325,"C3",325,"D1",380,"D2",380,"D3",380,"Custom",0,285))</f>
        <v>325</v>
      </c>
      <c r="O10" s="51">
        <f>IF(L10="",0,_xlfn.SWITCH(L10,"A1",375,"B1",375,"C1",375,"D1",375,"A2",310,"B2",310,"C2",310,"D2",310,"Custom",0,260))</f>
        <v>375</v>
      </c>
      <c r="P10" s="51">
        <f>IFERROR(IF(OR(M10=0,N10=0),0,(M10+N10)*2+11),0)</f>
        <v>1851</v>
      </c>
      <c r="Q10" s="51">
        <f>IFERROR(IF(OR(N10=0,O10=0),0,(N10+O10)-16),0)</f>
        <v>684</v>
      </c>
      <c r="R10" s="53">
        <f>P10*Q10/1000000</f>
        <v>1.266084</v>
      </c>
      <c r="S10" s="123">
        <f>IFERROR(VLOOKUP(L10,'Carton Sizes Chart'!$A$4:$E$15,5,FALSE),0)</f>
        <v>1.22</v>
      </c>
      <c r="T10" s="124">
        <f>S10</f>
        <v>1.22</v>
      </c>
      <c r="U10" s="124">
        <f>I10*T10</f>
        <v>317.2</v>
      </c>
      <c r="V10" s="123">
        <f>((T10*I10)-W10)*4%</f>
        <v>12.053599999999999</v>
      </c>
      <c r="W10" s="124">
        <f>S10*I10*5%</f>
        <v>15.86</v>
      </c>
      <c r="X10" s="113"/>
    </row>
    <row r="11" spans="1:24">
      <c r="A11" s="118">
        <v>46240</v>
      </c>
      <c r="B11" s="118">
        <v>46243</v>
      </c>
      <c r="C11" s="119"/>
      <c r="D11" s="118" t="s">
        <v>159</v>
      </c>
      <c r="E11" s="118" t="s">
        <v>159</v>
      </c>
      <c r="F11" s="118" t="s">
        <v>126</v>
      </c>
      <c r="G11" s="119" t="s">
        <v>163</v>
      </c>
      <c r="H11" s="119">
        <v>7130655</v>
      </c>
      <c r="I11" s="119">
        <v>156</v>
      </c>
      <c r="J11" s="119" t="s">
        <v>95</v>
      </c>
      <c r="K11" s="119" t="s">
        <v>110</v>
      </c>
      <c r="L11" s="119" t="s">
        <v>48</v>
      </c>
      <c r="M11" s="51" cm="1">
        <f t="array" ref="M11">IF(L11="",0,_xlfn.SWITCH(L11,"A1",495,"A2",495,"A3",495,"Custom",0,595))</f>
        <v>595</v>
      </c>
      <c r="N11" s="51" cm="1">
        <f t="array" ref="N11">IF(L11="",0,_xlfn.SWITCH(L11,"C1",325,"C2",325,"C3",325,"D1",380,"D2",380,"D3",380,"Custom",0,285))</f>
        <v>380</v>
      </c>
      <c r="O11" s="51">
        <f>IF(L11="",0,_xlfn.SWITCH(L11,"A1",375,"B1",375,"C1",375,"D1",375,"A2",310,"B2",310,"C2",310,"D2",310,"Custom",0,260))</f>
        <v>375</v>
      </c>
      <c r="P11" s="51">
        <f>IFERROR(IF(OR(M11=0,N11=0),0,(M11+N11)*2+11),0)</f>
        <v>1961</v>
      </c>
      <c r="Q11" s="51">
        <f>IFERROR(IF(OR(N11=0,O11=0),0,(N11+O11)-16),0)</f>
        <v>739</v>
      </c>
      <c r="R11" s="53">
        <f>P11*Q11/1000000</f>
        <v>1.449179</v>
      </c>
      <c r="S11" s="123">
        <f>IFERROR(VLOOKUP(L11,'Carton Sizes Chart'!$A$4:$E$15,5,FALSE),0)</f>
        <v>1.39</v>
      </c>
      <c r="T11" s="124">
        <f>S11</f>
        <v>1.39</v>
      </c>
      <c r="U11" s="124">
        <f>I11*T11</f>
        <v>216.83999999999997</v>
      </c>
      <c r="V11" s="123">
        <f>((T11*I11)-W11)*4%</f>
        <v>8.2399199999999997</v>
      </c>
      <c r="W11" s="124">
        <f>S11*I11*5%</f>
        <v>10.841999999999999</v>
      </c>
      <c r="X11" s="113"/>
    </row>
    <row r="12" spans="1:24">
      <c r="A12" s="118">
        <v>46245</v>
      </c>
      <c r="B12" s="118">
        <v>46246</v>
      </c>
      <c r="C12" s="119"/>
      <c r="D12" s="118" t="s">
        <v>127</v>
      </c>
      <c r="E12" s="118" t="s">
        <v>128</v>
      </c>
      <c r="F12" s="118" t="s">
        <v>126</v>
      </c>
      <c r="G12" s="119" t="s">
        <v>140</v>
      </c>
      <c r="H12" s="119">
        <v>7133412</v>
      </c>
      <c r="I12" s="119">
        <v>30</v>
      </c>
      <c r="J12" s="119" t="s">
        <v>95</v>
      </c>
      <c r="K12" s="119" t="s">
        <v>110</v>
      </c>
      <c r="L12" s="119" t="s">
        <v>48</v>
      </c>
      <c r="M12" s="51" cm="1">
        <f t="array" ref="M12">IF(L12="",0,_xlfn.SWITCH(L12,"A1",495,"A2",495,"A3",495,"Custom",0,595))</f>
        <v>595</v>
      </c>
      <c r="N12" s="51" cm="1">
        <f t="array" ref="N12">IF(L12="",0,_xlfn.SWITCH(L12,"C1",325,"C2",325,"C3",325,"D1",380,"D2",380,"D3",380,"Custom",0,285))</f>
        <v>380</v>
      </c>
      <c r="O12" s="51">
        <f>IF(L12="",0,_xlfn.SWITCH(L12,"A1",375,"B1",375,"C1",375,"D1",375,"A2",310,"B2",310,"C2",310,"D2",310,"Custom",0,260))</f>
        <v>375</v>
      </c>
      <c r="P12" s="51">
        <f>IFERROR(IF(OR(M12=0,N12=0),0,(M12+N12)*2+11),0)</f>
        <v>1961</v>
      </c>
      <c r="Q12" s="51">
        <f>IFERROR(IF(OR(N12=0,O12=0),0,(N12+O12)-16),0)</f>
        <v>739</v>
      </c>
      <c r="R12" s="53">
        <f>P12*Q12/1000000</f>
        <v>1.449179</v>
      </c>
      <c r="S12" s="123">
        <f>IFERROR(VLOOKUP(L12,'Carton Sizes Chart'!$A$4:$E$15,5,FALSE),0)</f>
        <v>1.39</v>
      </c>
      <c r="T12" s="124">
        <f>S12</f>
        <v>1.39</v>
      </c>
      <c r="U12" s="124">
        <f>I12*T12</f>
        <v>41.699999999999996</v>
      </c>
      <c r="V12" s="123">
        <f>((T12*I12)-W12)*4%</f>
        <v>1.5845999999999998</v>
      </c>
      <c r="W12" s="124">
        <f>S12*I12*5%</f>
        <v>2.085</v>
      </c>
      <c r="X12" s="113"/>
    </row>
    <row r="13" spans="1:24">
      <c r="A13" s="118">
        <v>46246</v>
      </c>
      <c r="B13" s="118">
        <v>46247</v>
      </c>
      <c r="C13" s="119"/>
      <c r="D13" s="118" t="s">
        <v>159</v>
      </c>
      <c r="E13" s="118" t="s">
        <v>159</v>
      </c>
      <c r="F13" s="118" t="s">
        <v>126</v>
      </c>
      <c r="G13" s="119" t="s">
        <v>163</v>
      </c>
      <c r="H13" s="119">
        <v>7134357</v>
      </c>
      <c r="I13" s="119">
        <v>111</v>
      </c>
      <c r="J13" s="119" t="s">
        <v>95</v>
      </c>
      <c r="K13" s="119" t="s">
        <v>110</v>
      </c>
      <c r="L13" s="119" t="s">
        <v>48</v>
      </c>
      <c r="M13" s="51" cm="1">
        <f t="array" ref="M13">IF(L13="",0,_xlfn.SWITCH(L13,"A1",495,"A2",495,"A3",495,"Custom",0,595))</f>
        <v>595</v>
      </c>
      <c r="N13" s="51" cm="1">
        <f t="array" ref="N13">IF(L13="",0,_xlfn.SWITCH(L13,"C1",325,"C2",325,"C3",325,"D1",380,"D2",380,"D3",380,"Custom",0,285))</f>
        <v>380</v>
      </c>
      <c r="O13" s="51">
        <f>IF(L13="",0,_xlfn.SWITCH(L13,"A1",375,"B1",375,"C1",375,"D1",375,"A2",310,"B2",310,"C2",310,"D2",310,"Custom",0,260))</f>
        <v>375</v>
      </c>
      <c r="P13" s="51">
        <f>IFERROR(IF(OR(M13=0,N13=0),0,(M13+N13)*2+11),0)</f>
        <v>1961</v>
      </c>
      <c r="Q13" s="51">
        <f>IFERROR(IF(OR(N13=0,O13=0),0,(N13+O13)-16),0)</f>
        <v>739</v>
      </c>
      <c r="R13" s="53">
        <f>P13*Q13/1000000</f>
        <v>1.449179</v>
      </c>
      <c r="S13" s="123">
        <f>IFERROR(VLOOKUP(L13,'Carton Sizes Chart'!$A$4:$E$15,5,FALSE),0)</f>
        <v>1.39</v>
      </c>
      <c r="T13" s="124">
        <f>S13</f>
        <v>1.39</v>
      </c>
      <c r="U13" s="124">
        <f>I13*T13</f>
        <v>154.29</v>
      </c>
      <c r="V13" s="123">
        <f>((T13*I13)-W13)*4%</f>
        <v>5.8630200000000006</v>
      </c>
      <c r="W13" s="124">
        <f>S13*I13*5%</f>
        <v>7.7145000000000001</v>
      </c>
      <c r="X13" s="113"/>
    </row>
    <row r="14" spans="1:24">
      <c r="A14" s="118">
        <v>46247</v>
      </c>
      <c r="B14" s="118">
        <v>46249</v>
      </c>
      <c r="C14" s="119"/>
      <c r="D14" s="118" t="s">
        <v>127</v>
      </c>
      <c r="E14" s="118" t="s">
        <v>128</v>
      </c>
      <c r="F14" s="118" t="s">
        <v>126</v>
      </c>
      <c r="G14" s="119" t="s">
        <v>138</v>
      </c>
      <c r="H14" s="119">
        <v>7134783</v>
      </c>
      <c r="I14" s="119">
        <v>15</v>
      </c>
      <c r="J14" s="119" t="s">
        <v>95</v>
      </c>
      <c r="K14" s="119" t="s">
        <v>110</v>
      </c>
      <c r="L14" s="119" t="s">
        <v>48</v>
      </c>
      <c r="M14" s="51" cm="1">
        <f t="array" ref="M14">IF(L14="",0,_xlfn.SWITCH(L14,"A1",495,"A2",495,"A3",495,"Custom",0,595))</f>
        <v>595</v>
      </c>
      <c r="N14" s="51" cm="1">
        <f t="array" ref="N14">IF(L14="",0,_xlfn.SWITCH(L14,"C1",325,"C2",325,"C3",325,"D1",380,"D2",380,"D3",380,"Custom",0,285))</f>
        <v>380</v>
      </c>
      <c r="O14" s="51">
        <f>IF(L14="",0,_xlfn.SWITCH(L14,"A1",375,"B1",375,"C1",375,"D1",375,"A2",310,"B2",310,"C2",310,"D2",310,"Custom",0,260))</f>
        <v>375</v>
      </c>
      <c r="P14" s="51">
        <f>IFERROR(IF(OR(M14=0,N14=0),0,(M14+N14)*2+11),0)</f>
        <v>1961</v>
      </c>
      <c r="Q14" s="51">
        <f>IFERROR(IF(OR(N14=0,O14=0),0,(N14+O14)-16),0)</f>
        <v>739</v>
      </c>
      <c r="R14" s="53">
        <f>P14*Q14/1000000</f>
        <v>1.449179</v>
      </c>
      <c r="S14" s="123">
        <f>IFERROR(VLOOKUP(L14,'Carton Sizes Chart'!$A$4:$E$15,5,FALSE),0)</f>
        <v>1.39</v>
      </c>
      <c r="T14" s="124">
        <f>S14</f>
        <v>1.39</v>
      </c>
      <c r="U14" s="124">
        <f>I14*T14</f>
        <v>20.849999999999998</v>
      </c>
      <c r="V14" s="123">
        <f>((T14*I14)-W14)*4%</f>
        <v>0.79229999999999989</v>
      </c>
      <c r="W14" s="124">
        <f>S14*I14*5%</f>
        <v>1.0425</v>
      </c>
      <c r="X14" s="113"/>
    </row>
    <row r="15" spans="1:24">
      <c r="A15" s="118">
        <v>46247</v>
      </c>
      <c r="B15" s="118">
        <v>46244</v>
      </c>
      <c r="C15" s="119"/>
      <c r="D15" s="118" t="s">
        <v>200</v>
      </c>
      <c r="E15" s="118" t="s">
        <v>210</v>
      </c>
      <c r="F15" s="118" t="s">
        <v>126</v>
      </c>
      <c r="G15" s="119" t="s">
        <v>212</v>
      </c>
      <c r="H15" s="119">
        <v>7134859</v>
      </c>
      <c r="I15" s="121">
        <v>2000</v>
      </c>
      <c r="J15" s="119" t="s">
        <v>95</v>
      </c>
      <c r="K15" s="119" t="s">
        <v>110</v>
      </c>
      <c r="L15" s="119" t="s">
        <v>44</v>
      </c>
      <c r="M15" s="51" cm="1">
        <f t="array" ref="M15">IF(L15="",0,_xlfn.SWITCH(L15,"A1",495,"A2",495,"A3",495,"Custom",0,595))</f>
        <v>595</v>
      </c>
      <c r="N15" s="51" cm="1">
        <f t="array" ref="N15">IF(L15="",0,_xlfn.SWITCH(L15,"C1",325,"C2",325,"C3",325,"D1",380,"D2",380,"D3",380,"Custom",0,285))</f>
        <v>285</v>
      </c>
      <c r="O15" s="51">
        <f>IF(L15="",0,_xlfn.SWITCH(L15,"A1",375,"B1",375,"C1",375,"D1",375,"A2",310,"B2",310,"C2",310,"D2",310,"Custom",0,260))</f>
        <v>260</v>
      </c>
      <c r="P15" s="51">
        <f>IFERROR(IF(OR(M15=0,N15=0),0,(M15+N15)*2+11),0)</f>
        <v>1771</v>
      </c>
      <c r="Q15" s="51">
        <f>IFERROR(IF(OR(N15=0,O15=0),0,(N15+O15)-16),0)</f>
        <v>529</v>
      </c>
      <c r="R15" s="53">
        <f>P15*Q15/1000000</f>
        <v>0.936859</v>
      </c>
      <c r="S15" s="123">
        <f>IFERROR(VLOOKUP(L15,'Carton Sizes Chart'!$A$4:$E$15,5,FALSE),0)</f>
        <v>0.9</v>
      </c>
      <c r="T15" s="124">
        <f>S15</f>
        <v>0.9</v>
      </c>
      <c r="U15" s="124">
        <f>I15*T15</f>
        <v>1800</v>
      </c>
      <c r="V15" s="123">
        <f>((T15*I15)-W15)*4%</f>
        <v>68.400000000000006</v>
      </c>
      <c r="W15" s="124">
        <f>S15*I15*5%</f>
        <v>90</v>
      </c>
      <c r="X15" s="113"/>
    </row>
    <row r="16" spans="1:24">
      <c r="A16" s="118">
        <v>46250</v>
      </c>
      <c r="B16" s="118">
        <v>46251</v>
      </c>
      <c r="C16" s="119"/>
      <c r="D16" s="118" t="s">
        <v>159</v>
      </c>
      <c r="E16" s="118" t="s">
        <v>159</v>
      </c>
      <c r="F16" s="118" t="s">
        <v>126</v>
      </c>
      <c r="G16" s="119" t="s">
        <v>165</v>
      </c>
      <c r="H16" s="119">
        <v>7135559</v>
      </c>
      <c r="I16" s="119">
        <v>131</v>
      </c>
      <c r="J16" s="119" t="s">
        <v>95</v>
      </c>
      <c r="K16" s="119" t="s">
        <v>110</v>
      </c>
      <c r="L16" s="119" t="s">
        <v>48</v>
      </c>
      <c r="M16" s="51" cm="1">
        <f t="array" ref="M16">IF(L16="",0,_xlfn.SWITCH(L16,"A1",495,"A2",495,"A3",495,"Custom",0,595))</f>
        <v>595</v>
      </c>
      <c r="N16" s="51" cm="1">
        <f t="array" ref="N16">IF(L16="",0,_xlfn.SWITCH(L16,"C1",325,"C2",325,"C3",325,"D1",380,"D2",380,"D3",380,"Custom",0,285))</f>
        <v>380</v>
      </c>
      <c r="O16" s="51">
        <f>IF(L16="",0,_xlfn.SWITCH(L16,"A1",375,"B1",375,"C1",375,"D1",375,"A2",310,"B2",310,"C2",310,"D2",310,"Custom",0,260))</f>
        <v>375</v>
      </c>
      <c r="P16" s="51">
        <f>IFERROR(IF(OR(M16=0,N16=0),0,(M16+N16)*2+11),0)</f>
        <v>1961</v>
      </c>
      <c r="Q16" s="51">
        <f>IFERROR(IF(OR(N16=0,O16=0),0,(N16+O16)-16),0)</f>
        <v>739</v>
      </c>
      <c r="R16" s="53">
        <f>P16*Q16/1000000</f>
        <v>1.449179</v>
      </c>
      <c r="S16" s="123">
        <f>IFERROR(VLOOKUP(L16,'Carton Sizes Chart'!$A$4:$E$15,5,FALSE),0)</f>
        <v>1.39</v>
      </c>
      <c r="T16" s="124">
        <f>S16</f>
        <v>1.39</v>
      </c>
      <c r="U16" s="124">
        <f>I16*T16</f>
        <v>182.08999999999997</v>
      </c>
      <c r="V16" s="123">
        <f>((T16*I16)-W16)*4%</f>
        <v>6.9194199999999988</v>
      </c>
      <c r="W16" s="124">
        <f>S16*I16*5%</f>
        <v>9.1044999999999998</v>
      </c>
      <c r="X16" s="113"/>
    </row>
    <row r="17" spans="1:24">
      <c r="A17" s="118">
        <v>46250</v>
      </c>
      <c r="B17" s="118">
        <v>46251</v>
      </c>
      <c r="C17" s="119"/>
      <c r="D17" s="118" t="s">
        <v>159</v>
      </c>
      <c r="E17" s="118" t="s">
        <v>159</v>
      </c>
      <c r="F17" s="118" t="s">
        <v>126</v>
      </c>
      <c r="G17" s="119" t="s">
        <v>164</v>
      </c>
      <c r="H17" s="119">
        <v>7135563</v>
      </c>
      <c r="I17" s="119">
        <v>123</v>
      </c>
      <c r="J17" s="119" t="s">
        <v>95</v>
      </c>
      <c r="K17" s="119" t="s">
        <v>110</v>
      </c>
      <c r="L17" s="119" t="s">
        <v>45</v>
      </c>
      <c r="M17" s="51" cm="1">
        <f t="array" ref="M17">IF(L17="",0,_xlfn.SWITCH(L17,"A1",495,"A2",495,"A3",495,"Custom",0,595))</f>
        <v>595</v>
      </c>
      <c r="N17" s="51" cm="1">
        <f t="array" ref="N17">IF(L17="",0,_xlfn.SWITCH(L17,"C1",325,"C2",325,"C3",325,"D1",380,"D2",380,"D3",380,"Custom",0,285))</f>
        <v>325</v>
      </c>
      <c r="O17" s="51">
        <f>IF(L17="",0,_xlfn.SWITCH(L17,"A1",375,"B1",375,"C1",375,"D1",375,"A2",310,"B2",310,"C2",310,"D2",310,"Custom",0,260))</f>
        <v>375</v>
      </c>
      <c r="P17" s="51">
        <f>IFERROR(IF(OR(M17=0,N17=0),0,(M17+N17)*2+11),0)</f>
        <v>1851</v>
      </c>
      <c r="Q17" s="51">
        <f>IFERROR(IF(OR(N17=0,O17=0),0,(N17+O17)-16),0)</f>
        <v>684</v>
      </c>
      <c r="R17" s="53">
        <f>P17*Q17/1000000</f>
        <v>1.266084</v>
      </c>
      <c r="S17" s="123">
        <f>IFERROR(VLOOKUP(L17,'Carton Sizes Chart'!$A$4:$E$15,5,FALSE),0)</f>
        <v>1.22</v>
      </c>
      <c r="T17" s="124">
        <f>S17</f>
        <v>1.22</v>
      </c>
      <c r="U17" s="124">
        <f>I17*T17</f>
        <v>150.06</v>
      </c>
      <c r="V17" s="123">
        <f>((T17*I17)-W17)*4%</f>
        <v>5.7022800000000009</v>
      </c>
      <c r="W17" s="124">
        <f>S17*I17*5%</f>
        <v>7.5030000000000001</v>
      </c>
      <c r="X17" s="113"/>
    </row>
    <row r="18" spans="1:24">
      <c r="A18" s="118">
        <v>46250</v>
      </c>
      <c r="B18" s="118">
        <v>46251</v>
      </c>
      <c r="C18" s="119"/>
      <c r="D18" s="118" t="s">
        <v>159</v>
      </c>
      <c r="E18" s="118" t="s">
        <v>159</v>
      </c>
      <c r="F18" s="118" t="s">
        <v>126</v>
      </c>
      <c r="G18" s="119" t="s">
        <v>166</v>
      </c>
      <c r="H18" s="119">
        <v>7135574</v>
      </c>
      <c r="I18" s="119">
        <v>192</v>
      </c>
      <c r="J18" s="119" t="s">
        <v>95</v>
      </c>
      <c r="K18" s="119" t="s">
        <v>110</v>
      </c>
      <c r="L18" s="119" t="s">
        <v>45</v>
      </c>
      <c r="M18" s="51" cm="1">
        <f t="array" ref="M18">IF(L18="",0,_xlfn.SWITCH(L18,"A1",495,"A2",495,"A3",495,"Custom",0,595))</f>
        <v>595</v>
      </c>
      <c r="N18" s="51" cm="1">
        <f t="array" ref="N18">IF(L18="",0,_xlfn.SWITCH(L18,"C1",325,"C2",325,"C3",325,"D1",380,"D2",380,"D3",380,"Custom",0,285))</f>
        <v>325</v>
      </c>
      <c r="O18" s="51">
        <f>IF(L18="",0,_xlfn.SWITCH(L18,"A1",375,"B1",375,"C1",375,"D1",375,"A2",310,"B2",310,"C2",310,"D2",310,"Custom",0,260))</f>
        <v>375</v>
      </c>
      <c r="P18" s="51">
        <f>IFERROR(IF(OR(M18=0,N18=0),0,(M18+N18)*2+11),0)</f>
        <v>1851</v>
      </c>
      <c r="Q18" s="51">
        <f>IFERROR(IF(OR(N18=0,O18=0),0,(N18+O18)-16),0)</f>
        <v>684</v>
      </c>
      <c r="R18" s="53">
        <f>P18*Q18/1000000</f>
        <v>1.266084</v>
      </c>
      <c r="S18" s="123">
        <f>IFERROR(VLOOKUP(L18,'Carton Sizes Chart'!$A$4:$E$15,5,FALSE),0)</f>
        <v>1.22</v>
      </c>
      <c r="T18" s="124">
        <f>S18</f>
        <v>1.22</v>
      </c>
      <c r="U18" s="124">
        <f>I18*T18</f>
        <v>234.24</v>
      </c>
      <c r="V18" s="123">
        <f>((T18*I18)-W18)*4%</f>
        <v>8.9011200000000006</v>
      </c>
      <c r="W18" s="124">
        <f>S18*I18*5%</f>
        <v>11.712000000000002</v>
      </c>
      <c r="X18" s="113"/>
    </row>
    <row r="19" spans="1:24">
      <c r="A19" s="118">
        <v>46250</v>
      </c>
      <c r="B19" s="118">
        <v>46251</v>
      </c>
      <c r="C19" s="119"/>
      <c r="D19" s="118" t="s">
        <v>159</v>
      </c>
      <c r="E19" s="118" t="s">
        <v>159</v>
      </c>
      <c r="F19" s="118" t="s">
        <v>126</v>
      </c>
      <c r="G19" s="119" t="s">
        <v>167</v>
      </c>
      <c r="H19" s="119">
        <v>7136205</v>
      </c>
      <c r="I19" s="119">
        <v>47</v>
      </c>
      <c r="J19" s="119" t="s">
        <v>95</v>
      </c>
      <c r="K19" s="119" t="s">
        <v>110</v>
      </c>
      <c r="L19" s="119" t="s">
        <v>48</v>
      </c>
      <c r="M19" s="51" cm="1">
        <f t="array" ref="M19">IF(L19="",0,_xlfn.SWITCH(L19,"A1",495,"A2",495,"A3",495,"Custom",0,595))</f>
        <v>595</v>
      </c>
      <c r="N19" s="51" cm="1">
        <f t="array" ref="N19">IF(L19="",0,_xlfn.SWITCH(L19,"C1",325,"C2",325,"C3",325,"D1",380,"D2",380,"D3",380,"Custom",0,285))</f>
        <v>380</v>
      </c>
      <c r="O19" s="51">
        <f>IF(L19="",0,_xlfn.SWITCH(L19,"A1",375,"B1",375,"C1",375,"D1",375,"A2",310,"B2",310,"C2",310,"D2",310,"Custom",0,260))</f>
        <v>375</v>
      </c>
      <c r="P19" s="51">
        <f>IFERROR(IF(OR(M19=0,N19=0),0,(M19+N19)*2+11),0)</f>
        <v>1961</v>
      </c>
      <c r="Q19" s="51">
        <f>IFERROR(IF(OR(N19=0,O19=0),0,(N19+O19)-16),0)</f>
        <v>739</v>
      </c>
      <c r="R19" s="53">
        <f>P19*Q19/1000000</f>
        <v>1.449179</v>
      </c>
      <c r="S19" s="123">
        <f>IFERROR(VLOOKUP(L19,'Carton Sizes Chart'!$A$4:$E$15,5,FALSE),0)</f>
        <v>1.39</v>
      </c>
      <c r="T19" s="124">
        <f>S19</f>
        <v>1.39</v>
      </c>
      <c r="U19" s="124">
        <f>I19*T19</f>
        <v>65.33</v>
      </c>
      <c r="V19" s="123">
        <f>((T19*I19)-W19)*4%</f>
        <v>2.4825399999999997</v>
      </c>
      <c r="W19" s="124">
        <f>S19*I19*5%</f>
        <v>3.2665000000000002</v>
      </c>
      <c r="X19" s="113"/>
    </row>
    <row r="20" spans="1:24">
      <c r="A20" s="118">
        <v>46250</v>
      </c>
      <c r="B20" s="118">
        <v>46251</v>
      </c>
      <c r="C20" s="119"/>
      <c r="D20" s="118" t="s">
        <v>159</v>
      </c>
      <c r="E20" s="118" t="s">
        <v>159</v>
      </c>
      <c r="F20" s="118" t="s">
        <v>126</v>
      </c>
      <c r="G20" s="119" t="s">
        <v>167</v>
      </c>
      <c r="H20" s="119">
        <v>7136205</v>
      </c>
      <c r="I20" s="119">
        <v>85</v>
      </c>
      <c r="J20" s="119" t="s">
        <v>95</v>
      </c>
      <c r="K20" s="119" t="s">
        <v>110</v>
      </c>
      <c r="L20" s="119" t="s">
        <v>49</v>
      </c>
      <c r="M20" s="51" cm="1">
        <f t="array" ref="M20">IF(L20="",0,_xlfn.SWITCH(L20,"A1",495,"A2",495,"A3",495,"Custom",0,595))</f>
        <v>595</v>
      </c>
      <c r="N20" s="51" cm="1">
        <f t="array" ref="N20">IF(L20="",0,_xlfn.SWITCH(L20,"C1",325,"C2",325,"C3",325,"D1",380,"D2",380,"D3",380,"Custom",0,285))</f>
        <v>380</v>
      </c>
      <c r="O20" s="51">
        <f>IF(L20="",0,_xlfn.SWITCH(L20,"A1",375,"B1",375,"C1",375,"D1",375,"A2",310,"B2",310,"C2",310,"D2",310,"Custom",0,260))</f>
        <v>310</v>
      </c>
      <c r="P20" s="51">
        <f>IFERROR(IF(OR(M20=0,N20=0),0,(M20+N20)*2+11),0)</f>
        <v>1961</v>
      </c>
      <c r="Q20" s="51">
        <f>IFERROR(IF(OR(N20=0,O20=0),0,(N20+O20)-16),0)</f>
        <v>674</v>
      </c>
      <c r="R20" s="53">
        <f>P20*Q20/1000000</f>
        <v>1.3217140000000001</v>
      </c>
      <c r="S20" s="123">
        <f>IFERROR(VLOOKUP(L20,'Carton Sizes Chart'!$A$4:$E$15,5,FALSE),0)</f>
        <v>1.27</v>
      </c>
      <c r="T20" s="124">
        <f>S20</f>
        <v>1.27</v>
      </c>
      <c r="U20" s="124">
        <f>I20*T20</f>
        <v>107.95</v>
      </c>
      <c r="V20" s="123">
        <f>((T20*I20)-W20)*4%</f>
        <v>4.1021000000000001</v>
      </c>
      <c r="W20" s="124">
        <f>S20*I20*5%</f>
        <v>5.3975000000000009</v>
      </c>
      <c r="X20" s="113"/>
    </row>
    <row r="21" spans="1:24">
      <c r="A21" s="118">
        <v>46250</v>
      </c>
      <c r="B21" s="118">
        <v>46251</v>
      </c>
      <c r="C21" s="119"/>
      <c r="D21" s="118" t="s">
        <v>159</v>
      </c>
      <c r="E21" s="118" t="s">
        <v>159</v>
      </c>
      <c r="F21" s="118" t="s">
        <v>126</v>
      </c>
      <c r="G21" s="119" t="s">
        <v>168</v>
      </c>
      <c r="H21" s="119">
        <v>7136208</v>
      </c>
      <c r="I21" s="119">
        <v>33</v>
      </c>
      <c r="J21" s="119" t="s">
        <v>95</v>
      </c>
      <c r="K21" s="119" t="s">
        <v>110</v>
      </c>
      <c r="L21" s="119" t="s">
        <v>48</v>
      </c>
      <c r="M21" s="51" cm="1">
        <f t="array" ref="M21">IF(L21="",0,_xlfn.SWITCH(L21,"A1",495,"A2",495,"A3",495,"Custom",0,595))</f>
        <v>595</v>
      </c>
      <c r="N21" s="51" cm="1">
        <f t="array" ref="N21">IF(L21="",0,_xlfn.SWITCH(L21,"C1",325,"C2",325,"C3",325,"D1",380,"D2",380,"D3",380,"Custom",0,285))</f>
        <v>380</v>
      </c>
      <c r="O21" s="51">
        <f>IF(L21="",0,_xlfn.SWITCH(L21,"A1",375,"B1",375,"C1",375,"D1",375,"A2",310,"B2",310,"C2",310,"D2",310,"Custom",0,260))</f>
        <v>375</v>
      </c>
      <c r="P21" s="51">
        <f>IFERROR(IF(OR(M21=0,N21=0),0,(M21+N21)*2+11),0)</f>
        <v>1961</v>
      </c>
      <c r="Q21" s="51">
        <f>IFERROR(IF(OR(N21=0,O21=0),0,(N21+O21)-16),0)</f>
        <v>739</v>
      </c>
      <c r="R21" s="53">
        <f>P21*Q21/1000000</f>
        <v>1.449179</v>
      </c>
      <c r="S21" s="123">
        <f>IFERROR(VLOOKUP(L21,'Carton Sizes Chart'!$A$4:$E$15,5,FALSE),0)</f>
        <v>1.39</v>
      </c>
      <c r="T21" s="124">
        <f>S21</f>
        <v>1.39</v>
      </c>
      <c r="U21" s="124">
        <f>I21*T21</f>
        <v>45.87</v>
      </c>
      <c r="V21" s="123">
        <f>((T21*I21)-W21)*4%</f>
        <v>1.7430599999999998</v>
      </c>
      <c r="W21" s="124">
        <f>S21*I21*5%</f>
        <v>2.2934999999999999</v>
      </c>
      <c r="X21" s="113"/>
    </row>
    <row r="22" spans="1:24">
      <c r="A22" s="118">
        <v>46250</v>
      </c>
      <c r="B22" s="118">
        <v>46251</v>
      </c>
      <c r="C22" s="119"/>
      <c r="D22" s="118" t="s">
        <v>159</v>
      </c>
      <c r="E22" s="118" t="s">
        <v>159</v>
      </c>
      <c r="F22" s="118" t="s">
        <v>126</v>
      </c>
      <c r="G22" s="119" t="s">
        <v>168</v>
      </c>
      <c r="H22" s="119">
        <v>7136208</v>
      </c>
      <c r="I22" s="119">
        <v>56</v>
      </c>
      <c r="J22" s="119" t="s">
        <v>95</v>
      </c>
      <c r="K22" s="119" t="s">
        <v>110</v>
      </c>
      <c r="L22" s="119" t="s">
        <v>49</v>
      </c>
      <c r="M22" s="51" cm="1">
        <f t="array" ref="M22">IF(L22="",0,_xlfn.SWITCH(L22,"A1",495,"A2",495,"A3",495,"Custom",0,595))</f>
        <v>595</v>
      </c>
      <c r="N22" s="51" cm="1">
        <f t="array" ref="N22">IF(L22="",0,_xlfn.SWITCH(L22,"C1",325,"C2",325,"C3",325,"D1",380,"D2",380,"D3",380,"Custom",0,285))</f>
        <v>380</v>
      </c>
      <c r="O22" s="51">
        <f>IF(L22="",0,_xlfn.SWITCH(L22,"A1",375,"B1",375,"C1",375,"D1",375,"A2",310,"B2",310,"C2",310,"D2",310,"Custom",0,260))</f>
        <v>310</v>
      </c>
      <c r="P22" s="51">
        <f>IFERROR(IF(OR(M22=0,N22=0),0,(M22+N22)*2+11),0)</f>
        <v>1961</v>
      </c>
      <c r="Q22" s="51">
        <f>IFERROR(IF(OR(N22=0,O22=0),0,(N22+O22)-16),0)</f>
        <v>674</v>
      </c>
      <c r="R22" s="53">
        <f>P22*Q22/1000000</f>
        <v>1.3217140000000001</v>
      </c>
      <c r="S22" s="123">
        <f>IFERROR(VLOOKUP(L22,'Carton Sizes Chart'!$A$4:$E$15,5,FALSE),0)</f>
        <v>1.27</v>
      </c>
      <c r="T22" s="124">
        <f>S22</f>
        <v>1.27</v>
      </c>
      <c r="U22" s="124">
        <f>I22*T22</f>
        <v>71.12</v>
      </c>
      <c r="V22" s="123">
        <f>((T22*I22)-W22)*4%</f>
        <v>2.7025600000000005</v>
      </c>
      <c r="W22" s="124">
        <f>S22*I22*5%</f>
        <v>3.5560000000000005</v>
      </c>
      <c r="X22" s="113"/>
    </row>
    <row r="23" spans="1:24">
      <c r="A23" s="118">
        <v>46251</v>
      </c>
      <c r="B23" s="118">
        <v>46254</v>
      </c>
      <c r="C23" s="119"/>
      <c r="D23" s="118" t="s">
        <v>151</v>
      </c>
      <c r="E23" s="118" t="s">
        <v>151</v>
      </c>
      <c r="F23" s="118" t="s">
        <v>126</v>
      </c>
      <c r="G23" s="119" t="s">
        <v>152</v>
      </c>
      <c r="H23" s="119">
        <v>7136686</v>
      </c>
      <c r="I23" s="119">
        <v>172</v>
      </c>
      <c r="J23" s="119" t="s">
        <v>95</v>
      </c>
      <c r="K23" s="119" t="s">
        <v>110</v>
      </c>
      <c r="L23" s="119" t="s">
        <v>45</v>
      </c>
      <c r="M23" s="51" cm="1">
        <f t="array" ref="M23">IF(L23="",0,_xlfn.SWITCH(L23,"A1",495,"A2",495,"A3",495,"Custom",0,595))</f>
        <v>595</v>
      </c>
      <c r="N23" s="51" cm="1">
        <f t="array" ref="N23">IF(L23="",0,_xlfn.SWITCH(L23,"C1",325,"C2",325,"C3",325,"D1",380,"D2",380,"D3",380,"Custom",0,285))</f>
        <v>325</v>
      </c>
      <c r="O23" s="51">
        <f>IF(L23="",0,_xlfn.SWITCH(L23,"A1",375,"B1",375,"C1",375,"D1",375,"A2",310,"B2",310,"C2",310,"D2",310,"Custom",0,260))</f>
        <v>375</v>
      </c>
      <c r="P23" s="51">
        <f>IFERROR(IF(OR(M23=0,N23=0),0,(M23+N23)*2+11),0)</f>
        <v>1851</v>
      </c>
      <c r="Q23" s="51">
        <f>IFERROR(IF(OR(N23=0,O23=0),0,(N23+O23)-16),0)</f>
        <v>684</v>
      </c>
      <c r="R23" s="53">
        <f>P23*Q23/1000000</f>
        <v>1.266084</v>
      </c>
      <c r="S23" s="123">
        <f>IFERROR(VLOOKUP(L23,'Carton Sizes Chart'!$A$4:$E$15,5,FALSE),0)</f>
        <v>1.22</v>
      </c>
      <c r="T23" s="124">
        <f>S23</f>
        <v>1.22</v>
      </c>
      <c r="U23" s="124">
        <f>I23*T23</f>
        <v>209.84</v>
      </c>
      <c r="V23" s="123">
        <f>((T23*I23)-W23)*4%</f>
        <v>7.9739200000000006</v>
      </c>
      <c r="W23" s="124">
        <f>S23*I23*5%</f>
        <v>10.492000000000001</v>
      </c>
      <c r="X23" s="113"/>
    </row>
    <row r="24" spans="1:24">
      <c r="A24" s="118">
        <v>46252</v>
      </c>
      <c r="B24" s="118">
        <v>46258</v>
      </c>
      <c r="C24" s="119"/>
      <c r="D24" s="118" t="s">
        <v>127</v>
      </c>
      <c r="E24" s="118" t="s">
        <v>128</v>
      </c>
      <c r="F24" s="118" t="s">
        <v>126</v>
      </c>
      <c r="G24" s="119" t="s">
        <v>143</v>
      </c>
      <c r="H24" s="119">
        <v>7137472</v>
      </c>
      <c r="I24" s="119">
        <v>75</v>
      </c>
      <c r="J24" s="119" t="s">
        <v>95</v>
      </c>
      <c r="K24" s="119" t="s">
        <v>110</v>
      </c>
      <c r="L24" s="119" t="s">
        <v>49</v>
      </c>
      <c r="M24" s="51" cm="1">
        <f t="array" ref="M24">IF(L24="",0,_xlfn.SWITCH(L24,"A1",495,"A2",495,"A3",495,"Custom",0,595))</f>
        <v>595</v>
      </c>
      <c r="N24" s="51" cm="1">
        <f t="array" ref="N24">IF(L24="",0,_xlfn.SWITCH(L24,"C1",325,"C2",325,"C3",325,"D1",380,"D2",380,"D3",380,"Custom",0,285))</f>
        <v>380</v>
      </c>
      <c r="O24" s="51">
        <f>IF(L24="",0,_xlfn.SWITCH(L24,"A1",375,"B1",375,"C1",375,"D1",375,"A2",310,"B2",310,"C2",310,"D2",310,"Custom",0,260))</f>
        <v>310</v>
      </c>
      <c r="P24" s="51">
        <f>IFERROR(IF(OR(M24=0,N24=0),0,(M24+N24)*2+11),0)</f>
        <v>1961</v>
      </c>
      <c r="Q24" s="51">
        <f>IFERROR(IF(OR(N24=0,O24=0),0,(N24+O24)-16),0)</f>
        <v>674</v>
      </c>
      <c r="R24" s="53">
        <f>P24*Q24/1000000</f>
        <v>1.3217140000000001</v>
      </c>
      <c r="S24" s="123">
        <f>IFERROR(VLOOKUP(L24,'Carton Sizes Chart'!$A$4:$E$15,5,FALSE),0)</f>
        <v>1.27</v>
      </c>
      <c r="T24" s="124">
        <f>S24</f>
        <v>1.27</v>
      </c>
      <c r="U24" s="124">
        <f>I24*T24</f>
        <v>95.25</v>
      </c>
      <c r="V24" s="123">
        <f>((T24*I24)-W24)*4%</f>
        <v>3.6194999999999999</v>
      </c>
      <c r="W24" s="124">
        <f>S24*I24*5%</f>
        <v>4.7625000000000002</v>
      </c>
      <c r="X24" s="113"/>
    </row>
    <row r="25" spans="1:24">
      <c r="A25" s="118">
        <v>46252</v>
      </c>
      <c r="B25" s="118">
        <v>46258</v>
      </c>
      <c r="C25" s="119"/>
      <c r="D25" s="118" t="s">
        <v>127</v>
      </c>
      <c r="E25" s="118" t="s">
        <v>128</v>
      </c>
      <c r="F25" s="118" t="s">
        <v>126</v>
      </c>
      <c r="G25" s="119" t="s">
        <v>144</v>
      </c>
      <c r="H25" s="119">
        <v>7137475</v>
      </c>
      <c r="I25" s="119">
        <v>40</v>
      </c>
      <c r="J25" s="119" t="s">
        <v>95</v>
      </c>
      <c r="K25" s="119" t="s">
        <v>110</v>
      </c>
      <c r="L25" s="119" t="s">
        <v>49</v>
      </c>
      <c r="M25" s="51" cm="1">
        <f t="array" ref="M25">IF(L25="",0,_xlfn.SWITCH(L25,"A1",495,"A2",495,"A3",495,"Custom",0,595))</f>
        <v>595</v>
      </c>
      <c r="N25" s="51" cm="1">
        <f t="array" ref="N25">IF(L25="",0,_xlfn.SWITCH(L25,"C1",325,"C2",325,"C3",325,"D1",380,"D2",380,"D3",380,"Custom",0,285))</f>
        <v>380</v>
      </c>
      <c r="O25" s="51">
        <f>IF(L25="",0,_xlfn.SWITCH(L25,"A1",375,"B1",375,"C1",375,"D1",375,"A2",310,"B2",310,"C2",310,"D2",310,"Custom",0,260))</f>
        <v>310</v>
      </c>
      <c r="P25" s="51">
        <f>IFERROR(IF(OR(M25=0,N25=0),0,(M25+N25)*2+11),0)</f>
        <v>1961</v>
      </c>
      <c r="Q25" s="51">
        <f>IFERROR(IF(OR(N25=0,O25=0),0,(N25+O25)-16),0)</f>
        <v>674</v>
      </c>
      <c r="R25" s="53">
        <f>P25*Q25/1000000</f>
        <v>1.3217140000000001</v>
      </c>
      <c r="S25" s="123">
        <f>IFERROR(VLOOKUP(L25,'Carton Sizes Chart'!$A$4:$E$15,5,FALSE),0)</f>
        <v>1.27</v>
      </c>
      <c r="T25" s="124">
        <f>S25</f>
        <v>1.27</v>
      </c>
      <c r="U25" s="124">
        <f>I25*T25</f>
        <v>50.8</v>
      </c>
      <c r="V25" s="123">
        <f>((T25*I25)-W25)*4%</f>
        <v>1.9303999999999999</v>
      </c>
      <c r="W25" s="124">
        <f>S25*I25*5%</f>
        <v>2.54</v>
      </c>
      <c r="X25" s="113"/>
    </row>
    <row r="26" spans="1:24">
      <c r="A26" s="118">
        <v>46253</v>
      </c>
      <c r="B26" s="118">
        <v>46256</v>
      </c>
      <c r="C26" s="119"/>
      <c r="D26" s="118" t="s">
        <v>149</v>
      </c>
      <c r="E26" s="118" t="s">
        <v>149</v>
      </c>
      <c r="F26" s="118" t="s">
        <v>126</v>
      </c>
      <c r="G26" s="119" t="s">
        <v>150</v>
      </c>
      <c r="H26" s="119">
        <v>7137849</v>
      </c>
      <c r="I26" s="119">
        <v>50</v>
      </c>
      <c r="J26" s="119" t="s">
        <v>95</v>
      </c>
      <c r="K26" s="119" t="s">
        <v>110</v>
      </c>
      <c r="L26" s="119" t="s">
        <v>50</v>
      </c>
      <c r="M26" s="51" cm="1">
        <f t="array" ref="M26">IF(L26="",0,_xlfn.SWITCH(L26,"A1",495,"A2",495,"A3",495,"Custom",0,595))</f>
        <v>595</v>
      </c>
      <c r="N26" s="51" cm="1">
        <f t="array" ref="N26">IF(L26="",0,_xlfn.SWITCH(L26,"C1",325,"C2",325,"C3",325,"D1",380,"D2",380,"D3",380,"Custom",0,285))</f>
        <v>380</v>
      </c>
      <c r="O26" s="51">
        <f>IF(L26="",0,_xlfn.SWITCH(L26,"A1",375,"B1",375,"C1",375,"D1",375,"A2",310,"B2",310,"C2",310,"D2",310,"Custom",0,260))</f>
        <v>260</v>
      </c>
      <c r="P26" s="51">
        <f>IFERROR(IF(OR(M26=0,N26=0),0,(M26+N26)*2+11),0)</f>
        <v>1961</v>
      </c>
      <c r="Q26" s="51">
        <f>IFERROR(IF(OR(N26=0,O26=0),0,(N26+O26)-16),0)</f>
        <v>624</v>
      </c>
      <c r="R26" s="53">
        <f>P26*Q26/1000000</f>
        <v>1.2236640000000001</v>
      </c>
      <c r="S26" s="123">
        <f>IFERROR(VLOOKUP(L26,'Carton Sizes Chart'!$A$4:$E$15,5,FALSE),0)</f>
        <v>1.18</v>
      </c>
      <c r="T26" s="124">
        <f>S26</f>
        <v>1.18</v>
      </c>
      <c r="U26" s="124">
        <f>I26*T26</f>
        <v>59</v>
      </c>
      <c r="V26" s="123">
        <f>((T26*I26)-W26)*4%</f>
        <v>2.242</v>
      </c>
      <c r="W26" s="124">
        <f>S26*I26*5%</f>
        <v>2.95</v>
      </c>
      <c r="X26" s="113"/>
    </row>
    <row r="27" spans="1:24">
      <c r="A27" s="118">
        <v>46256</v>
      </c>
      <c r="B27" s="118">
        <v>46260</v>
      </c>
      <c r="C27" s="119"/>
      <c r="D27" s="118" t="s">
        <v>193</v>
      </c>
      <c r="E27" s="118" t="s">
        <v>194</v>
      </c>
      <c r="F27" s="118" t="s">
        <v>126</v>
      </c>
      <c r="G27" s="119" t="s">
        <v>196</v>
      </c>
      <c r="H27" s="119">
        <v>7139604</v>
      </c>
      <c r="I27" s="119">
        <v>125</v>
      </c>
      <c r="J27" s="119" t="s">
        <v>95</v>
      </c>
      <c r="K27" s="119" t="s">
        <v>110</v>
      </c>
      <c r="L27" s="119" t="s">
        <v>43</v>
      </c>
      <c r="M27" s="51" cm="1">
        <f t="array" ref="M27">IF(L27="",0,_xlfn.SWITCH(L27,"A1",495,"A2",495,"A3",495,"Custom",0,595))</f>
        <v>595</v>
      </c>
      <c r="N27" s="51" cm="1">
        <f t="array" ref="N27">IF(L27="",0,_xlfn.SWITCH(L27,"C1",325,"C2",325,"C3",325,"D1",380,"D2",380,"D3",380,"Custom",0,285))</f>
        <v>285</v>
      </c>
      <c r="O27" s="51">
        <f>IF(L27="",0,_xlfn.SWITCH(L27,"A1",375,"B1",375,"C1",375,"D1",375,"A2",310,"B2",310,"C2",310,"D2",310,"Custom",0,260))</f>
        <v>310</v>
      </c>
      <c r="P27" s="51">
        <f>IFERROR(IF(OR(M27=0,N27=0),0,(M27+N27)*2+11),0)</f>
        <v>1771</v>
      </c>
      <c r="Q27" s="51">
        <f>IFERROR(IF(OR(N27=0,O27=0),0,(N27+O27)-16),0)</f>
        <v>579</v>
      </c>
      <c r="R27" s="53">
        <f>P27*Q27/1000000</f>
        <v>1.025409</v>
      </c>
      <c r="S27" s="123">
        <f>IFERROR(VLOOKUP(L27,'Carton Sizes Chart'!$A$4:$E$15,5,FALSE),0)</f>
        <v>0.99</v>
      </c>
      <c r="T27" s="124">
        <f>S27</f>
        <v>0.99</v>
      </c>
      <c r="U27" s="124">
        <f>I27*T27</f>
        <v>123.75</v>
      </c>
      <c r="V27" s="123">
        <f>((T27*I27)-W27)*4%</f>
        <v>4.7024999999999997</v>
      </c>
      <c r="W27" s="124">
        <f>S27*I27*5%</f>
        <v>6.1875</v>
      </c>
      <c r="X27" s="113"/>
    </row>
    <row r="28" spans="1:24">
      <c r="A28" s="118">
        <v>46256</v>
      </c>
      <c r="B28" s="118">
        <v>46260</v>
      </c>
      <c r="C28" s="119"/>
      <c r="D28" s="118" t="s">
        <v>193</v>
      </c>
      <c r="E28" s="118" t="s">
        <v>194</v>
      </c>
      <c r="F28" s="118" t="s">
        <v>126</v>
      </c>
      <c r="G28" s="119" t="s">
        <v>196</v>
      </c>
      <c r="H28" s="119">
        <v>7139604</v>
      </c>
      <c r="I28" s="119">
        <v>33</v>
      </c>
      <c r="J28" s="119" t="s">
        <v>95</v>
      </c>
      <c r="K28" s="119" t="s">
        <v>110</v>
      </c>
      <c r="L28" s="119" t="s">
        <v>42</v>
      </c>
      <c r="M28" s="51" cm="1">
        <f t="array" ref="M28">IF(L28="",0,_xlfn.SWITCH(L28,"A1",495,"A2",495,"A3",495,"Custom",0,595))</f>
        <v>595</v>
      </c>
      <c r="N28" s="51" cm="1">
        <f t="array" ref="N28">IF(L28="",0,_xlfn.SWITCH(L28,"C1",325,"C2",325,"C3",325,"D1",380,"D2",380,"D3",380,"Custom",0,285))</f>
        <v>285</v>
      </c>
      <c r="O28" s="51">
        <f>IF(L28="",0,_xlfn.SWITCH(L28,"A1",375,"B1",375,"C1",375,"D1",375,"A2",310,"B2",310,"C2",310,"D2",310,"Custom",0,260))</f>
        <v>375</v>
      </c>
      <c r="P28" s="51">
        <f>IFERROR(IF(OR(M28=0,N28=0),0,(M28+N28)*2+11),0)</f>
        <v>1771</v>
      </c>
      <c r="Q28" s="51">
        <f>IFERROR(IF(OR(N28=0,O28=0),0,(N28+O28)-16),0)</f>
        <v>644</v>
      </c>
      <c r="R28" s="53">
        <f>P28*Q28/1000000</f>
        <v>1.1405240000000001</v>
      </c>
      <c r="S28" s="123">
        <f>IFERROR(VLOOKUP(L28,'Carton Sizes Chart'!$A$4:$E$15,5,FALSE),0)</f>
        <v>1.1000000000000001</v>
      </c>
      <c r="T28" s="124">
        <f>S28</f>
        <v>1.1000000000000001</v>
      </c>
      <c r="U28" s="124">
        <f>I28*T28</f>
        <v>36.300000000000004</v>
      </c>
      <c r="V28" s="123">
        <f>((T28*I28)-W28)*4%</f>
        <v>1.3794000000000002</v>
      </c>
      <c r="W28" s="124">
        <f>S28*I28*5%</f>
        <v>1.8150000000000004</v>
      </c>
      <c r="X28" s="113"/>
    </row>
    <row r="29" spans="1:24">
      <c r="A29" s="118">
        <v>46256</v>
      </c>
      <c r="B29" s="118">
        <v>46258</v>
      </c>
      <c r="C29" s="119"/>
      <c r="D29" s="118" t="s">
        <v>159</v>
      </c>
      <c r="E29" s="118" t="s">
        <v>159</v>
      </c>
      <c r="F29" s="118" t="s">
        <v>126</v>
      </c>
      <c r="G29" s="119" t="s">
        <v>169</v>
      </c>
      <c r="H29" s="119">
        <v>7140093</v>
      </c>
      <c r="I29" s="119">
        <v>1265</v>
      </c>
      <c r="J29" s="119" t="s">
        <v>95</v>
      </c>
      <c r="K29" s="119" t="s">
        <v>110</v>
      </c>
      <c r="L29" s="119" t="s">
        <v>48</v>
      </c>
      <c r="M29" s="51" cm="1">
        <f t="array" ref="M29">IF(L29="",0,_xlfn.SWITCH(L29,"A1",495,"A2",495,"A3",495,"Custom",0,595))</f>
        <v>595</v>
      </c>
      <c r="N29" s="51" cm="1">
        <f t="array" ref="N29">IF(L29="",0,_xlfn.SWITCH(L29,"C1",325,"C2",325,"C3",325,"D1",380,"D2",380,"D3",380,"Custom",0,285))</f>
        <v>380</v>
      </c>
      <c r="O29" s="51">
        <f>IF(L29="",0,_xlfn.SWITCH(L29,"A1",375,"B1",375,"C1",375,"D1",375,"A2",310,"B2",310,"C2",310,"D2",310,"Custom",0,260))</f>
        <v>375</v>
      </c>
      <c r="P29" s="51">
        <f>IFERROR(IF(OR(M29=0,N29=0),0,(M29+N29)*2+11),0)</f>
        <v>1961</v>
      </c>
      <c r="Q29" s="51">
        <f>IFERROR(IF(OR(N29=0,O29=0),0,(N29+O29)-16),0)</f>
        <v>739</v>
      </c>
      <c r="R29" s="53">
        <f>P29*Q29/1000000</f>
        <v>1.449179</v>
      </c>
      <c r="S29" s="123">
        <f>IFERROR(VLOOKUP(L29,'Carton Sizes Chart'!$A$4:$E$15,5,FALSE),0)</f>
        <v>1.39</v>
      </c>
      <c r="T29" s="124">
        <f>S29</f>
        <v>1.39</v>
      </c>
      <c r="U29" s="124">
        <f>I29*T29</f>
        <v>1758.35</v>
      </c>
      <c r="V29" s="123">
        <f>((T29*I29)-W29)*4%</f>
        <v>66.817300000000003</v>
      </c>
      <c r="W29" s="124">
        <f>S29*I29*5%</f>
        <v>87.917500000000004</v>
      </c>
      <c r="X29" s="113"/>
    </row>
    <row r="30" spans="1:24">
      <c r="A30" s="118">
        <v>46256</v>
      </c>
      <c r="B30" s="118">
        <v>46258</v>
      </c>
      <c r="C30" s="119"/>
      <c r="D30" s="118" t="s">
        <v>159</v>
      </c>
      <c r="E30" s="118" t="s">
        <v>159</v>
      </c>
      <c r="F30" s="118" t="s">
        <v>126</v>
      </c>
      <c r="G30" s="119" t="s">
        <v>170</v>
      </c>
      <c r="H30" s="119">
        <v>7140107</v>
      </c>
      <c r="I30" s="119">
        <v>190</v>
      </c>
      <c r="J30" s="119" t="s">
        <v>95</v>
      </c>
      <c r="K30" s="119" t="s">
        <v>110</v>
      </c>
      <c r="L30" s="119" t="s">
        <v>48</v>
      </c>
      <c r="M30" s="51" cm="1">
        <f t="array" ref="M30">IF(L30="",0,_xlfn.SWITCH(L30,"A1",495,"A2",495,"A3",495,"Custom",0,595))</f>
        <v>595</v>
      </c>
      <c r="N30" s="51" cm="1">
        <f t="array" ref="N30">IF(L30="",0,_xlfn.SWITCH(L30,"C1",325,"C2",325,"C3",325,"D1",380,"D2",380,"D3",380,"Custom",0,285))</f>
        <v>380</v>
      </c>
      <c r="O30" s="51">
        <f>IF(L30="",0,_xlfn.SWITCH(L30,"A1",375,"B1",375,"C1",375,"D1",375,"A2",310,"B2",310,"C2",310,"D2",310,"Custom",0,260))</f>
        <v>375</v>
      </c>
      <c r="P30" s="51">
        <f>IFERROR(IF(OR(M30=0,N30=0),0,(M30+N30)*2+11),0)</f>
        <v>1961</v>
      </c>
      <c r="Q30" s="51">
        <f>IFERROR(IF(OR(N30=0,O30=0),0,(N30+O30)-16),0)</f>
        <v>739</v>
      </c>
      <c r="R30" s="53">
        <f>P30*Q30/1000000</f>
        <v>1.449179</v>
      </c>
      <c r="S30" s="123">
        <f>IFERROR(VLOOKUP(L30,'Carton Sizes Chart'!$A$4:$E$15,5,FALSE),0)</f>
        <v>1.39</v>
      </c>
      <c r="T30" s="124">
        <f>S30</f>
        <v>1.39</v>
      </c>
      <c r="U30" s="124">
        <f>I30*T30</f>
        <v>264.09999999999997</v>
      </c>
      <c r="V30" s="123">
        <f>((T30*I30)-W30)*4%</f>
        <v>10.0358</v>
      </c>
      <c r="W30" s="124">
        <f>S30*I30*5%</f>
        <v>13.204999999999998</v>
      </c>
      <c r="X30" s="113"/>
    </row>
    <row r="31" spans="1:24">
      <c r="A31" s="118">
        <v>46256</v>
      </c>
      <c r="B31" s="118">
        <v>46258</v>
      </c>
      <c r="C31" s="119"/>
      <c r="D31" s="118" t="s">
        <v>159</v>
      </c>
      <c r="E31" s="118" t="s">
        <v>159</v>
      </c>
      <c r="F31" s="118" t="s">
        <v>126</v>
      </c>
      <c r="G31" s="119" t="s">
        <v>171</v>
      </c>
      <c r="H31" s="119">
        <v>7141372</v>
      </c>
      <c r="I31" s="119">
        <v>440</v>
      </c>
      <c r="J31" s="119" t="s">
        <v>95</v>
      </c>
      <c r="K31" s="119" t="s">
        <v>110</v>
      </c>
      <c r="L31" s="119" t="s">
        <v>48</v>
      </c>
      <c r="M31" s="51" cm="1">
        <f t="array" ref="M31">IF(L31="",0,_xlfn.SWITCH(L31,"A1",495,"A2",495,"A3",495,"Custom",0,595))</f>
        <v>595</v>
      </c>
      <c r="N31" s="51" cm="1">
        <f t="array" ref="N31">IF(L31="",0,_xlfn.SWITCH(L31,"C1",325,"C2",325,"C3",325,"D1",380,"D2",380,"D3",380,"Custom",0,285))</f>
        <v>380</v>
      </c>
      <c r="O31" s="51">
        <f>IF(L31="",0,_xlfn.SWITCH(L31,"A1",375,"B1",375,"C1",375,"D1",375,"A2",310,"B2",310,"C2",310,"D2",310,"Custom",0,260))</f>
        <v>375</v>
      </c>
      <c r="P31" s="51">
        <f>IFERROR(IF(OR(M31=0,N31=0),0,(M31+N31)*2+11),0)</f>
        <v>1961</v>
      </c>
      <c r="Q31" s="51">
        <f>IFERROR(IF(OR(N31=0,O31=0),0,(N31+O31)-16),0)</f>
        <v>739</v>
      </c>
      <c r="R31" s="53">
        <f>P31*Q31/1000000</f>
        <v>1.449179</v>
      </c>
      <c r="S31" s="123">
        <f>IFERROR(VLOOKUP(L31,'Carton Sizes Chart'!$A$4:$E$15,5,FALSE),0)</f>
        <v>1.39</v>
      </c>
      <c r="T31" s="124">
        <f>S31</f>
        <v>1.39</v>
      </c>
      <c r="U31" s="124">
        <f>I31*T31</f>
        <v>611.59999999999991</v>
      </c>
      <c r="V31" s="123">
        <f>((T31*I31)-W31)*4%</f>
        <v>23.240799999999997</v>
      </c>
      <c r="W31" s="124">
        <f>S31*I31*5%</f>
        <v>30.58</v>
      </c>
      <c r="X31" s="113"/>
    </row>
    <row r="32" spans="1:24">
      <c r="A32" s="118">
        <v>46256</v>
      </c>
      <c r="B32" s="118">
        <v>46264</v>
      </c>
      <c r="C32" s="119"/>
      <c r="D32" s="118" t="s">
        <v>131</v>
      </c>
      <c r="E32" s="118" t="s">
        <v>132</v>
      </c>
      <c r="F32" s="118" t="s">
        <v>126</v>
      </c>
      <c r="G32" s="119" t="s">
        <v>142</v>
      </c>
      <c r="H32" s="119">
        <v>7141430</v>
      </c>
      <c r="I32" s="119">
        <v>734</v>
      </c>
      <c r="J32" s="119" t="s">
        <v>95</v>
      </c>
      <c r="K32" s="119" t="s">
        <v>110</v>
      </c>
      <c r="L32" s="119" t="s">
        <v>48</v>
      </c>
      <c r="M32" s="51" cm="1">
        <f t="array" ref="M32">IF(L32="",0,_xlfn.SWITCH(L32,"A1",495,"A2",495,"A3",495,"Custom",0,595))</f>
        <v>595</v>
      </c>
      <c r="N32" s="51" cm="1">
        <f t="array" ref="N32">IF(L32="",0,_xlfn.SWITCH(L32,"C1",325,"C2",325,"C3",325,"D1",380,"D2",380,"D3",380,"Custom",0,285))</f>
        <v>380</v>
      </c>
      <c r="O32" s="51">
        <f>IF(L32="",0,_xlfn.SWITCH(L32,"A1",375,"B1",375,"C1",375,"D1",375,"A2",310,"B2",310,"C2",310,"D2",310,"Custom",0,260))</f>
        <v>375</v>
      </c>
      <c r="P32" s="51">
        <f>IFERROR(IF(OR(M32=0,N32=0),0,(M32+N32)*2+11),0)</f>
        <v>1961</v>
      </c>
      <c r="Q32" s="51">
        <f>IFERROR(IF(OR(N32=0,O32=0),0,(N32+O32)-16),0)</f>
        <v>739</v>
      </c>
      <c r="R32" s="53">
        <f>P32*Q32/1000000</f>
        <v>1.449179</v>
      </c>
      <c r="S32" s="123">
        <f>IFERROR(VLOOKUP(L32,'Carton Sizes Chart'!$A$4:$E$15,5,FALSE),0)</f>
        <v>1.39</v>
      </c>
      <c r="T32" s="124">
        <f>S32</f>
        <v>1.39</v>
      </c>
      <c r="U32" s="124">
        <f>I32*T32</f>
        <v>1020.2599999999999</v>
      </c>
      <c r="V32" s="123">
        <f>((T32*I32)-W32)*4%</f>
        <v>38.769879999999993</v>
      </c>
      <c r="W32" s="124">
        <f>S32*I32*5%</f>
        <v>51.012999999999998</v>
      </c>
      <c r="X32" s="113"/>
    </row>
    <row r="33" spans="1:24">
      <c r="A33" s="118">
        <v>46257</v>
      </c>
      <c r="B33" s="118">
        <v>46259</v>
      </c>
      <c r="C33" s="119"/>
      <c r="D33" s="118" t="s">
        <v>200</v>
      </c>
      <c r="E33" s="118" t="s">
        <v>218</v>
      </c>
      <c r="F33" s="118" t="s">
        <v>126</v>
      </c>
      <c r="G33" s="119" t="s">
        <v>219</v>
      </c>
      <c r="H33" s="119">
        <v>7141460</v>
      </c>
      <c r="I33" s="121">
        <v>200</v>
      </c>
      <c r="J33" s="119" t="s">
        <v>95</v>
      </c>
      <c r="K33" s="119" t="s">
        <v>110</v>
      </c>
      <c r="L33" s="119" t="s">
        <v>42</v>
      </c>
      <c r="M33" s="51" cm="1">
        <f t="array" ref="M33">IF(L33="",0,_xlfn.SWITCH(L33,"A1",495,"A2",495,"A3",495,"Custom",0,595))</f>
        <v>595</v>
      </c>
      <c r="N33" s="51" cm="1">
        <f t="array" ref="N33">IF(L33="",0,_xlfn.SWITCH(L33,"C1",325,"C2",325,"C3",325,"D1",380,"D2",380,"D3",380,"Custom",0,285))</f>
        <v>285</v>
      </c>
      <c r="O33" s="51">
        <f>IF(L33="",0,_xlfn.SWITCH(L33,"A1",375,"B1",375,"C1",375,"D1",375,"A2",310,"B2",310,"C2",310,"D2",310,"Custom",0,260))</f>
        <v>375</v>
      </c>
      <c r="P33" s="51">
        <f>IFERROR(IF(OR(M33=0,N33=0),0,(M33+N33)*2+11),0)</f>
        <v>1771</v>
      </c>
      <c r="Q33" s="51">
        <f>IFERROR(IF(OR(N33=0,O33=0),0,(N33+O33)-16),0)</f>
        <v>644</v>
      </c>
      <c r="R33" s="53">
        <f>P33*Q33/1000000</f>
        <v>1.1405240000000001</v>
      </c>
      <c r="S33" s="123">
        <f>IFERROR(VLOOKUP(L33,'Carton Sizes Chart'!$A$4:$E$15,5,FALSE),0)</f>
        <v>1.1000000000000001</v>
      </c>
      <c r="T33" s="124">
        <f>S33</f>
        <v>1.1000000000000001</v>
      </c>
      <c r="U33" s="124">
        <f>I33*T33</f>
        <v>220.00000000000003</v>
      </c>
      <c r="V33" s="123">
        <f>((T33*I33)-W33)*4%</f>
        <v>8.3600000000000012</v>
      </c>
      <c r="W33" s="124">
        <f>S33*I33*5%</f>
        <v>11.000000000000002</v>
      </c>
      <c r="X33" s="113"/>
    </row>
    <row r="34" spans="1:24">
      <c r="A34" s="118">
        <v>46257</v>
      </c>
      <c r="B34" s="118">
        <v>46259</v>
      </c>
      <c r="C34" s="119"/>
      <c r="D34" s="118" t="s">
        <v>200</v>
      </c>
      <c r="E34" s="118" t="s">
        <v>218</v>
      </c>
      <c r="F34" s="118" t="s">
        <v>126</v>
      </c>
      <c r="G34" s="119" t="s">
        <v>219</v>
      </c>
      <c r="H34" s="119">
        <v>7141460</v>
      </c>
      <c r="I34" s="121">
        <v>500</v>
      </c>
      <c r="J34" s="119" t="s">
        <v>95</v>
      </c>
      <c r="K34" s="119" t="s">
        <v>110</v>
      </c>
      <c r="L34" s="119" t="s">
        <v>43</v>
      </c>
      <c r="M34" s="51" cm="1">
        <f t="array" ref="M34">IF(L34="",0,_xlfn.SWITCH(L34,"A1",495,"A2",495,"A3",495,"Custom",0,595))</f>
        <v>595</v>
      </c>
      <c r="N34" s="51" cm="1">
        <f t="array" ref="N34">IF(L34="",0,_xlfn.SWITCH(L34,"C1",325,"C2",325,"C3",325,"D1",380,"D2",380,"D3",380,"Custom",0,285))</f>
        <v>285</v>
      </c>
      <c r="O34" s="51">
        <f>IF(L34="",0,_xlfn.SWITCH(L34,"A1",375,"B1",375,"C1",375,"D1",375,"A2",310,"B2",310,"C2",310,"D2",310,"Custom",0,260))</f>
        <v>310</v>
      </c>
      <c r="P34" s="51">
        <f>IFERROR(IF(OR(M34=0,N34=0),0,(M34+N34)*2+11),0)</f>
        <v>1771</v>
      </c>
      <c r="Q34" s="51">
        <f>IFERROR(IF(OR(N34=0,O34=0),0,(N34+O34)-16),0)</f>
        <v>579</v>
      </c>
      <c r="R34" s="53">
        <f>P34*Q34/1000000</f>
        <v>1.025409</v>
      </c>
      <c r="S34" s="123">
        <f>IFERROR(VLOOKUP(L34,'Carton Sizes Chart'!$A$4:$E$15,5,FALSE),0)</f>
        <v>0.99</v>
      </c>
      <c r="T34" s="124">
        <f>S34</f>
        <v>0.99</v>
      </c>
      <c r="U34" s="124">
        <f>I34*T34</f>
        <v>495</v>
      </c>
      <c r="V34" s="123">
        <f>((T34*I34)-W34)*4%</f>
        <v>18.809999999999999</v>
      </c>
      <c r="W34" s="124">
        <f>S34*I34*5%</f>
        <v>24.75</v>
      </c>
      <c r="X34" s="113"/>
    </row>
    <row r="35" spans="1:24">
      <c r="A35" s="118">
        <v>46257</v>
      </c>
      <c r="B35" s="118">
        <v>46259</v>
      </c>
      <c r="C35" s="119"/>
      <c r="D35" s="118" t="s">
        <v>200</v>
      </c>
      <c r="E35" s="118" t="s">
        <v>218</v>
      </c>
      <c r="F35" s="118" t="s">
        <v>126</v>
      </c>
      <c r="G35" s="119" t="s">
        <v>219</v>
      </c>
      <c r="H35" s="119">
        <v>7141460</v>
      </c>
      <c r="I35" s="121">
        <v>500</v>
      </c>
      <c r="J35" s="119" t="s">
        <v>95</v>
      </c>
      <c r="K35" s="119" t="s">
        <v>110</v>
      </c>
      <c r="L35" s="119" t="s">
        <v>44</v>
      </c>
      <c r="M35" s="51" cm="1">
        <f t="array" ref="M35">IF(L35="",0,_xlfn.SWITCH(L35,"A1",495,"A2",495,"A3",495,"Custom",0,595))</f>
        <v>595</v>
      </c>
      <c r="N35" s="51" cm="1">
        <f t="array" ref="N35">IF(L35="",0,_xlfn.SWITCH(L35,"C1",325,"C2",325,"C3",325,"D1",380,"D2",380,"D3",380,"Custom",0,285))</f>
        <v>285</v>
      </c>
      <c r="O35" s="51">
        <f>IF(L35="",0,_xlfn.SWITCH(L35,"A1",375,"B1",375,"C1",375,"D1",375,"A2",310,"B2",310,"C2",310,"D2",310,"Custom",0,260))</f>
        <v>260</v>
      </c>
      <c r="P35" s="51">
        <f>IFERROR(IF(OR(M35=0,N35=0),0,(M35+N35)*2+11),0)</f>
        <v>1771</v>
      </c>
      <c r="Q35" s="51">
        <f>IFERROR(IF(OR(N35=0,O35=0),0,(N35+O35)-16),0)</f>
        <v>529</v>
      </c>
      <c r="R35" s="53">
        <f>P35*Q35/1000000</f>
        <v>0.936859</v>
      </c>
      <c r="S35" s="123">
        <f>IFERROR(VLOOKUP(L35,'Carton Sizes Chart'!$A$4:$E$15,5,FALSE),0)</f>
        <v>0.9</v>
      </c>
      <c r="T35" s="124">
        <f>S35</f>
        <v>0.9</v>
      </c>
      <c r="U35" s="124">
        <f>I35*T35</f>
        <v>450</v>
      </c>
      <c r="V35" s="123">
        <f>((T35*I35)-W35)*4%</f>
        <v>17.100000000000001</v>
      </c>
      <c r="W35" s="124">
        <f>S35*I35*5%</f>
        <v>22.5</v>
      </c>
      <c r="X35" s="113"/>
    </row>
    <row r="36" spans="1:24">
      <c r="A36" s="118">
        <v>46260</v>
      </c>
      <c r="B36" s="118">
        <v>46260</v>
      </c>
      <c r="C36" s="119"/>
      <c r="D36" s="118" t="s">
        <v>193</v>
      </c>
      <c r="E36" s="118" t="s">
        <v>194</v>
      </c>
      <c r="F36" s="118" t="s">
        <v>126</v>
      </c>
      <c r="G36" s="119" t="s">
        <v>197</v>
      </c>
      <c r="H36" s="119">
        <v>7141750</v>
      </c>
      <c r="I36" s="119">
        <v>17</v>
      </c>
      <c r="J36" s="119" t="s">
        <v>95</v>
      </c>
      <c r="K36" s="119" t="s">
        <v>110</v>
      </c>
      <c r="L36" s="119" t="s">
        <v>46</v>
      </c>
      <c r="M36" s="51" cm="1">
        <f t="array" ref="M36">IF(L36="",0,_xlfn.SWITCH(L36,"A1",495,"A2",495,"A3",495,"Custom",0,595))</f>
        <v>595</v>
      </c>
      <c r="N36" s="51" cm="1">
        <f t="array" ref="N36">IF(L36="",0,_xlfn.SWITCH(L36,"C1",325,"C2",325,"C3",325,"D1",380,"D2",380,"D3",380,"Custom",0,285))</f>
        <v>325</v>
      </c>
      <c r="O36" s="51">
        <f>IF(L36="",0,_xlfn.SWITCH(L36,"A1",375,"B1",375,"C1",375,"D1",375,"A2",310,"B2",310,"C2",310,"D2",310,"Custom",0,260))</f>
        <v>310</v>
      </c>
      <c r="P36" s="51">
        <f>IFERROR(IF(OR(M36=0,N36=0),0,(M36+N36)*2+11),0)</f>
        <v>1851</v>
      </c>
      <c r="Q36" s="51">
        <f>IFERROR(IF(OR(N36=0,O36=0),0,(N36+O36)-16),0)</f>
        <v>619</v>
      </c>
      <c r="R36" s="53">
        <f>P36*Q36/1000000</f>
        <v>1.145769</v>
      </c>
      <c r="S36" s="123">
        <f>IFERROR(VLOOKUP(L36,'Carton Sizes Chart'!$A$4:$E$15,5,FALSE),0)</f>
        <v>1.1000000000000001</v>
      </c>
      <c r="T36" s="124">
        <f>S36</f>
        <v>1.1000000000000001</v>
      </c>
      <c r="U36" s="124">
        <f>I36*T36</f>
        <v>18.700000000000003</v>
      </c>
      <c r="V36" s="123">
        <f>((T36*I36)-W36)*4%</f>
        <v>0.71060000000000023</v>
      </c>
      <c r="W36" s="124">
        <f>S36*I36*5%</f>
        <v>0.93500000000000016</v>
      </c>
      <c r="X36" s="113"/>
    </row>
    <row r="37" spans="1:24">
      <c r="A37" s="120">
        <v>46260</v>
      </c>
      <c r="B37" s="120">
        <v>46260</v>
      </c>
      <c r="C37" s="119"/>
      <c r="D37" s="118" t="s">
        <v>193</v>
      </c>
      <c r="E37" s="118" t="s">
        <v>194</v>
      </c>
      <c r="F37" s="118" t="s">
        <v>126</v>
      </c>
      <c r="G37" s="119" t="s">
        <v>197</v>
      </c>
      <c r="H37" s="119">
        <v>7141750</v>
      </c>
      <c r="I37" s="119">
        <v>16</v>
      </c>
      <c r="J37" s="119" t="s">
        <v>95</v>
      </c>
      <c r="K37" s="119" t="s">
        <v>110</v>
      </c>
      <c r="L37" s="119" t="s">
        <v>50</v>
      </c>
      <c r="M37" s="51" cm="1">
        <f t="array" ref="M37">IF(L37="",0,_xlfn.SWITCH(L37,"A1",495,"A2",495,"A3",495,"Custom",0,595))</f>
        <v>595</v>
      </c>
      <c r="N37" s="51" cm="1">
        <f t="array" ref="N37">IF(L37="",0,_xlfn.SWITCH(L37,"C1",325,"C2",325,"C3",325,"D1",380,"D2",380,"D3",380,"Custom",0,285))</f>
        <v>380</v>
      </c>
      <c r="O37" s="51">
        <f>IF(L37="",0,_xlfn.SWITCH(L37,"A1",375,"B1",375,"C1",375,"D1",375,"A2",310,"B2",310,"C2",310,"D2",310,"Custom",0,260))</f>
        <v>260</v>
      </c>
      <c r="P37" s="51">
        <f>IFERROR(IF(OR(M37=0,N37=0),0,(M37+N37)*2+11),0)</f>
        <v>1961</v>
      </c>
      <c r="Q37" s="51">
        <f>IFERROR(IF(OR(N37=0,O37=0),0,(N37+O37)-16),0)</f>
        <v>624</v>
      </c>
      <c r="R37" s="53">
        <f>P37*Q37/1000000</f>
        <v>1.2236640000000001</v>
      </c>
      <c r="S37" s="123">
        <f>IFERROR(VLOOKUP(L37,'Carton Sizes Chart'!$A$4:$E$15,5,FALSE),0)</f>
        <v>1.18</v>
      </c>
      <c r="T37" s="124">
        <f>S37</f>
        <v>1.18</v>
      </c>
      <c r="U37" s="124">
        <f>I37*T37</f>
        <v>18.88</v>
      </c>
      <c r="V37" s="123">
        <f>((T37*I37)-W37)*4%</f>
        <v>0.71743999999999997</v>
      </c>
      <c r="W37" s="124">
        <f>S37*I37*5%</f>
        <v>0.94399999999999995</v>
      </c>
      <c r="X37" s="113"/>
    </row>
    <row r="38" spans="1:24">
      <c r="A38" s="118">
        <v>46258</v>
      </c>
      <c r="B38" s="118">
        <v>46263</v>
      </c>
      <c r="C38" s="119"/>
      <c r="D38" s="118" t="s">
        <v>127</v>
      </c>
      <c r="E38" s="118" t="s">
        <v>128</v>
      </c>
      <c r="F38" s="118" t="s">
        <v>126</v>
      </c>
      <c r="G38" s="119" t="s">
        <v>145</v>
      </c>
      <c r="H38" s="119">
        <v>7141786</v>
      </c>
      <c r="I38" s="119">
        <v>231</v>
      </c>
      <c r="J38" s="119" t="s">
        <v>95</v>
      </c>
      <c r="K38" s="119" t="s">
        <v>110</v>
      </c>
      <c r="L38" s="119" t="s">
        <v>45</v>
      </c>
      <c r="M38" s="51" cm="1">
        <f t="array" ref="M38">IF(L38="",0,_xlfn.SWITCH(L38,"A1",495,"A2",495,"A3",495,"Custom",0,595))</f>
        <v>595</v>
      </c>
      <c r="N38" s="51" cm="1">
        <f t="array" ref="N38">IF(L38="",0,_xlfn.SWITCH(L38,"C1",325,"C2",325,"C3",325,"D1",380,"D2",380,"D3",380,"Custom",0,285))</f>
        <v>325</v>
      </c>
      <c r="O38" s="51">
        <f>IF(L38="",0,_xlfn.SWITCH(L38,"A1",375,"B1",375,"C1",375,"D1",375,"A2",310,"B2",310,"C2",310,"D2",310,"Custom",0,260))</f>
        <v>375</v>
      </c>
      <c r="P38" s="51">
        <f>IFERROR(IF(OR(M38=0,N38=0),0,(M38+N38)*2+11),0)</f>
        <v>1851</v>
      </c>
      <c r="Q38" s="51">
        <f>IFERROR(IF(OR(N38=0,O38=0),0,(N38+O38)-16),0)</f>
        <v>684</v>
      </c>
      <c r="R38" s="53">
        <f>P38*Q38/1000000</f>
        <v>1.266084</v>
      </c>
      <c r="S38" s="123">
        <f>IFERROR(VLOOKUP(L38,'Carton Sizes Chart'!$A$4:$E$15,5,FALSE),0)</f>
        <v>1.22</v>
      </c>
      <c r="T38" s="124">
        <f>S38</f>
        <v>1.22</v>
      </c>
      <c r="U38" s="124">
        <f>I38*T38</f>
        <v>281.82</v>
      </c>
      <c r="V38" s="123">
        <f>((T38*I38)-W38)*4%</f>
        <v>10.709159999999999</v>
      </c>
      <c r="W38" s="124">
        <f>S38*I38*5%</f>
        <v>14.091000000000001</v>
      </c>
      <c r="X38" s="113"/>
    </row>
    <row r="39" spans="1:24">
      <c r="A39" s="118">
        <v>46258</v>
      </c>
      <c r="B39" s="118">
        <v>46259</v>
      </c>
      <c r="C39" s="119"/>
      <c r="D39" s="118" t="s">
        <v>200</v>
      </c>
      <c r="E39" s="118" t="s">
        <v>210</v>
      </c>
      <c r="F39" s="118" t="s">
        <v>126</v>
      </c>
      <c r="G39" s="119" t="s">
        <v>217</v>
      </c>
      <c r="H39" s="119">
        <v>7142163</v>
      </c>
      <c r="I39" s="121">
        <v>800</v>
      </c>
      <c r="J39" s="119" t="s">
        <v>95</v>
      </c>
      <c r="K39" s="119" t="s">
        <v>110</v>
      </c>
      <c r="L39" s="119" t="s">
        <v>43</v>
      </c>
      <c r="M39" s="51" cm="1">
        <f t="array" ref="M39">IF(L39="",0,_xlfn.SWITCH(L39,"A1",495,"A2",495,"A3",495,"Custom",0,595))</f>
        <v>595</v>
      </c>
      <c r="N39" s="51" cm="1">
        <f t="array" ref="N39">IF(L39="",0,_xlfn.SWITCH(L39,"C1",325,"C2",325,"C3",325,"D1",380,"D2",380,"D3",380,"Custom",0,285))</f>
        <v>285</v>
      </c>
      <c r="O39" s="51">
        <f>IF(L39="",0,_xlfn.SWITCH(L39,"A1",375,"B1",375,"C1",375,"D1",375,"A2",310,"B2",310,"C2",310,"D2",310,"Custom",0,260))</f>
        <v>310</v>
      </c>
      <c r="P39" s="51">
        <f>IFERROR(IF(OR(M39=0,N39=0),0,(M39+N39)*2+11),0)</f>
        <v>1771</v>
      </c>
      <c r="Q39" s="51">
        <f>IFERROR(IF(OR(N39=0,O39=0),0,(N39+O39)-16),0)</f>
        <v>579</v>
      </c>
      <c r="R39" s="53">
        <f>P39*Q39/1000000</f>
        <v>1.025409</v>
      </c>
      <c r="S39" s="123">
        <f>IFERROR(VLOOKUP(L39,'Carton Sizes Chart'!$A$4:$E$15,5,FALSE),0)</f>
        <v>0.99</v>
      </c>
      <c r="T39" s="124">
        <f>S39</f>
        <v>0.99</v>
      </c>
      <c r="U39" s="124">
        <f>I39*T39</f>
        <v>792</v>
      </c>
      <c r="V39" s="123">
        <f>((T39*I39)-W39)*4%</f>
        <v>30.096</v>
      </c>
      <c r="W39" s="124">
        <f>S39*I39*5%</f>
        <v>39.6</v>
      </c>
      <c r="X39" s="113"/>
    </row>
    <row r="40" spans="1:24">
      <c r="A40" s="118">
        <v>46258</v>
      </c>
      <c r="B40" s="118">
        <v>46259</v>
      </c>
      <c r="C40" s="119"/>
      <c r="D40" s="118" t="s">
        <v>200</v>
      </c>
      <c r="E40" s="118" t="s">
        <v>210</v>
      </c>
      <c r="F40" s="118" t="s">
        <v>126</v>
      </c>
      <c r="G40" s="119" t="s">
        <v>216</v>
      </c>
      <c r="H40" s="119">
        <v>7142176</v>
      </c>
      <c r="I40" s="121">
        <v>1100</v>
      </c>
      <c r="J40" s="119" t="s">
        <v>95</v>
      </c>
      <c r="K40" s="119" t="s">
        <v>110</v>
      </c>
      <c r="L40" s="119" t="s">
        <v>44</v>
      </c>
      <c r="M40" s="51" cm="1">
        <f t="array" ref="M40">IF(L40="",0,_xlfn.SWITCH(L40,"A1",495,"A2",495,"A3",495,"Custom",0,595))</f>
        <v>595</v>
      </c>
      <c r="N40" s="51" cm="1">
        <f t="array" ref="N40">IF(L40="",0,_xlfn.SWITCH(L40,"C1",325,"C2",325,"C3",325,"D1",380,"D2",380,"D3",380,"Custom",0,285))</f>
        <v>285</v>
      </c>
      <c r="O40" s="51">
        <f>IF(L40="",0,_xlfn.SWITCH(L40,"A1",375,"B1",375,"C1",375,"D1",375,"A2",310,"B2",310,"C2",310,"D2",310,"Custom",0,260))</f>
        <v>260</v>
      </c>
      <c r="P40" s="51">
        <f>IFERROR(IF(OR(M40=0,N40=0),0,(M40+N40)*2+11),0)</f>
        <v>1771</v>
      </c>
      <c r="Q40" s="51">
        <f>IFERROR(IF(OR(N40=0,O40=0),0,(N40+O40)-16),0)</f>
        <v>529</v>
      </c>
      <c r="R40" s="53">
        <f>P40*Q40/1000000</f>
        <v>0.936859</v>
      </c>
      <c r="S40" s="123">
        <f>IFERROR(VLOOKUP(L40,'Carton Sizes Chart'!$A$4:$E$15,5,FALSE),0)</f>
        <v>0.9</v>
      </c>
      <c r="T40" s="124">
        <f>S40</f>
        <v>0.9</v>
      </c>
      <c r="U40" s="124">
        <f>I40*T40</f>
        <v>990</v>
      </c>
      <c r="V40" s="123">
        <f>((T40*I40)-W40)*4%</f>
        <v>37.619999999999997</v>
      </c>
      <c r="W40" s="124">
        <f>S40*I40*5%</f>
        <v>49.5</v>
      </c>
      <c r="X40" s="113"/>
    </row>
    <row r="41" spans="1:24">
      <c r="A41" s="118">
        <v>46258</v>
      </c>
      <c r="B41" s="118">
        <v>46259</v>
      </c>
      <c r="C41" s="119"/>
      <c r="D41" s="118" t="s">
        <v>200</v>
      </c>
      <c r="E41" s="118" t="s">
        <v>210</v>
      </c>
      <c r="F41" s="118" t="s">
        <v>126</v>
      </c>
      <c r="G41" s="119" t="s">
        <v>216</v>
      </c>
      <c r="H41" s="119">
        <v>7142176</v>
      </c>
      <c r="I41" s="121">
        <v>1100</v>
      </c>
      <c r="J41" s="119" t="s">
        <v>95</v>
      </c>
      <c r="K41" s="119" t="s">
        <v>110</v>
      </c>
      <c r="L41" s="119" t="s">
        <v>43</v>
      </c>
      <c r="M41" s="51" cm="1">
        <f t="array" ref="M41">IF(L41="",0,_xlfn.SWITCH(L41,"A1",495,"A2",495,"A3",495,"Custom",0,595))</f>
        <v>595</v>
      </c>
      <c r="N41" s="51" cm="1">
        <f t="array" ref="N41">IF(L41="",0,_xlfn.SWITCH(L41,"C1",325,"C2",325,"C3",325,"D1",380,"D2",380,"D3",380,"Custom",0,285))</f>
        <v>285</v>
      </c>
      <c r="O41" s="51">
        <f>IF(L41="",0,_xlfn.SWITCH(L41,"A1",375,"B1",375,"C1",375,"D1",375,"A2",310,"B2",310,"C2",310,"D2",310,"Custom",0,260))</f>
        <v>310</v>
      </c>
      <c r="P41" s="51">
        <f>IFERROR(IF(OR(M41=0,N41=0),0,(M41+N41)*2+11),0)</f>
        <v>1771</v>
      </c>
      <c r="Q41" s="51">
        <f>IFERROR(IF(OR(N41=0,O41=0),0,(N41+O41)-16),0)</f>
        <v>579</v>
      </c>
      <c r="R41" s="53">
        <f>P41*Q41/1000000</f>
        <v>1.025409</v>
      </c>
      <c r="S41" s="123">
        <f>IFERROR(VLOOKUP(L41,'Carton Sizes Chart'!$A$4:$E$15,5,FALSE),0)</f>
        <v>0.99</v>
      </c>
      <c r="T41" s="124">
        <f>S41</f>
        <v>0.99</v>
      </c>
      <c r="U41" s="124">
        <f>I41*T41</f>
        <v>1089</v>
      </c>
      <c r="V41" s="123">
        <f>((T41*I41)-W41)*4%</f>
        <v>41.381999999999998</v>
      </c>
      <c r="W41" s="124">
        <f>S41*I41*5%</f>
        <v>54.45</v>
      </c>
      <c r="X41" s="113"/>
    </row>
    <row r="42" spans="1:24">
      <c r="A42" s="118">
        <v>46259</v>
      </c>
      <c r="B42" s="118">
        <v>46260</v>
      </c>
      <c r="C42" s="119"/>
      <c r="D42" s="118" t="s">
        <v>159</v>
      </c>
      <c r="E42" s="118" t="s">
        <v>159</v>
      </c>
      <c r="F42" s="118" t="s">
        <v>126</v>
      </c>
      <c r="G42" s="119" t="s">
        <v>172</v>
      </c>
      <c r="H42" s="119">
        <v>7142302</v>
      </c>
      <c r="I42" s="119">
        <v>579</v>
      </c>
      <c r="J42" s="119" t="s">
        <v>95</v>
      </c>
      <c r="K42" s="119" t="s">
        <v>110</v>
      </c>
      <c r="L42" s="119" t="s">
        <v>45</v>
      </c>
      <c r="M42" s="51" cm="1">
        <f t="array" ref="M42">IF(L42="",0,_xlfn.SWITCH(L42,"A1",495,"A2",495,"A3",495,"Custom",0,595))</f>
        <v>595</v>
      </c>
      <c r="N42" s="51" cm="1">
        <f t="array" ref="N42">IF(L42="",0,_xlfn.SWITCH(L42,"C1",325,"C2",325,"C3",325,"D1",380,"D2",380,"D3",380,"Custom",0,285))</f>
        <v>325</v>
      </c>
      <c r="O42" s="51">
        <f>IF(L42="",0,_xlfn.SWITCH(L42,"A1",375,"B1",375,"C1",375,"D1",375,"A2",310,"B2",310,"C2",310,"D2",310,"Custom",0,260))</f>
        <v>375</v>
      </c>
      <c r="P42" s="51">
        <f>IFERROR(IF(OR(M42=0,N42=0),0,(M42+N42)*2+11),0)</f>
        <v>1851</v>
      </c>
      <c r="Q42" s="51">
        <f>IFERROR(IF(OR(N42=0,O42=0),0,(N42+O42)-16),0)</f>
        <v>684</v>
      </c>
      <c r="R42" s="53">
        <f>P42*Q42/1000000</f>
        <v>1.266084</v>
      </c>
      <c r="S42" s="123">
        <f>IFERROR(VLOOKUP(L42,'Carton Sizes Chart'!$A$4:$E$15,5,FALSE),0)</f>
        <v>1.22</v>
      </c>
      <c r="T42" s="124">
        <f>S42</f>
        <v>1.22</v>
      </c>
      <c r="U42" s="124">
        <f>I42*T42</f>
        <v>706.38</v>
      </c>
      <c r="V42" s="123">
        <f>((T42*I42)-W42)*4%</f>
        <v>26.842440000000003</v>
      </c>
      <c r="W42" s="124">
        <f>S42*I42*5%</f>
        <v>35.319000000000003</v>
      </c>
      <c r="X42" s="113"/>
    </row>
    <row r="43" spans="1:24">
      <c r="A43" s="120">
        <v>46259</v>
      </c>
      <c r="B43" s="120">
        <v>46260</v>
      </c>
      <c r="C43" s="119"/>
      <c r="D43" s="118" t="s">
        <v>159</v>
      </c>
      <c r="E43" s="118" t="s">
        <v>159</v>
      </c>
      <c r="F43" s="118" t="s">
        <v>126</v>
      </c>
      <c r="G43" s="119" t="s">
        <v>173</v>
      </c>
      <c r="H43" s="119">
        <v>7142308</v>
      </c>
      <c r="I43" s="119">
        <v>117</v>
      </c>
      <c r="J43" s="119" t="s">
        <v>95</v>
      </c>
      <c r="K43" s="119" t="s">
        <v>110</v>
      </c>
      <c r="L43" s="119" t="s">
        <v>45</v>
      </c>
      <c r="M43" s="51" cm="1">
        <f t="array" ref="M43">IF(L43="",0,_xlfn.SWITCH(L43,"A1",495,"A2",495,"A3",495,"Custom",0,595))</f>
        <v>595</v>
      </c>
      <c r="N43" s="51" cm="1">
        <f t="array" ref="N43">IF(L43="",0,_xlfn.SWITCH(L43,"C1",325,"C2",325,"C3",325,"D1",380,"D2",380,"D3",380,"Custom",0,285))</f>
        <v>325</v>
      </c>
      <c r="O43" s="51">
        <f>IF(L43="",0,_xlfn.SWITCH(L43,"A1",375,"B1",375,"C1",375,"D1",375,"A2",310,"B2",310,"C2",310,"D2",310,"Custom",0,260))</f>
        <v>375</v>
      </c>
      <c r="P43" s="51">
        <f>IFERROR(IF(OR(M43=0,N43=0),0,(M43+N43)*2+11),0)</f>
        <v>1851</v>
      </c>
      <c r="Q43" s="51">
        <f>IFERROR(IF(OR(N43=0,O43=0),0,(N43+O43)-16),0)</f>
        <v>684</v>
      </c>
      <c r="R43" s="53">
        <f>P43*Q43/1000000</f>
        <v>1.266084</v>
      </c>
      <c r="S43" s="123">
        <f>IFERROR(VLOOKUP(L43,'Carton Sizes Chart'!$A$4:$E$15,5,FALSE),0)</f>
        <v>1.22</v>
      </c>
      <c r="T43" s="124">
        <f>S43</f>
        <v>1.22</v>
      </c>
      <c r="U43" s="124">
        <f>I43*T43</f>
        <v>142.74</v>
      </c>
      <c r="V43" s="123">
        <f>((T43*I43)-W43)*4%</f>
        <v>5.4241200000000003</v>
      </c>
      <c r="W43" s="124">
        <f>S43*I43*5%</f>
        <v>7.1370000000000005</v>
      </c>
      <c r="X43" s="113"/>
    </row>
    <row r="44" spans="1:24">
      <c r="A44" s="118">
        <v>46259</v>
      </c>
      <c r="B44" s="118">
        <v>46260</v>
      </c>
      <c r="C44" s="119"/>
      <c r="D44" s="118" t="s">
        <v>159</v>
      </c>
      <c r="E44" s="118" t="s">
        <v>159</v>
      </c>
      <c r="F44" s="118" t="s">
        <v>126</v>
      </c>
      <c r="G44" s="119" t="s">
        <v>174</v>
      </c>
      <c r="H44" s="119">
        <v>7142334</v>
      </c>
      <c r="I44" s="119">
        <v>677</v>
      </c>
      <c r="J44" s="119" t="s">
        <v>95</v>
      </c>
      <c r="K44" s="119" t="s">
        <v>110</v>
      </c>
      <c r="L44" s="119" t="s">
        <v>45</v>
      </c>
      <c r="M44" s="51" cm="1">
        <f t="array" ref="M44">IF(L44="",0,_xlfn.SWITCH(L44,"A1",495,"A2",495,"A3",495,"Custom",0,595))</f>
        <v>595</v>
      </c>
      <c r="N44" s="51" cm="1">
        <f t="array" ref="N44">IF(L44="",0,_xlfn.SWITCH(L44,"C1",325,"C2",325,"C3",325,"D1",380,"D2",380,"D3",380,"Custom",0,285))</f>
        <v>325</v>
      </c>
      <c r="O44" s="51">
        <f>IF(L44="",0,_xlfn.SWITCH(L44,"A1",375,"B1",375,"C1",375,"D1",375,"A2",310,"B2",310,"C2",310,"D2",310,"Custom",0,260))</f>
        <v>375</v>
      </c>
      <c r="P44" s="51">
        <f>IFERROR(IF(OR(M44=0,N44=0),0,(M44+N44)*2+11),0)</f>
        <v>1851</v>
      </c>
      <c r="Q44" s="51">
        <f>IFERROR(IF(OR(N44=0,O44=0),0,(N44+O44)-16),0)</f>
        <v>684</v>
      </c>
      <c r="R44" s="53">
        <f>P44*Q44/1000000</f>
        <v>1.266084</v>
      </c>
      <c r="S44" s="123">
        <f>IFERROR(VLOOKUP(L44,'Carton Sizes Chart'!$A$4:$E$15,5,FALSE),0)</f>
        <v>1.22</v>
      </c>
      <c r="T44" s="124">
        <f>S44</f>
        <v>1.22</v>
      </c>
      <c r="U44" s="124">
        <f>I44*T44</f>
        <v>825.93999999999994</v>
      </c>
      <c r="V44" s="123">
        <f>((T44*I44)-W44)*4%</f>
        <v>31.385719999999996</v>
      </c>
      <c r="W44" s="124">
        <f>S44*I44*5%</f>
        <v>41.296999999999997</v>
      </c>
      <c r="X44" s="113"/>
    </row>
    <row r="45" spans="1:24">
      <c r="A45" s="118">
        <v>46259</v>
      </c>
      <c r="B45" s="118">
        <v>46261</v>
      </c>
      <c r="C45" s="119"/>
      <c r="D45" s="118" t="s">
        <v>151</v>
      </c>
      <c r="E45" s="118" t="s">
        <v>151</v>
      </c>
      <c r="F45" s="118" t="s">
        <v>126</v>
      </c>
      <c r="G45" s="119" t="s">
        <v>153</v>
      </c>
      <c r="H45" s="121">
        <v>7142473</v>
      </c>
      <c r="I45" s="121">
        <v>219</v>
      </c>
      <c r="J45" s="119" t="s">
        <v>95</v>
      </c>
      <c r="K45" s="119" t="s">
        <v>110</v>
      </c>
      <c r="L45" s="119" t="s">
        <v>42</v>
      </c>
      <c r="M45" s="51" cm="1">
        <f t="array" ref="M45">IF(L45="",0,_xlfn.SWITCH(L45,"A1",495,"A2",495,"A3",495,"Custom",0,595))</f>
        <v>595</v>
      </c>
      <c r="N45" s="51" cm="1">
        <f t="array" ref="N45">IF(L45="",0,_xlfn.SWITCH(L45,"C1",325,"C2",325,"C3",325,"D1",380,"D2",380,"D3",380,"Custom",0,285))</f>
        <v>285</v>
      </c>
      <c r="O45" s="51">
        <f>IF(L45="",0,_xlfn.SWITCH(L45,"A1",375,"B1",375,"C1",375,"D1",375,"A2",310,"B2",310,"C2",310,"D2",310,"Custom",0,260))</f>
        <v>375</v>
      </c>
      <c r="P45" s="51">
        <f>IFERROR(IF(OR(M45=0,N45=0),0,(M45+N45)*2+11),0)</f>
        <v>1771</v>
      </c>
      <c r="Q45" s="51">
        <f>IFERROR(IF(OR(N45=0,O45=0),0,(N45+O45)-16),0)</f>
        <v>644</v>
      </c>
      <c r="R45" s="53">
        <f>P45*Q45/1000000</f>
        <v>1.1405240000000001</v>
      </c>
      <c r="S45" s="123">
        <f>IFERROR(VLOOKUP(L45,'Carton Sizes Chart'!$A$4:$E$15,5,FALSE),0)</f>
        <v>1.1000000000000001</v>
      </c>
      <c r="T45" s="124">
        <f>S45</f>
        <v>1.1000000000000001</v>
      </c>
      <c r="U45" s="124">
        <f>I45*T45</f>
        <v>240.9</v>
      </c>
      <c r="V45" s="123">
        <f>((T45*I45)-W45)*4%</f>
        <v>9.1542000000000012</v>
      </c>
      <c r="W45" s="124">
        <f>S45*I45*5%</f>
        <v>12.045000000000002</v>
      </c>
      <c r="X45" s="113"/>
    </row>
    <row r="46" spans="1:24">
      <c r="A46" s="118">
        <v>46258</v>
      </c>
      <c r="B46" s="118">
        <v>46263</v>
      </c>
      <c r="C46" s="119"/>
      <c r="D46" s="118" t="s">
        <v>127</v>
      </c>
      <c r="E46" s="118" t="s">
        <v>128</v>
      </c>
      <c r="F46" s="118" t="s">
        <v>126</v>
      </c>
      <c r="G46" s="119" t="s">
        <v>139</v>
      </c>
      <c r="H46" s="119">
        <v>7142479</v>
      </c>
      <c r="I46" s="119">
        <v>46</v>
      </c>
      <c r="J46" s="119" t="s">
        <v>95</v>
      </c>
      <c r="K46" s="119" t="s">
        <v>110</v>
      </c>
      <c r="L46" s="119" t="s">
        <v>48</v>
      </c>
      <c r="M46" s="51" cm="1">
        <f t="array" ref="M46">IF(L46="",0,_xlfn.SWITCH(L46,"A1",495,"A2",495,"A3",495,"Custom",0,595))</f>
        <v>595</v>
      </c>
      <c r="N46" s="51" cm="1">
        <f t="array" ref="N46">IF(L46="",0,_xlfn.SWITCH(L46,"C1",325,"C2",325,"C3",325,"D1",380,"D2",380,"D3",380,"Custom",0,285))</f>
        <v>380</v>
      </c>
      <c r="O46" s="51">
        <f>IF(L46="",0,_xlfn.SWITCH(L46,"A1",375,"B1",375,"C1",375,"D1",375,"A2",310,"B2",310,"C2",310,"D2",310,"Custom",0,260))</f>
        <v>375</v>
      </c>
      <c r="P46" s="51">
        <f>IFERROR(IF(OR(M46=0,N46=0),0,(M46+N46)*2+11),0)</f>
        <v>1961</v>
      </c>
      <c r="Q46" s="51">
        <f>IFERROR(IF(OR(N46=0,O46=0),0,(N46+O46)-16),0)</f>
        <v>739</v>
      </c>
      <c r="R46" s="53">
        <f>P46*Q46/1000000</f>
        <v>1.449179</v>
      </c>
      <c r="S46" s="123">
        <f>IFERROR(VLOOKUP(L46,'Carton Sizes Chart'!$A$4:$E$15,5,FALSE),0)</f>
        <v>1.39</v>
      </c>
      <c r="T46" s="124">
        <f>S46</f>
        <v>1.39</v>
      </c>
      <c r="U46" s="124">
        <f>I46*T46</f>
        <v>63.94</v>
      </c>
      <c r="V46" s="123">
        <f>((T46*I46)-W46)*4%</f>
        <v>2.4297199999999997</v>
      </c>
      <c r="W46" s="124">
        <f>S46*I46*5%</f>
        <v>3.1970000000000001</v>
      </c>
      <c r="X46" s="113"/>
    </row>
    <row r="47" spans="1:24">
      <c r="A47" s="118">
        <v>46259</v>
      </c>
      <c r="B47" s="118">
        <v>46260</v>
      </c>
      <c r="C47" s="119"/>
      <c r="D47" s="118" t="s">
        <v>159</v>
      </c>
      <c r="E47" s="118" t="s">
        <v>159</v>
      </c>
      <c r="F47" s="118" t="s">
        <v>126</v>
      </c>
      <c r="G47" s="119" t="s">
        <v>175</v>
      </c>
      <c r="H47" s="119">
        <v>7142621</v>
      </c>
      <c r="I47" s="119">
        <v>123</v>
      </c>
      <c r="J47" s="119" t="s">
        <v>95</v>
      </c>
      <c r="K47" s="119" t="s">
        <v>110</v>
      </c>
      <c r="L47" s="119" t="s">
        <v>45</v>
      </c>
      <c r="M47" s="51" cm="1">
        <f t="array" ref="M47">IF(L47="",0,_xlfn.SWITCH(L47,"A1",495,"A2",495,"A3",495,"Custom",0,595))</f>
        <v>595</v>
      </c>
      <c r="N47" s="51" cm="1">
        <f t="array" ref="N47">IF(L47="",0,_xlfn.SWITCH(L47,"C1",325,"C2",325,"C3",325,"D1",380,"D2",380,"D3",380,"Custom",0,285))</f>
        <v>325</v>
      </c>
      <c r="O47" s="51">
        <f>IF(L47="",0,_xlfn.SWITCH(L47,"A1",375,"B1",375,"C1",375,"D1",375,"A2",310,"B2",310,"C2",310,"D2",310,"Custom",0,260))</f>
        <v>375</v>
      </c>
      <c r="P47" s="51">
        <f>IFERROR(IF(OR(M47=0,N47=0),0,(M47+N47)*2+11),0)</f>
        <v>1851</v>
      </c>
      <c r="Q47" s="51">
        <f>IFERROR(IF(OR(N47=0,O47=0),0,(N47+O47)-16),0)</f>
        <v>684</v>
      </c>
      <c r="R47" s="53">
        <f>P47*Q47/1000000</f>
        <v>1.266084</v>
      </c>
      <c r="S47" s="123">
        <f>IFERROR(VLOOKUP(L47,'Carton Sizes Chart'!$A$4:$E$15,5,FALSE),0)</f>
        <v>1.22</v>
      </c>
      <c r="T47" s="124">
        <f>S47</f>
        <v>1.22</v>
      </c>
      <c r="U47" s="124">
        <f>I47*T47</f>
        <v>150.06</v>
      </c>
      <c r="V47" s="123">
        <f>((T47*I47)-W47)*4%</f>
        <v>5.7022800000000009</v>
      </c>
      <c r="W47" s="124">
        <f>S47*I47*5%</f>
        <v>7.5030000000000001</v>
      </c>
      <c r="X47" s="113"/>
    </row>
    <row r="48" spans="1:24">
      <c r="A48" s="118">
        <v>46259</v>
      </c>
      <c r="B48" s="118">
        <v>46260</v>
      </c>
      <c r="C48" s="119"/>
      <c r="D48" s="118" t="s">
        <v>159</v>
      </c>
      <c r="E48" s="118" t="s">
        <v>159</v>
      </c>
      <c r="F48" s="118" t="s">
        <v>126</v>
      </c>
      <c r="G48" s="119" t="s">
        <v>176</v>
      </c>
      <c r="H48" s="121">
        <v>7142904</v>
      </c>
      <c r="I48" s="121">
        <v>430</v>
      </c>
      <c r="J48" s="119" t="s">
        <v>95</v>
      </c>
      <c r="K48" s="119" t="s">
        <v>110</v>
      </c>
      <c r="L48" s="119" t="s">
        <v>48</v>
      </c>
      <c r="M48" s="51" cm="1">
        <f t="array" ref="M48">IF(L48="",0,_xlfn.SWITCH(L48,"A1",495,"A2",495,"A3",495,"Custom",0,595))</f>
        <v>595</v>
      </c>
      <c r="N48" s="51" cm="1">
        <f t="array" ref="N48">IF(L48="",0,_xlfn.SWITCH(L48,"C1",325,"C2",325,"C3",325,"D1",380,"D2",380,"D3",380,"Custom",0,285))</f>
        <v>380</v>
      </c>
      <c r="O48" s="51">
        <f>IF(L48="",0,_xlfn.SWITCH(L48,"A1",375,"B1",375,"C1",375,"D1",375,"A2",310,"B2",310,"C2",310,"D2",310,"Custom",0,260))</f>
        <v>375</v>
      </c>
      <c r="P48" s="51">
        <f>IFERROR(IF(OR(M48=0,N48=0),0,(M48+N48)*2+11),0)</f>
        <v>1961</v>
      </c>
      <c r="Q48" s="51">
        <f>IFERROR(IF(OR(N48=0,O48=0),0,(N48+O48)-16),0)</f>
        <v>739</v>
      </c>
      <c r="R48" s="53">
        <f>P48*Q48/1000000</f>
        <v>1.449179</v>
      </c>
      <c r="S48" s="123">
        <f>IFERROR(VLOOKUP(L48,'Carton Sizes Chart'!$A$4:$E$15,5,FALSE),0)</f>
        <v>1.39</v>
      </c>
      <c r="T48" s="124">
        <f>S48</f>
        <v>1.39</v>
      </c>
      <c r="U48" s="124">
        <f>I48*T48</f>
        <v>597.69999999999993</v>
      </c>
      <c r="V48" s="123">
        <f>((T48*I48)-W48)*4%</f>
        <v>22.712599999999998</v>
      </c>
      <c r="W48" s="124">
        <f>S48*I48*5%</f>
        <v>29.884999999999998</v>
      </c>
      <c r="X48" s="113"/>
    </row>
    <row r="49" spans="1:24">
      <c r="A49" s="118">
        <v>46263</v>
      </c>
      <c r="B49" s="118">
        <v>46264</v>
      </c>
      <c r="C49" s="119"/>
      <c r="D49" s="118" t="s">
        <v>159</v>
      </c>
      <c r="E49" s="118" t="s">
        <v>159</v>
      </c>
      <c r="F49" s="118" t="s">
        <v>126</v>
      </c>
      <c r="G49" s="119" t="s">
        <v>178</v>
      </c>
      <c r="H49" s="119">
        <v>7143859</v>
      </c>
      <c r="I49" s="119">
        <v>1350</v>
      </c>
      <c r="J49" s="119" t="s">
        <v>95</v>
      </c>
      <c r="K49" s="119" t="s">
        <v>110</v>
      </c>
      <c r="L49" s="119" t="s">
        <v>50</v>
      </c>
      <c r="M49" s="51" cm="1">
        <f t="array" ref="M49">IF(L49="",0,_xlfn.SWITCH(L49,"A1",495,"A2",495,"A3",495,"Custom",0,595))</f>
        <v>595</v>
      </c>
      <c r="N49" s="51" cm="1">
        <f t="array" ref="N49">IF(L49="",0,_xlfn.SWITCH(L49,"C1",325,"C2",325,"C3",325,"D1",380,"D2",380,"D3",380,"Custom",0,285))</f>
        <v>380</v>
      </c>
      <c r="O49" s="51">
        <f>IF(L49="",0,_xlfn.SWITCH(L49,"A1",375,"B1",375,"C1",375,"D1",375,"A2",310,"B2",310,"C2",310,"D2",310,"Custom",0,260))</f>
        <v>260</v>
      </c>
      <c r="P49" s="51">
        <f>IFERROR(IF(OR(M49=0,N49=0),0,(M49+N49)*2+11),0)</f>
        <v>1961</v>
      </c>
      <c r="Q49" s="51">
        <f>IFERROR(IF(OR(N49=0,O49=0),0,(N49+O49)-16),0)</f>
        <v>624</v>
      </c>
      <c r="R49" s="53">
        <f>P49*Q49/1000000</f>
        <v>1.2236640000000001</v>
      </c>
      <c r="S49" s="123">
        <f>IFERROR(VLOOKUP(L49,'Carton Sizes Chart'!$A$4:$E$15,5,FALSE),0)</f>
        <v>1.18</v>
      </c>
      <c r="T49" s="124">
        <f>S49</f>
        <v>1.18</v>
      </c>
      <c r="U49" s="124">
        <f>I49*T49</f>
        <v>1593</v>
      </c>
      <c r="V49" s="123">
        <f>((T49*I49)-W49)*4%</f>
        <v>60.533999999999999</v>
      </c>
      <c r="W49" s="124">
        <f>S49*I49*5%</f>
        <v>79.650000000000006</v>
      </c>
      <c r="X49" s="113"/>
    </row>
    <row r="50" spans="1:24">
      <c r="A50" s="118">
        <v>46263</v>
      </c>
      <c r="B50" s="118">
        <v>46263</v>
      </c>
      <c r="C50" s="119"/>
      <c r="D50" s="118" t="s">
        <v>159</v>
      </c>
      <c r="E50" s="118" t="s">
        <v>159</v>
      </c>
      <c r="F50" s="118" t="s">
        <v>126</v>
      </c>
      <c r="G50" s="119" t="s">
        <v>177</v>
      </c>
      <c r="H50" s="119">
        <v>7144252</v>
      </c>
      <c r="I50" s="119">
        <v>1080</v>
      </c>
      <c r="J50" s="119" t="s">
        <v>95</v>
      </c>
      <c r="K50" s="119" t="s">
        <v>110</v>
      </c>
      <c r="L50" s="119" t="s">
        <v>48</v>
      </c>
      <c r="M50" s="51" cm="1">
        <f t="array" ref="M50">IF(L50="",0,_xlfn.SWITCH(L50,"A1",495,"A2",495,"A3",495,"Custom",0,595))</f>
        <v>595</v>
      </c>
      <c r="N50" s="51" cm="1">
        <f t="array" ref="N50">IF(L50="",0,_xlfn.SWITCH(L50,"C1",325,"C2",325,"C3",325,"D1",380,"D2",380,"D3",380,"Custom",0,285))</f>
        <v>380</v>
      </c>
      <c r="O50" s="51">
        <f>IF(L50="",0,_xlfn.SWITCH(L50,"A1",375,"B1",375,"C1",375,"D1",375,"A2",310,"B2",310,"C2",310,"D2",310,"Custom",0,260))</f>
        <v>375</v>
      </c>
      <c r="P50" s="51">
        <f>IFERROR(IF(OR(M50=0,N50=0),0,(M50+N50)*2+11),0)</f>
        <v>1961</v>
      </c>
      <c r="Q50" s="51">
        <f>IFERROR(IF(OR(N50=0,O50=0),0,(N50+O50)-16),0)</f>
        <v>739</v>
      </c>
      <c r="R50" s="53">
        <f>P50*Q50/1000000</f>
        <v>1.449179</v>
      </c>
      <c r="S50" s="123">
        <f>IFERROR(VLOOKUP(L50,'Carton Sizes Chart'!$A$4:$E$15,5,FALSE),0)</f>
        <v>1.39</v>
      </c>
      <c r="T50" s="124">
        <f>S50</f>
        <v>1.39</v>
      </c>
      <c r="U50" s="124">
        <f>I50*T50</f>
        <v>1501.1999999999998</v>
      </c>
      <c r="V50" s="123">
        <f>((T50*I50)-W50)*4%</f>
        <v>57.045599999999993</v>
      </c>
      <c r="W50" s="124">
        <f>S50*I50*5%</f>
        <v>75.059999999999988</v>
      </c>
      <c r="X50" s="113"/>
    </row>
    <row r="51" spans="1:24">
      <c r="A51" s="118">
        <v>46263</v>
      </c>
      <c r="B51" s="118">
        <v>46264</v>
      </c>
      <c r="C51" s="119"/>
      <c r="D51" s="118" t="s">
        <v>127</v>
      </c>
      <c r="E51" s="118" t="s">
        <v>128</v>
      </c>
      <c r="F51" s="118" t="s">
        <v>126</v>
      </c>
      <c r="G51" s="119" t="s">
        <v>146</v>
      </c>
      <c r="H51" s="119">
        <v>7144258</v>
      </c>
      <c r="I51" s="119">
        <v>25</v>
      </c>
      <c r="J51" s="119" t="s">
        <v>95</v>
      </c>
      <c r="K51" s="119" t="s">
        <v>110</v>
      </c>
      <c r="L51" s="119" t="s">
        <v>49</v>
      </c>
      <c r="M51" s="51" cm="1">
        <f t="array" ref="M51">IF(L51="",0,_xlfn.SWITCH(L51,"A1",495,"A2",495,"A3",495,"Custom",0,595))</f>
        <v>595</v>
      </c>
      <c r="N51" s="51" cm="1">
        <f t="array" ref="N51">IF(L51="",0,_xlfn.SWITCH(L51,"C1",325,"C2",325,"C3",325,"D1",380,"D2",380,"D3",380,"Custom",0,285))</f>
        <v>380</v>
      </c>
      <c r="O51" s="51">
        <f>IF(L51="",0,_xlfn.SWITCH(L51,"A1",375,"B1",375,"C1",375,"D1",375,"A2",310,"B2",310,"C2",310,"D2",310,"Custom",0,260))</f>
        <v>310</v>
      </c>
      <c r="P51" s="51">
        <f>IFERROR(IF(OR(M51=0,N51=0),0,(M51+N51)*2+11),0)</f>
        <v>1961</v>
      </c>
      <c r="Q51" s="51">
        <f>IFERROR(IF(OR(N51=0,O51=0),0,(N51+O51)-16),0)</f>
        <v>674</v>
      </c>
      <c r="R51" s="53">
        <f>P51*Q51/1000000</f>
        <v>1.3217140000000001</v>
      </c>
      <c r="S51" s="123">
        <f>IFERROR(VLOOKUP(L51,'Carton Sizes Chart'!$A$4:$E$15,5,FALSE),0)</f>
        <v>1.27</v>
      </c>
      <c r="T51" s="124">
        <f>S51</f>
        <v>1.27</v>
      </c>
      <c r="U51" s="124">
        <f>I51*T51</f>
        <v>31.75</v>
      </c>
      <c r="V51" s="123">
        <f>((T51*I51)-W51)*4%</f>
        <v>1.2065000000000001</v>
      </c>
      <c r="W51" s="124">
        <f>S51*I51*5%</f>
        <v>1.5875000000000001</v>
      </c>
      <c r="X51" s="113"/>
    </row>
    <row r="52" spans="1:24">
      <c r="A52" s="118">
        <v>46263</v>
      </c>
      <c r="B52" s="118">
        <v>46264</v>
      </c>
      <c r="C52" s="119"/>
      <c r="D52" s="118" t="s">
        <v>200</v>
      </c>
      <c r="E52" s="118" t="s">
        <v>218</v>
      </c>
      <c r="F52" s="118" t="s">
        <v>126</v>
      </c>
      <c r="G52" s="119" t="s">
        <v>221</v>
      </c>
      <c r="H52" s="119">
        <v>7144261</v>
      </c>
      <c r="I52" s="121">
        <v>1000</v>
      </c>
      <c r="J52" s="119" t="s">
        <v>95</v>
      </c>
      <c r="K52" s="119" t="s">
        <v>110</v>
      </c>
      <c r="L52" s="119" t="s">
        <v>48</v>
      </c>
      <c r="M52" s="51" cm="1">
        <f t="array" ref="M52">IF(L52="",0,_xlfn.SWITCH(L52,"A1",495,"A2",495,"A3",495,"Custom",0,595))</f>
        <v>595</v>
      </c>
      <c r="N52" s="51" cm="1">
        <f t="array" ref="N52">IF(L52="",0,_xlfn.SWITCH(L52,"C1",325,"C2",325,"C3",325,"D1",380,"D2",380,"D3",380,"Custom",0,285))</f>
        <v>380</v>
      </c>
      <c r="O52" s="51">
        <f>IF(L52="",0,_xlfn.SWITCH(L52,"A1",375,"B1",375,"C1",375,"D1",375,"A2",310,"B2",310,"C2",310,"D2",310,"Custom",0,260))</f>
        <v>375</v>
      </c>
      <c r="P52" s="51">
        <f>IFERROR(IF(OR(M52=0,N52=0),0,(M52+N52)*2+11),0)</f>
        <v>1961</v>
      </c>
      <c r="Q52" s="51">
        <f>IFERROR(IF(OR(N52=0,O52=0),0,(N52+O52)-16),0)</f>
        <v>739</v>
      </c>
      <c r="R52" s="53">
        <f>P52*Q52/1000000</f>
        <v>1.449179</v>
      </c>
      <c r="S52" s="123">
        <f>IFERROR(VLOOKUP(L52,'Carton Sizes Chart'!$A$4:$E$15,5,FALSE),0)</f>
        <v>1.39</v>
      </c>
      <c r="T52" s="124">
        <f>S52</f>
        <v>1.39</v>
      </c>
      <c r="U52" s="124">
        <f>I52*T52</f>
        <v>1390</v>
      </c>
      <c r="V52" s="123">
        <f>((T52*I52)-W52)*4%</f>
        <v>52.82</v>
      </c>
      <c r="W52" s="124">
        <f>S52*I52*5%</f>
        <v>69.5</v>
      </c>
      <c r="X52" s="113"/>
    </row>
    <row r="53" spans="1:24">
      <c r="A53" s="118">
        <v>46263</v>
      </c>
      <c r="B53" s="118">
        <v>46265</v>
      </c>
      <c r="C53" s="119"/>
      <c r="D53" s="118" t="s">
        <v>200</v>
      </c>
      <c r="E53" s="118" t="s">
        <v>218</v>
      </c>
      <c r="F53" s="118" t="s">
        <v>126</v>
      </c>
      <c r="G53" s="119" t="s">
        <v>221</v>
      </c>
      <c r="H53" s="119">
        <v>7144261</v>
      </c>
      <c r="I53" s="121">
        <v>700</v>
      </c>
      <c r="J53" s="119" t="s">
        <v>95</v>
      </c>
      <c r="K53" s="119" t="s">
        <v>110</v>
      </c>
      <c r="L53" s="119" t="s">
        <v>44</v>
      </c>
      <c r="M53" s="51" cm="1">
        <f t="array" ref="M53">IF(L53="",0,_xlfn.SWITCH(L53,"A1",495,"A2",495,"A3",495,"Custom",0,595))</f>
        <v>595</v>
      </c>
      <c r="N53" s="51" cm="1">
        <f t="array" ref="N53">IF(L53="",0,_xlfn.SWITCH(L53,"C1",325,"C2",325,"C3",325,"D1",380,"D2",380,"D3",380,"Custom",0,285))</f>
        <v>285</v>
      </c>
      <c r="O53" s="51">
        <f>IF(L53="",0,_xlfn.SWITCH(L53,"A1",375,"B1",375,"C1",375,"D1",375,"A2",310,"B2",310,"C2",310,"D2",310,"Custom",0,260))</f>
        <v>260</v>
      </c>
      <c r="P53" s="51">
        <f>IFERROR(IF(OR(M53=0,N53=0),0,(M53+N53)*2+11),0)</f>
        <v>1771</v>
      </c>
      <c r="Q53" s="51">
        <f>IFERROR(IF(OR(N53=0,O53=0),0,(N53+O53)-16),0)</f>
        <v>529</v>
      </c>
      <c r="R53" s="53">
        <f>P53*Q53/1000000</f>
        <v>0.936859</v>
      </c>
      <c r="S53" s="123">
        <f>IFERROR(VLOOKUP(L53,'Carton Sizes Chart'!$A$4:$E$15,5,FALSE),0)</f>
        <v>0.9</v>
      </c>
      <c r="T53" s="124">
        <f>S53</f>
        <v>0.9</v>
      </c>
      <c r="U53" s="124">
        <f>I53*T53</f>
        <v>630</v>
      </c>
      <c r="V53" s="123">
        <f>((T53*I53)-W53)*4%</f>
        <v>23.94</v>
      </c>
      <c r="W53" s="124">
        <f>S53*I53*5%</f>
        <v>31.5</v>
      </c>
      <c r="X53" s="113"/>
    </row>
    <row r="54" spans="1:24">
      <c r="A54" s="118">
        <v>46263</v>
      </c>
      <c r="B54" s="118">
        <v>46265</v>
      </c>
      <c r="C54" s="119"/>
      <c r="D54" s="118" t="s">
        <v>200</v>
      </c>
      <c r="E54" s="118" t="s">
        <v>218</v>
      </c>
      <c r="F54" s="118" t="s">
        <v>126</v>
      </c>
      <c r="G54" s="119" t="s">
        <v>221</v>
      </c>
      <c r="H54" s="119">
        <v>7144261</v>
      </c>
      <c r="I54" s="121">
        <v>1000</v>
      </c>
      <c r="J54" s="119" t="s">
        <v>95</v>
      </c>
      <c r="K54" s="119" t="s">
        <v>110</v>
      </c>
      <c r="L54" s="119" t="s">
        <v>43</v>
      </c>
      <c r="M54" s="51" cm="1">
        <f t="array" ref="M54">IF(L54="",0,_xlfn.SWITCH(L54,"A1",495,"A2",495,"A3",495,"Custom",0,595))</f>
        <v>595</v>
      </c>
      <c r="N54" s="51" cm="1">
        <f t="array" ref="N54">IF(L54="",0,_xlfn.SWITCH(L54,"C1",325,"C2",325,"C3",325,"D1",380,"D2",380,"D3",380,"Custom",0,285))</f>
        <v>285</v>
      </c>
      <c r="O54" s="51">
        <f>IF(L54="",0,_xlfn.SWITCH(L54,"A1",375,"B1",375,"C1",375,"D1",375,"A2",310,"B2",310,"C2",310,"D2",310,"Custom",0,260))</f>
        <v>310</v>
      </c>
      <c r="P54" s="51">
        <f>IFERROR(IF(OR(M54=0,N54=0),0,(M54+N54)*2+11),0)</f>
        <v>1771</v>
      </c>
      <c r="Q54" s="51">
        <f>IFERROR(IF(OR(N54=0,O54=0),0,(N54+O54)-16),0)</f>
        <v>579</v>
      </c>
      <c r="R54" s="53">
        <f>P54*Q54/1000000</f>
        <v>1.025409</v>
      </c>
      <c r="S54" s="123">
        <f>IFERROR(VLOOKUP(L54,'Carton Sizes Chart'!$A$4:$E$15,5,FALSE),0)</f>
        <v>0.99</v>
      </c>
      <c r="T54" s="124">
        <f>S54</f>
        <v>0.99</v>
      </c>
      <c r="U54" s="124">
        <f>I54*T54</f>
        <v>990</v>
      </c>
      <c r="V54" s="123">
        <f>((T54*I54)-W54)*4%</f>
        <v>37.619999999999997</v>
      </c>
      <c r="W54" s="124">
        <f>S54*I54*5%</f>
        <v>49.5</v>
      </c>
      <c r="X54" s="113"/>
    </row>
    <row r="55" spans="1:24">
      <c r="A55" s="118">
        <v>46263</v>
      </c>
      <c r="B55" s="118">
        <v>46264</v>
      </c>
      <c r="C55" s="119"/>
      <c r="D55" s="118" t="s">
        <v>200</v>
      </c>
      <c r="E55" s="118" t="s">
        <v>218</v>
      </c>
      <c r="F55" s="118" t="s">
        <v>126</v>
      </c>
      <c r="G55" s="119" t="s">
        <v>220</v>
      </c>
      <c r="H55" s="121">
        <v>7144267</v>
      </c>
      <c r="I55" s="121">
        <v>500</v>
      </c>
      <c r="J55" s="119" t="s">
        <v>95</v>
      </c>
      <c r="K55" s="119" t="s">
        <v>110</v>
      </c>
      <c r="L55" s="119" t="s">
        <v>37</v>
      </c>
      <c r="M55" s="51" cm="1">
        <f t="array" ref="M55">IF(L55="",0,_xlfn.SWITCH(L55,"A1",495,"A2",495,"A3",495,"Custom",0,595))</f>
        <v>495</v>
      </c>
      <c r="N55" s="51" cm="1">
        <f t="array" ref="N55">IF(L55="",0,_xlfn.SWITCH(L55,"C1",325,"C2",325,"C3",325,"D1",380,"D2",380,"D3",380,"Custom",0,285))</f>
        <v>285</v>
      </c>
      <c r="O55" s="51">
        <f>IF(L55="",0,_xlfn.SWITCH(L55,"A1",375,"B1",375,"C1",375,"D1",375,"A2",310,"B2",310,"C2",310,"D2",310,"Custom",0,260))</f>
        <v>375</v>
      </c>
      <c r="P55" s="51">
        <f>IFERROR(IF(OR(M55=0,N55=0),0,(M55+N55)*2+11),0)</f>
        <v>1571</v>
      </c>
      <c r="Q55" s="51">
        <f>IFERROR(IF(OR(N55=0,O55=0),0,(N55+O55)-16),0)</f>
        <v>644</v>
      </c>
      <c r="R55" s="53">
        <f>P55*Q55/1000000</f>
        <v>1.0117240000000001</v>
      </c>
      <c r="S55" s="123">
        <f>IFERROR(VLOOKUP(L55,'Carton Sizes Chart'!$A$4:$E$15,5,FALSE),0)</f>
        <v>0.97</v>
      </c>
      <c r="T55" s="124">
        <f>S55</f>
        <v>0.97</v>
      </c>
      <c r="U55" s="124">
        <f>I55*T55</f>
        <v>485</v>
      </c>
      <c r="V55" s="123">
        <f>((T55*I55)-W55)*4%</f>
        <v>18.43</v>
      </c>
      <c r="W55" s="124">
        <f>S55*I55*5%</f>
        <v>24.25</v>
      </c>
      <c r="X55" s="113"/>
    </row>
    <row r="56" spans="1:24">
      <c r="A56" s="118">
        <v>46263</v>
      </c>
      <c r="B56" s="118">
        <v>46264</v>
      </c>
      <c r="C56" s="119"/>
      <c r="D56" s="118" t="s">
        <v>159</v>
      </c>
      <c r="E56" s="118" t="s">
        <v>159</v>
      </c>
      <c r="F56" s="118" t="s">
        <v>126</v>
      </c>
      <c r="G56" s="119" t="s">
        <v>179</v>
      </c>
      <c r="H56" s="119">
        <v>7144647</v>
      </c>
      <c r="I56" s="119">
        <v>136</v>
      </c>
      <c r="J56" s="119" t="s">
        <v>95</v>
      </c>
      <c r="K56" s="119" t="s">
        <v>110</v>
      </c>
      <c r="L56" s="119" t="s">
        <v>50</v>
      </c>
      <c r="M56" s="51" cm="1">
        <f t="array" ref="M56">IF(L56="",0,_xlfn.SWITCH(L56,"A1",495,"A2",495,"A3",495,"Custom",0,595))</f>
        <v>595</v>
      </c>
      <c r="N56" s="51" cm="1">
        <f t="array" ref="N56">IF(L56="",0,_xlfn.SWITCH(L56,"C1",325,"C2",325,"C3",325,"D1",380,"D2",380,"D3",380,"Custom",0,285))</f>
        <v>380</v>
      </c>
      <c r="O56" s="51">
        <f>IF(L56="",0,_xlfn.SWITCH(L56,"A1",375,"B1",375,"C1",375,"D1",375,"A2",310,"B2",310,"C2",310,"D2",310,"Custom",0,260))</f>
        <v>260</v>
      </c>
      <c r="P56" s="51">
        <f>IFERROR(IF(OR(M56=0,N56=0),0,(M56+N56)*2+11),0)</f>
        <v>1961</v>
      </c>
      <c r="Q56" s="51">
        <f>IFERROR(IF(OR(N56=0,O56=0),0,(N56+O56)-16),0)</f>
        <v>624</v>
      </c>
      <c r="R56" s="53">
        <f>P56*Q56/1000000</f>
        <v>1.2236640000000001</v>
      </c>
      <c r="S56" s="123">
        <f>IFERROR(VLOOKUP(L56,'Carton Sizes Chart'!$A$4:$E$15,5,FALSE),0)</f>
        <v>1.18</v>
      </c>
      <c r="T56" s="124">
        <f>S56</f>
        <v>1.18</v>
      </c>
      <c r="U56" s="124">
        <f>I56*T56</f>
        <v>160.47999999999999</v>
      </c>
      <c r="V56" s="123">
        <f>((T56*I56)-W56)*4%</f>
        <v>6.0982399999999997</v>
      </c>
      <c r="W56" s="124">
        <f>S56*I56*5%</f>
        <v>8.0239999999999991</v>
      </c>
      <c r="X56" s="113"/>
    </row>
    <row r="57" spans="1:24">
      <c r="A57" s="118">
        <v>46264</v>
      </c>
      <c r="B57" s="118">
        <v>46265</v>
      </c>
      <c r="C57" s="119"/>
      <c r="D57" s="118" t="s">
        <v>159</v>
      </c>
      <c r="E57" s="118" t="s">
        <v>159</v>
      </c>
      <c r="F57" s="118" t="s">
        <v>126</v>
      </c>
      <c r="G57" s="119" t="s">
        <v>180</v>
      </c>
      <c r="H57" s="119">
        <v>7144726</v>
      </c>
      <c r="I57" s="121">
        <v>1219</v>
      </c>
      <c r="J57" s="119" t="s">
        <v>95</v>
      </c>
      <c r="K57" s="119" t="s">
        <v>110</v>
      </c>
      <c r="L57" s="119" t="s">
        <v>42</v>
      </c>
      <c r="M57" s="51" cm="1">
        <f t="array" ref="M57">IF(L57="",0,_xlfn.SWITCH(L57,"A1",495,"A2",495,"A3",495,"Custom",0,595))</f>
        <v>595</v>
      </c>
      <c r="N57" s="51" cm="1">
        <f t="array" ref="N57">IF(L57="",0,_xlfn.SWITCH(L57,"C1",325,"C2",325,"C3",325,"D1",380,"D2",380,"D3",380,"Custom",0,285))</f>
        <v>285</v>
      </c>
      <c r="O57" s="51">
        <f>IF(L57="",0,_xlfn.SWITCH(L57,"A1",375,"B1",375,"C1",375,"D1",375,"A2",310,"B2",310,"C2",310,"D2",310,"Custom",0,260))</f>
        <v>375</v>
      </c>
      <c r="P57" s="51">
        <f>IFERROR(IF(OR(M57=0,N57=0),0,(M57+N57)*2+11),0)</f>
        <v>1771</v>
      </c>
      <c r="Q57" s="51">
        <f>IFERROR(IF(OR(N57=0,O57=0),0,(N57+O57)-16),0)</f>
        <v>644</v>
      </c>
      <c r="R57" s="53">
        <f>P57*Q57/1000000</f>
        <v>1.1405240000000001</v>
      </c>
      <c r="S57" s="123">
        <f>IFERROR(VLOOKUP(L57,'Carton Sizes Chart'!$A$4:$E$15,5,FALSE),0)</f>
        <v>1.1000000000000001</v>
      </c>
      <c r="T57" s="124">
        <f>S57</f>
        <v>1.1000000000000001</v>
      </c>
      <c r="U57" s="124">
        <f>I57*T57</f>
        <v>1340.9</v>
      </c>
      <c r="V57" s="123">
        <f>((T57*I57)-W57)*4%</f>
        <v>50.9542</v>
      </c>
      <c r="W57" s="124">
        <f>S57*I57*5%</f>
        <v>67.045000000000002</v>
      </c>
      <c r="X57" s="113"/>
    </row>
    <row r="58" spans="1:24">
      <c r="A58" s="118">
        <v>46232</v>
      </c>
      <c r="B58" s="118">
        <v>46235</v>
      </c>
      <c r="C58" s="119"/>
      <c r="D58" s="118" t="s">
        <v>188</v>
      </c>
      <c r="E58" s="118" t="s">
        <v>188</v>
      </c>
      <c r="F58" s="118" t="s">
        <v>129</v>
      </c>
      <c r="G58" s="119" t="s">
        <v>189</v>
      </c>
      <c r="H58" s="119">
        <v>7125575</v>
      </c>
      <c r="I58" s="121">
        <v>221</v>
      </c>
      <c r="J58" s="119" t="s">
        <v>95</v>
      </c>
      <c r="K58" s="119" t="s">
        <v>110</v>
      </c>
      <c r="L58" s="119" t="s">
        <v>123</v>
      </c>
      <c r="M58" s="51">
        <v>750</v>
      </c>
      <c r="N58" s="51">
        <v>560</v>
      </c>
      <c r="O58" s="51">
        <v>320</v>
      </c>
      <c r="P58" s="51">
        <f>IFERROR(IF(OR(M58=0,N58=0),0,(M58+N58)*2+11),0)</f>
        <v>2631</v>
      </c>
      <c r="Q58" s="51">
        <f>IFERROR(IF(OR(N58=0,O58=0),0,(N58+O58)-16),0)</f>
        <v>864</v>
      </c>
      <c r="R58" s="53">
        <f>P58*Q58/1000000</f>
        <v>2.2731840000000001</v>
      </c>
      <c r="S58" s="129">
        <f>IF(L58="Custom", R58*'[1]RFQ_Matalan Carton'!$M$40, IFERROR(VLOOKUP(L58,'[1]Carton Sizes Chart'!$A$4:$E$15,5,FALSE),0))</f>
        <v>2.1822566399999999</v>
      </c>
      <c r="T58" s="124">
        <f>S58</f>
        <v>2.1822566399999999</v>
      </c>
      <c r="U58" s="124">
        <f>I58*T58</f>
        <v>482.27871743999998</v>
      </c>
      <c r="V58" s="123">
        <f>((T58*I58)-W58)*4%</f>
        <v>18.326591262719997</v>
      </c>
      <c r="W58" s="124">
        <f>S58*I58*5%</f>
        <v>24.113935871999999</v>
      </c>
      <c r="X58" s="113"/>
    </row>
    <row r="59" spans="1:24">
      <c r="A59" s="118">
        <v>46232</v>
      </c>
      <c r="B59" s="118">
        <v>46235</v>
      </c>
      <c r="C59" s="119"/>
      <c r="D59" s="118" t="s">
        <v>188</v>
      </c>
      <c r="E59" s="118" t="s">
        <v>188</v>
      </c>
      <c r="F59" s="118" t="s">
        <v>129</v>
      </c>
      <c r="G59" s="119" t="s">
        <v>189</v>
      </c>
      <c r="H59" s="119">
        <v>7125575</v>
      </c>
      <c r="I59" s="121">
        <v>329</v>
      </c>
      <c r="J59" s="119" t="s">
        <v>95</v>
      </c>
      <c r="K59" s="119" t="s">
        <v>110</v>
      </c>
      <c r="L59" s="119" t="s">
        <v>123</v>
      </c>
      <c r="M59" s="51">
        <v>770</v>
      </c>
      <c r="N59" s="51">
        <v>610</v>
      </c>
      <c r="O59" s="51">
        <v>320</v>
      </c>
      <c r="P59" s="51">
        <f>IFERROR(IF(OR(M59=0,N59=0),0,(M59+N59)*2+11),0)</f>
        <v>2771</v>
      </c>
      <c r="Q59" s="51">
        <f>IFERROR(IF(OR(N59=0,O59=0),0,(N59+O59)-16),0)</f>
        <v>914</v>
      </c>
      <c r="R59" s="53">
        <f>P59*Q59/1000000</f>
        <v>2.5326939999999998</v>
      </c>
      <c r="S59" s="129">
        <f>IF(L59="Custom", R59*'[1]RFQ_Matalan Carton'!$M$40, IFERROR(VLOOKUP(L59,'[1]Carton Sizes Chart'!$A$4:$E$15,5,FALSE),0))</f>
        <v>2.4313862399999997</v>
      </c>
      <c r="T59" s="124">
        <f>S59</f>
        <v>2.4313862399999997</v>
      </c>
      <c r="U59" s="124">
        <f>I59*T59</f>
        <v>799.92607295999994</v>
      </c>
      <c r="V59" s="123">
        <f>((T59*I59)-W59)*4%</f>
        <v>30.397190772479998</v>
      </c>
      <c r="W59" s="124">
        <f>S59*I59*5%</f>
        <v>39.996303648000001</v>
      </c>
      <c r="X59" s="113"/>
    </row>
    <row r="60" spans="1:24">
      <c r="A60" s="118">
        <v>46232</v>
      </c>
      <c r="B60" s="118">
        <v>46235</v>
      </c>
      <c r="C60" s="119"/>
      <c r="D60" s="118" t="s">
        <v>188</v>
      </c>
      <c r="E60" s="118" t="s">
        <v>188</v>
      </c>
      <c r="F60" s="118" t="s">
        <v>129</v>
      </c>
      <c r="G60" s="119" t="s">
        <v>189</v>
      </c>
      <c r="H60" s="119">
        <v>7125575</v>
      </c>
      <c r="I60" s="121">
        <v>204</v>
      </c>
      <c r="J60" s="119" t="s">
        <v>95</v>
      </c>
      <c r="K60" s="119" t="s">
        <v>110</v>
      </c>
      <c r="L60" s="119" t="s">
        <v>123</v>
      </c>
      <c r="M60" s="51">
        <v>790</v>
      </c>
      <c r="N60" s="51">
        <v>660</v>
      </c>
      <c r="O60" s="51">
        <v>320</v>
      </c>
      <c r="P60" s="51">
        <f>IFERROR(IF(OR(M60=0,N60=0),0,(M60+N60)*2+11),0)</f>
        <v>2911</v>
      </c>
      <c r="Q60" s="51">
        <f>IFERROR(IF(OR(N60=0,O60=0),0,(N60+O60)-16),0)</f>
        <v>964</v>
      </c>
      <c r="R60" s="53">
        <f>P60*Q60/1000000</f>
        <v>2.8062040000000001</v>
      </c>
      <c r="S60" s="129">
        <f>IF(L60="Custom", R60*'[1]RFQ_Matalan Carton'!$M$40, IFERROR(VLOOKUP(L60,'[1]Carton Sizes Chart'!$A$4:$E$15,5,FALSE),0))</f>
        <v>2.6939558400000001</v>
      </c>
      <c r="T60" s="124">
        <f>S60</f>
        <v>2.6939558400000001</v>
      </c>
      <c r="U60" s="124">
        <f>I60*T60</f>
        <v>549.56699135999997</v>
      </c>
      <c r="V60" s="123">
        <f>((T60*I60)-W60)*4%</f>
        <v>20.88354567168</v>
      </c>
      <c r="W60" s="124">
        <f>S60*I60*5%</f>
        <v>27.478349567999999</v>
      </c>
      <c r="X60" s="113"/>
    </row>
    <row r="61" spans="1:24">
      <c r="A61" s="118">
        <v>46232</v>
      </c>
      <c r="B61" s="118">
        <v>46235</v>
      </c>
      <c r="C61" s="119"/>
      <c r="D61" s="118" t="s">
        <v>188</v>
      </c>
      <c r="E61" s="118" t="s">
        <v>188</v>
      </c>
      <c r="F61" s="118" t="s">
        <v>129</v>
      </c>
      <c r="G61" s="119" t="s">
        <v>189</v>
      </c>
      <c r="H61" s="119">
        <v>7125575</v>
      </c>
      <c r="I61" s="121">
        <v>71</v>
      </c>
      <c r="J61" s="119" t="s">
        <v>95</v>
      </c>
      <c r="K61" s="119" t="s">
        <v>110</v>
      </c>
      <c r="L61" s="119" t="s">
        <v>123</v>
      </c>
      <c r="M61" s="51">
        <v>810</v>
      </c>
      <c r="N61" s="51">
        <v>710</v>
      </c>
      <c r="O61" s="51">
        <v>320</v>
      </c>
      <c r="P61" s="51">
        <f>IFERROR(IF(OR(M61=0,N61=0),0,(M61+N61)*2+11),0)</f>
        <v>3051</v>
      </c>
      <c r="Q61" s="51">
        <f>IFERROR(IF(OR(N61=0,O61=0),0,(N61+O61)-16),0)</f>
        <v>1014</v>
      </c>
      <c r="R61" s="53">
        <f>P61*Q61/1000000</f>
        <v>3.0937139999999999</v>
      </c>
      <c r="S61" s="129">
        <f>IF(L61="Custom", R61*'[1]RFQ_Matalan Carton'!$M$40, IFERROR(VLOOKUP(L61,'[1]Carton Sizes Chart'!$A$4:$E$15,5,FALSE),0))</f>
        <v>2.9699654399999997</v>
      </c>
      <c r="T61" s="124">
        <f>S61</f>
        <v>2.9699654399999997</v>
      </c>
      <c r="U61" s="124">
        <f>I61*T61</f>
        <v>210.86754623999997</v>
      </c>
      <c r="V61" s="123">
        <f>((T61*I61)-W61)*4%</f>
        <v>8.0129667571199992</v>
      </c>
      <c r="W61" s="124">
        <f>S61*I61*5%</f>
        <v>10.543377311999999</v>
      </c>
      <c r="X61" s="113"/>
    </row>
    <row r="62" spans="1:24">
      <c r="A62" s="118">
        <v>46232</v>
      </c>
      <c r="B62" s="118">
        <v>46235</v>
      </c>
      <c r="C62" s="119"/>
      <c r="D62" s="118" t="s">
        <v>188</v>
      </c>
      <c r="E62" s="118" t="s">
        <v>188</v>
      </c>
      <c r="F62" s="118" t="s">
        <v>129</v>
      </c>
      <c r="G62" s="119" t="s">
        <v>189</v>
      </c>
      <c r="H62" s="119">
        <v>7125575</v>
      </c>
      <c r="I62" s="121">
        <v>555</v>
      </c>
      <c r="J62" s="119" t="s">
        <v>95</v>
      </c>
      <c r="K62" s="119" t="s">
        <v>110</v>
      </c>
      <c r="L62" s="119" t="s">
        <v>123</v>
      </c>
      <c r="M62" s="51">
        <v>800</v>
      </c>
      <c r="N62" s="51">
        <v>620</v>
      </c>
      <c r="O62" s="51">
        <v>240</v>
      </c>
      <c r="P62" s="51">
        <f>IFERROR(IF(OR(M62=0,N62=0),0,(M62+N62)*2+11),0)</f>
        <v>2851</v>
      </c>
      <c r="Q62" s="51">
        <f>IFERROR(IF(OR(N62=0,O62=0),0,(N62+O62)-16),0)</f>
        <v>844</v>
      </c>
      <c r="R62" s="53">
        <f>P62*Q62/1000000</f>
        <v>2.406244</v>
      </c>
      <c r="S62" s="129">
        <f>IF(L62="Custom", R62*'[1]RFQ_Matalan Carton'!$M$40, IFERROR(VLOOKUP(L62,'[1]Carton Sizes Chart'!$A$4:$E$15,5,FALSE),0))</f>
        <v>2.30999424</v>
      </c>
      <c r="T62" s="124">
        <f>S62</f>
        <v>2.30999424</v>
      </c>
      <c r="U62" s="124">
        <f>I62*T62</f>
        <v>1282.0468031999999</v>
      </c>
      <c r="V62" s="123">
        <f>((T62*I62)-W62)*4%</f>
        <v>48.717778521599996</v>
      </c>
      <c r="W62" s="124">
        <f>S62*I62*5%</f>
        <v>64.102340159999997</v>
      </c>
      <c r="X62" s="113"/>
    </row>
    <row r="63" spans="1:24">
      <c r="A63" s="118">
        <v>46232</v>
      </c>
      <c r="B63" s="118">
        <v>46235</v>
      </c>
      <c r="C63" s="119"/>
      <c r="D63" s="118" t="s">
        <v>200</v>
      </c>
      <c r="E63" s="118" t="s">
        <v>201</v>
      </c>
      <c r="F63" s="118" t="s">
        <v>129</v>
      </c>
      <c r="G63" s="119" t="s">
        <v>202</v>
      </c>
      <c r="H63" s="119">
        <v>7126198</v>
      </c>
      <c r="I63" s="119">
        <v>179</v>
      </c>
      <c r="J63" s="119" t="s">
        <v>95</v>
      </c>
      <c r="K63" s="119" t="s">
        <v>110</v>
      </c>
      <c r="L63" s="119" t="s">
        <v>47</v>
      </c>
      <c r="M63" s="51" cm="1">
        <f t="array" ref="M63">IF(L63="",0,_xlfn.SWITCH(L63,"A1",495,"A2",495,"A3",495,"Custom",0,595))</f>
        <v>595</v>
      </c>
      <c r="N63" s="51" cm="1">
        <f t="array" ref="N63">IF(L63="",0,_xlfn.SWITCH(L63,"C1",325,"C2",325,"C3",325,"D1",380,"D2",380,"D3",380,"Custom",0,285))</f>
        <v>325</v>
      </c>
      <c r="O63" s="51">
        <f>IF(L63="",0,_xlfn.SWITCH(L63,"A1",375,"B1",375,"C1",375,"D1",375,"A2",310,"B2",310,"C2",310,"D2",310,"Custom",0,260))</f>
        <v>260</v>
      </c>
      <c r="P63" s="51">
        <f>IFERROR(IF(OR(M63=0,N63=0),0,(M63+N63)*2+11),0)</f>
        <v>1851</v>
      </c>
      <c r="Q63" s="51">
        <f>IFERROR(IF(OR(N63=0,O63=0),0,(N63+O63)-16),0)</f>
        <v>569</v>
      </c>
      <c r="R63" s="53">
        <f>P63*Q63/1000000</f>
        <v>1.0532189999999999</v>
      </c>
      <c r="S63" s="123">
        <f>IFERROR(VLOOKUP(L63,'Carton Sizes Chart'!$A$4:$E$15,5,FALSE),0)</f>
        <v>1.02</v>
      </c>
      <c r="T63" s="124">
        <f>S63</f>
        <v>1.02</v>
      </c>
      <c r="U63" s="124">
        <f>I63*T63</f>
        <v>182.58</v>
      </c>
      <c r="V63" s="123">
        <f>((T63*I63)-W63)*4%</f>
        <v>6.9380400000000009</v>
      </c>
      <c r="W63" s="124">
        <f>S63*I63*5%</f>
        <v>9.1290000000000013</v>
      </c>
      <c r="X63" s="113"/>
    </row>
    <row r="64" spans="1:24">
      <c r="A64" s="118">
        <v>46232</v>
      </c>
      <c r="B64" s="118">
        <v>46235</v>
      </c>
      <c r="C64" s="119"/>
      <c r="D64" s="118" t="s">
        <v>200</v>
      </c>
      <c r="E64" s="118" t="s">
        <v>201</v>
      </c>
      <c r="F64" s="118" t="s">
        <v>129</v>
      </c>
      <c r="G64" s="119" t="s">
        <v>202</v>
      </c>
      <c r="H64" s="119">
        <v>7126198</v>
      </c>
      <c r="I64" s="121">
        <v>57</v>
      </c>
      <c r="J64" s="119" t="s">
        <v>95</v>
      </c>
      <c r="K64" s="119" t="s">
        <v>110</v>
      </c>
      <c r="L64" s="119" t="s">
        <v>46</v>
      </c>
      <c r="M64" s="51" cm="1">
        <f t="array" ref="M64">IF(L64="",0,_xlfn.SWITCH(L64,"A1",495,"A2",495,"A3",495,"Custom",0,595))</f>
        <v>595</v>
      </c>
      <c r="N64" s="51" cm="1">
        <f t="array" ref="N64">IF(L64="",0,_xlfn.SWITCH(L64,"C1",325,"C2",325,"C3",325,"D1",380,"D2",380,"D3",380,"Custom",0,285))</f>
        <v>325</v>
      </c>
      <c r="O64" s="51">
        <f>IF(L64="",0,_xlfn.SWITCH(L64,"A1",375,"B1",375,"C1",375,"D1",375,"A2",310,"B2",310,"C2",310,"D2",310,"Custom",0,260))</f>
        <v>310</v>
      </c>
      <c r="P64" s="51">
        <f>IFERROR(IF(OR(M64=0,N64=0),0,(M64+N64)*2+11),0)</f>
        <v>1851</v>
      </c>
      <c r="Q64" s="51">
        <f>IFERROR(IF(OR(N64=0,O64=0),0,(N64+O64)-16),0)</f>
        <v>619</v>
      </c>
      <c r="R64" s="53">
        <f>P64*Q64/1000000</f>
        <v>1.145769</v>
      </c>
      <c r="S64" s="123">
        <f>IFERROR(VLOOKUP(L64,'Carton Sizes Chart'!$A$4:$E$15,5,FALSE),0)</f>
        <v>1.1000000000000001</v>
      </c>
      <c r="T64" s="124">
        <f>S64</f>
        <v>1.1000000000000001</v>
      </c>
      <c r="U64" s="124">
        <f>I64*T64</f>
        <v>62.7</v>
      </c>
      <c r="V64" s="123">
        <f>((T64*I64)-W64)*4%</f>
        <v>2.3826000000000001</v>
      </c>
      <c r="W64" s="124">
        <f>S64*I64*5%</f>
        <v>3.1350000000000002</v>
      </c>
      <c r="X64" s="113"/>
    </row>
    <row r="65" spans="1:24">
      <c r="A65" s="118">
        <v>46236</v>
      </c>
      <c r="B65" s="118">
        <v>46236</v>
      </c>
      <c r="C65" s="119"/>
      <c r="D65" s="118" t="s">
        <v>188</v>
      </c>
      <c r="E65" s="118" t="s">
        <v>188</v>
      </c>
      <c r="F65" s="118" t="s">
        <v>129</v>
      </c>
      <c r="G65" s="119" t="s">
        <v>190</v>
      </c>
      <c r="H65" s="119">
        <v>7127907</v>
      </c>
      <c r="I65" s="119">
        <v>40</v>
      </c>
      <c r="J65" s="119" t="s">
        <v>95</v>
      </c>
      <c r="K65" s="119" t="s">
        <v>110</v>
      </c>
      <c r="L65" s="119" t="s">
        <v>123</v>
      </c>
      <c r="M65" s="51">
        <v>620</v>
      </c>
      <c r="N65" s="51">
        <v>420</v>
      </c>
      <c r="O65" s="51">
        <v>250</v>
      </c>
      <c r="P65" s="51">
        <f>IFERROR(IF(OR(M65=0,N65=0),0,(M65+N65)*2+11),0)</f>
        <v>2091</v>
      </c>
      <c r="Q65" s="51">
        <f>IFERROR(IF(OR(N65=0,O65=0),0,(N65+O65)-16),0)</f>
        <v>654</v>
      </c>
      <c r="R65" s="53">
        <f>P65*Q65/1000000</f>
        <v>1.3675139999999999</v>
      </c>
      <c r="S65" s="129">
        <f>IF(L65="Custom", R65*'[1]RFQ_Matalan Carton'!$M$40, IFERROR(VLOOKUP(L65,'[1]Carton Sizes Chart'!$A$4:$E$15,5,FALSE),0))</f>
        <v>1.3128134399999998</v>
      </c>
      <c r="T65" s="124">
        <f>S65</f>
        <v>1.3128134399999998</v>
      </c>
      <c r="U65" s="124">
        <f>I65*T65</f>
        <v>52.512537599999987</v>
      </c>
      <c r="V65" s="123">
        <f>((T65*I65)-W65)*4%</f>
        <v>1.9954764287999995</v>
      </c>
      <c r="W65" s="124">
        <f>S65*I65*5%</f>
        <v>2.6256268799999996</v>
      </c>
      <c r="X65" s="113"/>
    </row>
    <row r="66" spans="1:24">
      <c r="A66" s="118">
        <v>46236</v>
      </c>
      <c r="B66" s="118">
        <v>46240</v>
      </c>
      <c r="C66" s="119"/>
      <c r="D66" s="118" t="s">
        <v>200</v>
      </c>
      <c r="E66" s="118" t="s">
        <v>201</v>
      </c>
      <c r="F66" s="118" t="s">
        <v>129</v>
      </c>
      <c r="G66" s="119" t="s">
        <v>203</v>
      </c>
      <c r="H66" s="119">
        <v>7128054</v>
      </c>
      <c r="I66" s="119">
        <v>148</v>
      </c>
      <c r="J66" s="119" t="s">
        <v>95</v>
      </c>
      <c r="K66" s="119" t="s">
        <v>110</v>
      </c>
      <c r="L66" s="119" t="s">
        <v>45</v>
      </c>
      <c r="M66" s="51" cm="1">
        <f t="array" ref="M66">IF(L66="",0,_xlfn.SWITCH(L66,"A1",495,"A2",495,"A3",495,"Custom",0,595))</f>
        <v>595</v>
      </c>
      <c r="N66" s="51" cm="1">
        <f t="array" ref="N66">IF(L66="",0,_xlfn.SWITCH(L66,"C1",325,"C2",325,"C3",325,"D1",380,"D2",380,"D3",380,"Custom",0,285))</f>
        <v>325</v>
      </c>
      <c r="O66" s="51">
        <f>IF(L66="",0,_xlfn.SWITCH(L66,"A1",375,"B1",375,"C1",375,"D1",375,"A2",310,"B2",310,"C2",310,"D2",310,"Custom",0,260))</f>
        <v>375</v>
      </c>
      <c r="P66" s="51">
        <f>IFERROR(IF(OR(M66=0,N66=0),0,(M66+N66)*2+11),0)</f>
        <v>1851</v>
      </c>
      <c r="Q66" s="51">
        <f>IFERROR(IF(OR(N66=0,O66=0),0,(N66+O66)-16),0)</f>
        <v>684</v>
      </c>
      <c r="R66" s="53">
        <f>P66*Q66/1000000</f>
        <v>1.266084</v>
      </c>
      <c r="S66" s="123">
        <f>IFERROR(VLOOKUP(L66,'Carton Sizes Chart'!$A$4:$E$15,5,FALSE),0)</f>
        <v>1.22</v>
      </c>
      <c r="T66" s="124">
        <f>S66</f>
        <v>1.22</v>
      </c>
      <c r="U66" s="124">
        <f>I66*T66</f>
        <v>180.56</v>
      </c>
      <c r="V66" s="123">
        <f>((T66*I66)-W66)*4%</f>
        <v>6.8612800000000007</v>
      </c>
      <c r="W66" s="124">
        <f>S66*I66*5%</f>
        <v>9.0280000000000005</v>
      </c>
      <c r="X66" s="113"/>
    </row>
    <row r="67" spans="1:24">
      <c r="A67" s="118">
        <v>46238</v>
      </c>
      <c r="B67" s="118">
        <v>46243</v>
      </c>
      <c r="C67" s="119"/>
      <c r="D67" s="118" t="s">
        <v>200</v>
      </c>
      <c r="E67" s="118" t="s">
        <v>201</v>
      </c>
      <c r="F67" s="118" t="s">
        <v>129</v>
      </c>
      <c r="G67" s="119" t="s">
        <v>204</v>
      </c>
      <c r="H67" s="119">
        <v>7129094</v>
      </c>
      <c r="I67" s="119">
        <v>44</v>
      </c>
      <c r="J67" s="119" t="s">
        <v>95</v>
      </c>
      <c r="K67" s="119" t="s">
        <v>110</v>
      </c>
      <c r="L67" s="119" t="s">
        <v>46</v>
      </c>
      <c r="M67" s="51" cm="1">
        <f t="array" ref="M67">IF(L67="",0,_xlfn.SWITCH(L67,"A1",495,"A2",495,"A3",495,"Custom",0,595))</f>
        <v>595</v>
      </c>
      <c r="N67" s="51" cm="1">
        <f t="array" ref="N67">IF(L67="",0,_xlfn.SWITCH(L67,"C1",325,"C2",325,"C3",325,"D1",380,"D2",380,"D3",380,"Custom",0,285))</f>
        <v>325</v>
      </c>
      <c r="O67" s="51">
        <f>IF(L67="",0,_xlfn.SWITCH(L67,"A1",375,"B1",375,"C1",375,"D1",375,"A2",310,"B2",310,"C2",310,"D2",310,"Custom",0,260))</f>
        <v>310</v>
      </c>
      <c r="P67" s="51">
        <f>IFERROR(IF(OR(M67=0,N67=0),0,(M67+N67)*2+11),0)</f>
        <v>1851</v>
      </c>
      <c r="Q67" s="51">
        <f>IFERROR(IF(OR(N67=0,O67=0),0,(N67+O67)-16),0)</f>
        <v>619</v>
      </c>
      <c r="R67" s="53">
        <f>P67*Q67/1000000</f>
        <v>1.145769</v>
      </c>
      <c r="S67" s="123">
        <f>IFERROR(VLOOKUP(L67,'Carton Sizes Chart'!$A$4:$E$15,5,FALSE),0)</f>
        <v>1.1000000000000001</v>
      </c>
      <c r="T67" s="124">
        <f>S67</f>
        <v>1.1000000000000001</v>
      </c>
      <c r="U67" s="124">
        <f>I67*T67</f>
        <v>48.400000000000006</v>
      </c>
      <c r="V67" s="123">
        <f>((T67*I67)-W67)*4%</f>
        <v>1.8392000000000002</v>
      </c>
      <c r="W67" s="124">
        <f>S67*I67*5%</f>
        <v>2.4200000000000004</v>
      </c>
      <c r="X67" s="113"/>
    </row>
    <row r="68" spans="1:24">
      <c r="A68" s="118">
        <v>46240</v>
      </c>
      <c r="B68" s="118">
        <v>46243</v>
      </c>
      <c r="C68" s="119"/>
      <c r="D68" s="118" t="s">
        <v>200</v>
      </c>
      <c r="E68" s="118" t="s">
        <v>201</v>
      </c>
      <c r="F68" s="118" t="s">
        <v>129</v>
      </c>
      <c r="G68" s="119" t="s">
        <v>205</v>
      </c>
      <c r="H68" s="119">
        <v>7130506</v>
      </c>
      <c r="I68" s="119">
        <v>158</v>
      </c>
      <c r="J68" s="119" t="s">
        <v>95</v>
      </c>
      <c r="K68" s="119" t="s">
        <v>110</v>
      </c>
      <c r="L68" s="119" t="s">
        <v>45</v>
      </c>
      <c r="M68" s="51" cm="1">
        <f t="array" ref="M68">IF(L68="",0,_xlfn.SWITCH(L68,"A1",495,"A2",495,"A3",495,"Custom",0,595))</f>
        <v>595</v>
      </c>
      <c r="N68" s="51" cm="1">
        <f t="array" ref="N68">IF(L68="",0,_xlfn.SWITCH(L68,"C1",325,"C2",325,"C3",325,"D1",380,"D2",380,"D3",380,"Custom",0,285))</f>
        <v>325</v>
      </c>
      <c r="O68" s="51">
        <f>IF(L68="",0,_xlfn.SWITCH(L68,"A1",375,"B1",375,"C1",375,"D1",375,"A2",310,"B2",310,"C2",310,"D2",310,"Custom",0,260))</f>
        <v>375</v>
      </c>
      <c r="P68" s="51">
        <f>IFERROR(IF(OR(M68=0,N68=0),0,(M68+N68)*2+11),0)</f>
        <v>1851</v>
      </c>
      <c r="Q68" s="51">
        <f>IFERROR(IF(OR(N68=0,O68=0),0,(N68+O68)-16),0)</f>
        <v>684</v>
      </c>
      <c r="R68" s="53">
        <f>P68*Q68/1000000</f>
        <v>1.266084</v>
      </c>
      <c r="S68" s="123">
        <f>IFERROR(VLOOKUP(L68,'Carton Sizes Chart'!$A$4:$E$15,5,FALSE),0)</f>
        <v>1.22</v>
      </c>
      <c r="T68" s="124">
        <f>S68</f>
        <v>1.22</v>
      </c>
      <c r="U68" s="124">
        <f>I68*T68</f>
        <v>192.76</v>
      </c>
      <c r="V68" s="123">
        <f>((T68*I68)-W68)*4%</f>
        <v>7.3248799999999994</v>
      </c>
      <c r="W68" s="124">
        <f>S68*I68*5%</f>
        <v>9.6379999999999999</v>
      </c>
      <c r="X68" s="113"/>
    </row>
    <row r="69" spans="1:24">
      <c r="A69" s="118">
        <v>46243</v>
      </c>
      <c r="B69" s="118">
        <v>46244</v>
      </c>
      <c r="C69" s="119"/>
      <c r="D69" s="118" t="s">
        <v>200</v>
      </c>
      <c r="E69" s="118" t="s">
        <v>210</v>
      </c>
      <c r="F69" s="118" t="s">
        <v>129</v>
      </c>
      <c r="G69" s="119" t="s">
        <v>211</v>
      </c>
      <c r="H69" s="119">
        <v>7132064</v>
      </c>
      <c r="I69" s="121">
        <v>1600</v>
      </c>
      <c r="J69" s="119" t="s">
        <v>95</v>
      </c>
      <c r="K69" s="119" t="s">
        <v>110</v>
      </c>
      <c r="L69" s="119" t="s">
        <v>42</v>
      </c>
      <c r="M69" s="51" cm="1">
        <f t="array" ref="M69">IF(L69="",0,_xlfn.SWITCH(L69,"A1",495,"A2",495,"A3",495,"Custom",0,595))</f>
        <v>595</v>
      </c>
      <c r="N69" s="51" cm="1">
        <f t="array" ref="N69">IF(L69="",0,_xlfn.SWITCH(L69,"C1",325,"C2",325,"C3",325,"D1",380,"D2",380,"D3",380,"Custom",0,285))</f>
        <v>285</v>
      </c>
      <c r="O69" s="51">
        <f>IF(L69="",0,_xlfn.SWITCH(L69,"A1",375,"B1",375,"C1",375,"D1",375,"A2",310,"B2",310,"C2",310,"D2",310,"Custom",0,260))</f>
        <v>375</v>
      </c>
      <c r="P69" s="51">
        <f>IFERROR(IF(OR(M69=0,N69=0),0,(M69+N69)*2+11),0)</f>
        <v>1771</v>
      </c>
      <c r="Q69" s="51">
        <f>IFERROR(IF(OR(N69=0,O69=0),0,(N69+O69)-16),0)</f>
        <v>644</v>
      </c>
      <c r="R69" s="53">
        <f>P69*Q69/1000000</f>
        <v>1.1405240000000001</v>
      </c>
      <c r="S69" s="123">
        <f>IFERROR(VLOOKUP(L69,'Carton Sizes Chart'!$A$4:$E$15,5,FALSE),0)</f>
        <v>1.1000000000000001</v>
      </c>
      <c r="T69" s="124">
        <f>S69</f>
        <v>1.1000000000000001</v>
      </c>
      <c r="U69" s="124">
        <f>I69*T69</f>
        <v>1760.0000000000002</v>
      </c>
      <c r="V69" s="123">
        <f>((T69*I69)-W69)*4%</f>
        <v>66.88000000000001</v>
      </c>
      <c r="W69" s="124">
        <f>S69*I69*5%</f>
        <v>88.000000000000014</v>
      </c>
      <c r="X69" s="113"/>
    </row>
    <row r="70" spans="1:24">
      <c r="A70" s="118">
        <v>46246</v>
      </c>
      <c r="B70" s="118">
        <v>46247</v>
      </c>
      <c r="C70" s="119"/>
      <c r="D70" s="118" t="s">
        <v>181</v>
      </c>
      <c r="E70" s="118" t="s">
        <v>184</v>
      </c>
      <c r="F70" s="118" t="s">
        <v>129</v>
      </c>
      <c r="G70" s="119" t="s">
        <v>185</v>
      </c>
      <c r="H70" s="119">
        <v>7132988</v>
      </c>
      <c r="I70" s="119">
        <v>21</v>
      </c>
      <c r="J70" s="119" t="s">
        <v>95</v>
      </c>
      <c r="K70" s="119" t="s">
        <v>110</v>
      </c>
      <c r="L70" s="119" t="s">
        <v>47</v>
      </c>
      <c r="M70" s="51" cm="1">
        <f t="array" ref="M70">IF(L70="",0,_xlfn.SWITCH(L70,"A1",495,"A2",495,"A3",495,"Custom",0,595))</f>
        <v>595</v>
      </c>
      <c r="N70" s="51" cm="1">
        <f t="array" ref="N70">IF(L70="",0,_xlfn.SWITCH(L70,"C1",325,"C2",325,"C3",325,"D1",380,"D2",380,"D3",380,"Custom",0,285))</f>
        <v>325</v>
      </c>
      <c r="O70" s="51">
        <f>IF(L70="",0,_xlfn.SWITCH(L70,"A1",375,"B1",375,"C1",375,"D1",375,"A2",310,"B2",310,"C2",310,"D2",310,"Custom",0,260))</f>
        <v>260</v>
      </c>
      <c r="P70" s="51">
        <f>IFERROR(IF(OR(M70=0,N70=0),0,(M70+N70)*2+11),0)</f>
        <v>1851</v>
      </c>
      <c r="Q70" s="51">
        <f>IFERROR(IF(OR(N70=0,O70=0),0,(N70+O70)-16),0)</f>
        <v>569</v>
      </c>
      <c r="R70" s="53">
        <f>P70*Q70/1000000</f>
        <v>1.0532189999999999</v>
      </c>
      <c r="S70" s="123">
        <f>IFERROR(VLOOKUP(L70,'Carton Sizes Chart'!$A$4:$E$15,5,FALSE),0)</f>
        <v>1.02</v>
      </c>
      <c r="T70" s="124">
        <f>S70</f>
        <v>1.02</v>
      </c>
      <c r="U70" s="124">
        <f>I70*T70</f>
        <v>21.42</v>
      </c>
      <c r="V70" s="123">
        <f>((T70*I70)-W70)*4%</f>
        <v>0.81396000000000002</v>
      </c>
      <c r="W70" s="124">
        <f>S70*I70*5%</f>
        <v>1.0710000000000002</v>
      </c>
      <c r="X70" s="113" t="s">
        <v>124</v>
      </c>
    </row>
    <row r="71" spans="1:24">
      <c r="A71" s="118">
        <v>46246</v>
      </c>
      <c r="B71" s="118">
        <v>46247</v>
      </c>
      <c r="C71" s="119"/>
      <c r="D71" s="118" t="s">
        <v>181</v>
      </c>
      <c r="E71" s="118" t="s">
        <v>184</v>
      </c>
      <c r="F71" s="118" t="s">
        <v>129</v>
      </c>
      <c r="G71" s="119" t="s">
        <v>185</v>
      </c>
      <c r="H71" s="119">
        <v>7132988</v>
      </c>
      <c r="I71" s="119">
        <v>75</v>
      </c>
      <c r="J71" s="119" t="s">
        <v>95</v>
      </c>
      <c r="K71" s="119" t="s">
        <v>110</v>
      </c>
      <c r="L71" s="119" t="s">
        <v>50</v>
      </c>
      <c r="M71" s="51" cm="1">
        <f t="array" ref="M71">IF(L71="",0,_xlfn.SWITCH(L71,"A1",495,"A2",495,"A3",495,"Custom",0,595))</f>
        <v>595</v>
      </c>
      <c r="N71" s="51" cm="1">
        <f t="array" ref="N71">IF(L71="",0,_xlfn.SWITCH(L71,"C1",325,"C2",325,"C3",325,"D1",380,"D2",380,"D3",380,"Custom",0,285))</f>
        <v>380</v>
      </c>
      <c r="O71" s="51">
        <f>IF(L71="",0,_xlfn.SWITCH(L71,"A1",375,"B1",375,"C1",375,"D1",375,"A2",310,"B2",310,"C2",310,"D2",310,"Custom",0,260))</f>
        <v>260</v>
      </c>
      <c r="P71" s="51">
        <f>IFERROR(IF(OR(M71=0,N71=0),0,(M71+N71)*2+11),0)</f>
        <v>1961</v>
      </c>
      <c r="Q71" s="51">
        <f>IFERROR(IF(OR(N71=0,O71=0),0,(N71+O71)-16),0)</f>
        <v>624</v>
      </c>
      <c r="R71" s="53">
        <f>P71*Q71/1000000</f>
        <v>1.2236640000000001</v>
      </c>
      <c r="S71" s="123">
        <f>IFERROR(VLOOKUP(L71,'Carton Sizes Chart'!$A$4:$E$15,5,FALSE),0)</f>
        <v>1.18</v>
      </c>
      <c r="T71" s="124">
        <f>S71</f>
        <v>1.18</v>
      </c>
      <c r="U71" s="124">
        <f>I71*T71</f>
        <v>88.5</v>
      </c>
      <c r="V71" s="123">
        <f>((T71*I71)-W71)*4%</f>
        <v>3.363</v>
      </c>
      <c r="W71" s="124">
        <f>S71*I71*5%</f>
        <v>4.4249999999999998</v>
      </c>
      <c r="X71" s="113"/>
    </row>
    <row r="72" spans="1:24">
      <c r="A72" s="118">
        <v>46246</v>
      </c>
      <c r="B72" s="118">
        <v>46247</v>
      </c>
      <c r="C72" s="119"/>
      <c r="D72" s="118" t="s">
        <v>181</v>
      </c>
      <c r="E72" s="118" t="s">
        <v>182</v>
      </c>
      <c r="F72" s="118" t="s">
        <v>129</v>
      </c>
      <c r="G72" s="119" t="s">
        <v>183</v>
      </c>
      <c r="H72" s="119">
        <v>7134301</v>
      </c>
      <c r="I72" s="119">
        <v>15</v>
      </c>
      <c r="J72" s="119" t="s">
        <v>95</v>
      </c>
      <c r="K72" s="119" t="s">
        <v>110</v>
      </c>
      <c r="L72" s="119" t="s">
        <v>47</v>
      </c>
      <c r="M72" s="51" cm="1">
        <f t="array" ref="M72">IF(L72="",0,_xlfn.SWITCH(L72,"A1",495,"A2",495,"A3",495,"Custom",0,595))</f>
        <v>595</v>
      </c>
      <c r="N72" s="51" cm="1">
        <f t="array" ref="N72">IF(L72="",0,_xlfn.SWITCH(L72,"C1",325,"C2",325,"C3",325,"D1",380,"D2",380,"D3",380,"Custom",0,285))</f>
        <v>325</v>
      </c>
      <c r="O72" s="51">
        <f>IF(L72="",0,_xlfn.SWITCH(L72,"A1",375,"B1",375,"C1",375,"D1",375,"A2",310,"B2",310,"C2",310,"D2",310,"Custom",0,260))</f>
        <v>260</v>
      </c>
      <c r="P72" s="51">
        <f>IFERROR(IF(OR(M72=0,N72=0),0,(M72+N72)*2+11),0)</f>
        <v>1851</v>
      </c>
      <c r="Q72" s="51">
        <f>IFERROR(IF(OR(N72=0,O72=0),0,(N72+O72)-16),0)</f>
        <v>569</v>
      </c>
      <c r="R72" s="53">
        <f>P72*Q72/1000000</f>
        <v>1.0532189999999999</v>
      </c>
      <c r="S72" s="123">
        <f>IFERROR(VLOOKUP(L72,'Carton Sizes Chart'!$A$4:$E$15,5,FALSE),0)</f>
        <v>1.02</v>
      </c>
      <c r="T72" s="124">
        <f>S72</f>
        <v>1.02</v>
      </c>
      <c r="U72" s="124">
        <f>I72*T72</f>
        <v>15.3</v>
      </c>
      <c r="V72" s="123">
        <f>((T72*I72)-W72)*4%</f>
        <v>0.58140000000000003</v>
      </c>
      <c r="W72" s="124">
        <f>S72*I72*5%</f>
        <v>0.76500000000000012</v>
      </c>
      <c r="X72" s="113"/>
    </row>
    <row r="73" spans="1:24">
      <c r="A73" s="118">
        <v>46246</v>
      </c>
      <c r="B73" s="118">
        <v>46247</v>
      </c>
      <c r="C73" s="119"/>
      <c r="D73" s="118" t="s">
        <v>181</v>
      </c>
      <c r="E73" s="118" t="s">
        <v>182</v>
      </c>
      <c r="F73" s="118" t="s">
        <v>129</v>
      </c>
      <c r="G73" s="119" t="s">
        <v>183</v>
      </c>
      <c r="H73" s="119">
        <v>7134301</v>
      </c>
      <c r="I73" s="119">
        <v>62</v>
      </c>
      <c r="J73" s="119" t="s">
        <v>95</v>
      </c>
      <c r="K73" s="119" t="s">
        <v>110</v>
      </c>
      <c r="L73" s="119" t="s">
        <v>50</v>
      </c>
      <c r="M73" s="51" cm="1">
        <f t="array" ref="M73">IF(L73="",0,_xlfn.SWITCH(L73,"A1",495,"A2",495,"A3",495,"Custom",0,595))</f>
        <v>595</v>
      </c>
      <c r="N73" s="51" cm="1">
        <f t="array" ref="N73">IF(L73="",0,_xlfn.SWITCH(L73,"C1",325,"C2",325,"C3",325,"D1",380,"D2",380,"D3",380,"Custom",0,285))</f>
        <v>380</v>
      </c>
      <c r="O73" s="51">
        <f>IF(L73="",0,_xlfn.SWITCH(L73,"A1",375,"B1",375,"C1",375,"D1",375,"A2",310,"B2",310,"C2",310,"D2",310,"Custom",0,260))</f>
        <v>260</v>
      </c>
      <c r="P73" s="51">
        <f>IFERROR(IF(OR(M73=0,N73=0),0,(M73+N73)*2+11),0)</f>
        <v>1961</v>
      </c>
      <c r="Q73" s="51">
        <f>IFERROR(IF(OR(N73=0,O73=0),0,(N73+O73)-16),0)</f>
        <v>624</v>
      </c>
      <c r="R73" s="53">
        <f>P73*Q73/1000000</f>
        <v>1.2236640000000001</v>
      </c>
      <c r="S73" s="123">
        <f>IFERROR(VLOOKUP(L73,'Carton Sizes Chart'!$A$4:$E$15,5,FALSE),0)</f>
        <v>1.18</v>
      </c>
      <c r="T73" s="124">
        <f>S73</f>
        <v>1.18</v>
      </c>
      <c r="U73" s="124">
        <f>I73*T73</f>
        <v>73.16</v>
      </c>
      <c r="V73" s="123">
        <f>((T73*I73)-W73)*4%</f>
        <v>2.7800799999999999</v>
      </c>
      <c r="W73" s="124">
        <f>S73*I73*5%</f>
        <v>3.6579999999999999</v>
      </c>
      <c r="X73" s="113"/>
    </row>
    <row r="74" spans="1:24">
      <c r="A74" s="118">
        <v>46247</v>
      </c>
      <c r="B74" s="118">
        <v>46250</v>
      </c>
      <c r="C74" s="119"/>
      <c r="D74" s="118" t="s">
        <v>200</v>
      </c>
      <c r="E74" s="118" t="s">
        <v>201</v>
      </c>
      <c r="F74" s="118" t="s">
        <v>129</v>
      </c>
      <c r="G74" s="119" t="s">
        <v>206</v>
      </c>
      <c r="H74" s="119">
        <v>7135089</v>
      </c>
      <c r="I74" s="119">
        <v>15</v>
      </c>
      <c r="J74" s="119" t="s">
        <v>95</v>
      </c>
      <c r="K74" s="119" t="s">
        <v>110</v>
      </c>
      <c r="L74" s="119" t="s">
        <v>46</v>
      </c>
      <c r="M74" s="51" cm="1">
        <f t="array" ref="M74">IF(L74="",0,_xlfn.SWITCH(L74,"A1",495,"A2",495,"A3",495,"Custom",0,595))</f>
        <v>595</v>
      </c>
      <c r="N74" s="51" cm="1">
        <f t="array" ref="N74">IF(L74="",0,_xlfn.SWITCH(L74,"C1",325,"C2",325,"C3",325,"D1",380,"D2",380,"D3",380,"Custom",0,285))</f>
        <v>325</v>
      </c>
      <c r="O74" s="51">
        <f>IF(L74="",0,_xlfn.SWITCH(L74,"A1",375,"B1",375,"C1",375,"D1",375,"A2",310,"B2",310,"C2",310,"D2",310,"Custom",0,260))</f>
        <v>310</v>
      </c>
      <c r="P74" s="51">
        <f>IFERROR(IF(OR(M74=0,N74=0),0,(M74+N74)*2+11),0)</f>
        <v>1851</v>
      </c>
      <c r="Q74" s="51">
        <f>IFERROR(IF(OR(N74=0,O74=0),0,(N74+O74)-16),0)</f>
        <v>619</v>
      </c>
      <c r="R74" s="53">
        <f>P74*Q74/1000000</f>
        <v>1.145769</v>
      </c>
      <c r="S74" s="123">
        <f>IFERROR(VLOOKUP(L74,'Carton Sizes Chart'!$A$4:$E$15,5,FALSE),0)</f>
        <v>1.1000000000000001</v>
      </c>
      <c r="T74" s="124">
        <f>S74</f>
        <v>1.1000000000000001</v>
      </c>
      <c r="U74" s="124">
        <f>I74*T74</f>
        <v>16.5</v>
      </c>
      <c r="V74" s="123">
        <f>((T74*I74)-W74)*4%</f>
        <v>0.627</v>
      </c>
      <c r="W74" s="124">
        <f>S74*I74*5%</f>
        <v>0.82500000000000007</v>
      </c>
      <c r="X74" s="113"/>
    </row>
    <row r="75" spans="1:24">
      <c r="A75" s="118">
        <v>46247</v>
      </c>
      <c r="B75" s="118">
        <v>46250</v>
      </c>
      <c r="C75" s="119"/>
      <c r="D75" s="118" t="s">
        <v>200</v>
      </c>
      <c r="E75" s="118" t="s">
        <v>201</v>
      </c>
      <c r="F75" s="118" t="s">
        <v>129</v>
      </c>
      <c r="G75" s="119" t="s">
        <v>206</v>
      </c>
      <c r="H75" s="119">
        <v>7135089</v>
      </c>
      <c r="I75" s="119">
        <v>47</v>
      </c>
      <c r="J75" s="119" t="s">
        <v>95</v>
      </c>
      <c r="K75" s="119" t="s">
        <v>110</v>
      </c>
      <c r="L75" s="119" t="s">
        <v>45</v>
      </c>
      <c r="M75" s="51" cm="1">
        <f t="array" ref="M75">IF(L75="",0,_xlfn.SWITCH(L75,"A1",495,"A2",495,"A3",495,"Custom",0,595))</f>
        <v>595</v>
      </c>
      <c r="N75" s="51" cm="1">
        <f t="array" ref="N75">IF(L75="",0,_xlfn.SWITCH(L75,"C1",325,"C2",325,"C3",325,"D1",380,"D2",380,"D3",380,"Custom",0,285))</f>
        <v>325</v>
      </c>
      <c r="O75" s="51">
        <f>IF(L75="",0,_xlfn.SWITCH(L75,"A1",375,"B1",375,"C1",375,"D1",375,"A2",310,"B2",310,"C2",310,"D2",310,"Custom",0,260))</f>
        <v>375</v>
      </c>
      <c r="P75" s="51">
        <f>IFERROR(IF(OR(M75=0,N75=0),0,(M75+N75)*2+11),0)</f>
        <v>1851</v>
      </c>
      <c r="Q75" s="51">
        <f>IFERROR(IF(OR(N75=0,O75=0),0,(N75+O75)-16),0)</f>
        <v>684</v>
      </c>
      <c r="R75" s="53">
        <f>P75*Q75/1000000</f>
        <v>1.266084</v>
      </c>
      <c r="S75" s="123">
        <f>IFERROR(VLOOKUP(L75,'Carton Sizes Chart'!$A$4:$E$15,5,FALSE),0)</f>
        <v>1.22</v>
      </c>
      <c r="T75" s="124">
        <f>S75</f>
        <v>1.22</v>
      </c>
      <c r="U75" s="124">
        <f>I75*T75</f>
        <v>57.339999999999996</v>
      </c>
      <c r="V75" s="123">
        <f>((T75*I75)-W75)*4%</f>
        <v>2.1789200000000002</v>
      </c>
      <c r="W75" s="124">
        <f>S75*I75*5%</f>
        <v>2.867</v>
      </c>
      <c r="X75" s="113"/>
    </row>
    <row r="76" spans="1:24">
      <c r="A76" s="118">
        <v>46247</v>
      </c>
      <c r="B76" s="118">
        <v>46250</v>
      </c>
      <c r="C76" s="119"/>
      <c r="D76" s="118" t="s">
        <v>200</v>
      </c>
      <c r="E76" s="118" t="s">
        <v>201</v>
      </c>
      <c r="F76" s="118" t="s">
        <v>129</v>
      </c>
      <c r="G76" s="119" t="s">
        <v>206</v>
      </c>
      <c r="H76" s="119">
        <v>7135089</v>
      </c>
      <c r="I76" s="119">
        <v>31</v>
      </c>
      <c r="J76" s="119" t="s">
        <v>95</v>
      </c>
      <c r="K76" s="119" t="s">
        <v>110</v>
      </c>
      <c r="L76" s="119" t="s">
        <v>48</v>
      </c>
      <c r="M76" s="51" cm="1">
        <f t="array" ref="M76">IF(L76="",0,_xlfn.SWITCH(L76,"A1",495,"A2",495,"A3",495,"Custom",0,595))</f>
        <v>595</v>
      </c>
      <c r="N76" s="51" cm="1">
        <f t="array" ref="N76">IF(L76="",0,_xlfn.SWITCH(L76,"C1",325,"C2",325,"C3",325,"D1",380,"D2",380,"D3",380,"Custom",0,285))</f>
        <v>380</v>
      </c>
      <c r="O76" s="51">
        <f>IF(L76="",0,_xlfn.SWITCH(L76,"A1",375,"B1",375,"C1",375,"D1",375,"A2",310,"B2",310,"C2",310,"D2",310,"Custom",0,260))</f>
        <v>375</v>
      </c>
      <c r="P76" s="51">
        <f>IFERROR(IF(OR(M76=0,N76=0),0,(M76+N76)*2+11),0)</f>
        <v>1961</v>
      </c>
      <c r="Q76" s="51">
        <f>IFERROR(IF(OR(N76=0,O76=0),0,(N76+O76)-16),0)</f>
        <v>739</v>
      </c>
      <c r="R76" s="53">
        <f>P76*Q76/1000000</f>
        <v>1.449179</v>
      </c>
      <c r="S76" s="123">
        <f>IFERROR(VLOOKUP(L76,'Carton Sizes Chart'!$A$4:$E$15,5,FALSE),0)</f>
        <v>1.39</v>
      </c>
      <c r="T76" s="124">
        <f>S76</f>
        <v>1.39</v>
      </c>
      <c r="U76" s="124">
        <f>I76*T76</f>
        <v>43.089999999999996</v>
      </c>
      <c r="V76" s="123">
        <f>((T76*I76)-W76)*4%</f>
        <v>1.6374199999999999</v>
      </c>
      <c r="W76" s="124">
        <f>S76*I76*5%</f>
        <v>2.1545000000000001</v>
      </c>
      <c r="X76" s="113"/>
    </row>
    <row r="77" spans="1:24">
      <c r="A77" s="118">
        <v>46247</v>
      </c>
      <c r="B77" s="118">
        <v>46249</v>
      </c>
      <c r="C77" s="119"/>
      <c r="D77" s="118" t="s">
        <v>200</v>
      </c>
      <c r="E77" s="118" t="s">
        <v>201</v>
      </c>
      <c r="F77" s="118" t="s">
        <v>129</v>
      </c>
      <c r="G77" s="119" t="s">
        <v>207</v>
      </c>
      <c r="H77" s="119">
        <v>7135275</v>
      </c>
      <c r="I77" s="119">
        <v>41</v>
      </c>
      <c r="J77" s="119" t="s">
        <v>95</v>
      </c>
      <c r="K77" s="119" t="s">
        <v>110</v>
      </c>
      <c r="L77" s="119" t="s">
        <v>45</v>
      </c>
      <c r="M77" s="51" cm="1">
        <f t="array" ref="M77">IF(L77="",0,_xlfn.SWITCH(L77,"A1",495,"A2",495,"A3",495,"Custom",0,595))</f>
        <v>595</v>
      </c>
      <c r="N77" s="51" cm="1">
        <f t="array" ref="N77">IF(L77="",0,_xlfn.SWITCH(L77,"C1",325,"C2",325,"C3",325,"D1",380,"D2",380,"D3",380,"Custom",0,285))</f>
        <v>325</v>
      </c>
      <c r="O77" s="51">
        <f>IF(L77="",0,_xlfn.SWITCH(L77,"A1",375,"B1",375,"C1",375,"D1",375,"A2",310,"B2",310,"C2",310,"D2",310,"Custom",0,260))</f>
        <v>375</v>
      </c>
      <c r="P77" s="51">
        <f>IFERROR(IF(OR(M77=0,N77=0),0,(M77+N77)*2+11),0)</f>
        <v>1851</v>
      </c>
      <c r="Q77" s="51">
        <f>IFERROR(IF(OR(N77=0,O77=0),0,(N77+O77)-16),0)</f>
        <v>684</v>
      </c>
      <c r="R77" s="53">
        <f>P77*Q77/1000000</f>
        <v>1.266084</v>
      </c>
      <c r="S77" s="123">
        <f>IFERROR(VLOOKUP(L77,'Carton Sizes Chart'!$A$4:$E$15,5,FALSE),0)</f>
        <v>1.22</v>
      </c>
      <c r="T77" s="124">
        <f>S77</f>
        <v>1.22</v>
      </c>
      <c r="U77" s="124">
        <f>I77*T77</f>
        <v>50.019999999999996</v>
      </c>
      <c r="V77" s="123">
        <f>((T77*I77)-W77)*4%</f>
        <v>1.90076</v>
      </c>
      <c r="W77" s="124">
        <f>S77*I77*5%</f>
        <v>2.5009999999999999</v>
      </c>
      <c r="X77" s="113"/>
    </row>
    <row r="78" spans="1:24">
      <c r="A78" s="118">
        <v>46247</v>
      </c>
      <c r="B78" s="118">
        <v>46249</v>
      </c>
      <c r="C78" s="119"/>
      <c r="D78" s="118" t="s">
        <v>200</v>
      </c>
      <c r="E78" s="118" t="s">
        <v>201</v>
      </c>
      <c r="F78" s="118" t="s">
        <v>129</v>
      </c>
      <c r="G78" s="119" t="s">
        <v>207</v>
      </c>
      <c r="H78" s="119">
        <v>7135275</v>
      </c>
      <c r="I78" s="119">
        <v>17</v>
      </c>
      <c r="J78" s="119" t="s">
        <v>95</v>
      </c>
      <c r="K78" s="119" t="s">
        <v>110</v>
      </c>
      <c r="L78" s="119" t="s">
        <v>48</v>
      </c>
      <c r="M78" s="51" cm="1">
        <f t="array" ref="M78">IF(L78="",0,_xlfn.SWITCH(L78,"A1",495,"A2",495,"A3",495,"Custom",0,595))</f>
        <v>595</v>
      </c>
      <c r="N78" s="51" cm="1">
        <f t="array" ref="N78">IF(L78="",0,_xlfn.SWITCH(L78,"C1",325,"C2",325,"C3",325,"D1",380,"D2",380,"D3",380,"Custom",0,285))</f>
        <v>380</v>
      </c>
      <c r="O78" s="51">
        <f>IF(L78="",0,_xlfn.SWITCH(L78,"A1",375,"B1",375,"C1",375,"D1",375,"A2",310,"B2",310,"C2",310,"D2",310,"Custom",0,260))</f>
        <v>375</v>
      </c>
      <c r="P78" s="51">
        <f>IFERROR(IF(OR(M78=0,N78=0),0,(M78+N78)*2+11),0)</f>
        <v>1961</v>
      </c>
      <c r="Q78" s="51">
        <f>IFERROR(IF(OR(N78=0,O78=0),0,(N78+O78)-16),0)</f>
        <v>739</v>
      </c>
      <c r="R78" s="53">
        <f>P78*Q78/1000000</f>
        <v>1.449179</v>
      </c>
      <c r="S78" s="123">
        <f>IFERROR(VLOOKUP(L78,'Carton Sizes Chart'!$A$4:$E$15,5,FALSE),0)</f>
        <v>1.39</v>
      </c>
      <c r="T78" s="124">
        <f>S78</f>
        <v>1.39</v>
      </c>
      <c r="U78" s="124">
        <f>I78*T78</f>
        <v>23.63</v>
      </c>
      <c r="V78" s="123">
        <f>((T78*I78)-W78)*4%</f>
        <v>0.89793999999999996</v>
      </c>
      <c r="W78" s="124">
        <f>S78*I78*5%</f>
        <v>1.1815</v>
      </c>
      <c r="X78" s="113"/>
    </row>
    <row r="79" spans="1:24">
      <c r="A79" s="118">
        <v>46249</v>
      </c>
      <c r="B79" s="118">
        <v>46254</v>
      </c>
      <c r="C79" s="119"/>
      <c r="D79" s="118" t="s">
        <v>200</v>
      </c>
      <c r="E79" s="118" t="s">
        <v>201</v>
      </c>
      <c r="F79" s="118" t="s">
        <v>129</v>
      </c>
      <c r="G79" s="119" t="s">
        <v>207</v>
      </c>
      <c r="H79" s="119">
        <v>7136111</v>
      </c>
      <c r="I79" s="119">
        <v>70</v>
      </c>
      <c r="J79" s="119" t="s">
        <v>95</v>
      </c>
      <c r="K79" s="119" t="s">
        <v>110</v>
      </c>
      <c r="L79" s="119" t="s">
        <v>45</v>
      </c>
      <c r="M79" s="51" cm="1">
        <f t="array" ref="M79">IF(L79="",0,_xlfn.SWITCH(L79,"A1",495,"A2",495,"A3",495,"Custom",0,595))</f>
        <v>595</v>
      </c>
      <c r="N79" s="51" cm="1">
        <f t="array" ref="N79">IF(L79="",0,_xlfn.SWITCH(L79,"C1",325,"C2",325,"C3",325,"D1",380,"D2",380,"D3",380,"Custom",0,285))</f>
        <v>325</v>
      </c>
      <c r="O79" s="51">
        <f>IF(L79="",0,_xlfn.SWITCH(L79,"A1",375,"B1",375,"C1",375,"D1",375,"A2",310,"B2",310,"C2",310,"D2",310,"Custom",0,260))</f>
        <v>375</v>
      </c>
      <c r="P79" s="51">
        <f>IFERROR(IF(OR(M79=0,N79=0),0,(M79+N79)*2+11),0)</f>
        <v>1851</v>
      </c>
      <c r="Q79" s="51">
        <f>IFERROR(IF(OR(N79=0,O79=0),0,(N79+O79)-16),0)</f>
        <v>684</v>
      </c>
      <c r="R79" s="53">
        <f>P79*Q79/1000000</f>
        <v>1.266084</v>
      </c>
      <c r="S79" s="123">
        <f>IFERROR(VLOOKUP(L79,'Carton Sizes Chart'!$A$4:$E$15,5,FALSE),0)</f>
        <v>1.22</v>
      </c>
      <c r="T79" s="124">
        <f>S79</f>
        <v>1.22</v>
      </c>
      <c r="U79" s="124">
        <f>I79*T79</f>
        <v>85.399999999999991</v>
      </c>
      <c r="V79" s="123">
        <f>((T79*I79)-W79)*4%</f>
        <v>3.2452000000000001</v>
      </c>
      <c r="W79" s="124">
        <f>S79*I79*5%</f>
        <v>4.2699999999999996</v>
      </c>
      <c r="X79" s="113"/>
    </row>
    <row r="80" spans="1:24">
      <c r="A80" s="118">
        <v>46249</v>
      </c>
      <c r="B80" s="118">
        <v>46254</v>
      </c>
      <c r="C80" s="119"/>
      <c r="D80" s="118" t="s">
        <v>200</v>
      </c>
      <c r="E80" s="118" t="s">
        <v>201</v>
      </c>
      <c r="F80" s="118" t="s">
        <v>129</v>
      </c>
      <c r="G80" s="119" t="s">
        <v>207</v>
      </c>
      <c r="H80" s="119">
        <v>7136111</v>
      </c>
      <c r="I80" s="119">
        <v>27</v>
      </c>
      <c r="J80" s="119" t="s">
        <v>95</v>
      </c>
      <c r="K80" s="119" t="s">
        <v>110</v>
      </c>
      <c r="L80" s="119" t="s">
        <v>48</v>
      </c>
      <c r="M80" s="51" cm="1">
        <f t="array" ref="M80">IF(L80="",0,_xlfn.SWITCH(L80,"A1",495,"A2",495,"A3",495,"Custom",0,595))</f>
        <v>595</v>
      </c>
      <c r="N80" s="51" cm="1">
        <f t="array" ref="N80">IF(L80="",0,_xlfn.SWITCH(L80,"C1",325,"C2",325,"C3",325,"D1",380,"D2",380,"D3",380,"Custom",0,285))</f>
        <v>380</v>
      </c>
      <c r="O80" s="51">
        <f>IF(L80="",0,_xlfn.SWITCH(L80,"A1",375,"B1",375,"C1",375,"D1",375,"A2",310,"B2",310,"C2",310,"D2",310,"Custom",0,260))</f>
        <v>375</v>
      </c>
      <c r="P80" s="51">
        <f>IFERROR(IF(OR(M80=0,N80=0),0,(M80+N80)*2+11),0)</f>
        <v>1961</v>
      </c>
      <c r="Q80" s="51">
        <f>IFERROR(IF(OR(N80=0,O80=0),0,(N80+O80)-16),0)</f>
        <v>739</v>
      </c>
      <c r="R80" s="53">
        <f>P80*Q80/1000000</f>
        <v>1.449179</v>
      </c>
      <c r="S80" s="123">
        <f>IFERROR(VLOOKUP(L80,'Carton Sizes Chart'!$A$4:$E$15,5,FALSE),0)</f>
        <v>1.39</v>
      </c>
      <c r="T80" s="124">
        <f>S80</f>
        <v>1.39</v>
      </c>
      <c r="U80" s="124">
        <f>I80*T80</f>
        <v>37.529999999999994</v>
      </c>
      <c r="V80" s="123">
        <f>((T80*I80)-W80)*4%</f>
        <v>1.4261399999999997</v>
      </c>
      <c r="W80" s="124">
        <f>S80*I80*5%</f>
        <v>1.8764999999999998</v>
      </c>
      <c r="X80" s="113"/>
    </row>
    <row r="81" spans="1:24">
      <c r="A81" s="118">
        <v>46249</v>
      </c>
      <c r="B81" s="118">
        <v>46254</v>
      </c>
      <c r="C81" s="119"/>
      <c r="D81" s="118" t="s">
        <v>200</v>
      </c>
      <c r="E81" s="118" t="s">
        <v>201</v>
      </c>
      <c r="F81" s="118" t="s">
        <v>129</v>
      </c>
      <c r="G81" s="119" t="s">
        <v>208</v>
      </c>
      <c r="H81" s="119">
        <v>7136184</v>
      </c>
      <c r="I81" s="119">
        <v>16</v>
      </c>
      <c r="J81" s="119" t="s">
        <v>95</v>
      </c>
      <c r="K81" s="119" t="s">
        <v>110</v>
      </c>
      <c r="L81" s="119" t="s">
        <v>45</v>
      </c>
      <c r="M81" s="51" cm="1">
        <f t="array" ref="M81">IF(L81="",0,_xlfn.SWITCH(L81,"A1",495,"A2",495,"A3",495,"Custom",0,595))</f>
        <v>595</v>
      </c>
      <c r="N81" s="51" cm="1">
        <f t="array" ref="N81">IF(L81="",0,_xlfn.SWITCH(L81,"C1",325,"C2",325,"C3",325,"D1",380,"D2",380,"D3",380,"Custom",0,285))</f>
        <v>325</v>
      </c>
      <c r="O81" s="51">
        <f>IF(L81="",0,_xlfn.SWITCH(L81,"A1",375,"B1",375,"C1",375,"D1",375,"A2",310,"B2",310,"C2",310,"D2",310,"Custom",0,260))</f>
        <v>375</v>
      </c>
      <c r="P81" s="51">
        <f>IFERROR(IF(OR(M81=0,N81=0),0,(M81+N81)*2+11),0)</f>
        <v>1851</v>
      </c>
      <c r="Q81" s="51">
        <f>IFERROR(IF(OR(N81=0,O81=0),0,(N81+O81)-16),0)</f>
        <v>684</v>
      </c>
      <c r="R81" s="53">
        <f>P81*Q81/1000000</f>
        <v>1.266084</v>
      </c>
      <c r="S81" s="123">
        <f>IFERROR(VLOOKUP(L81,'Carton Sizes Chart'!$A$4:$E$15,5,FALSE),0)</f>
        <v>1.22</v>
      </c>
      <c r="T81" s="124">
        <f>S81</f>
        <v>1.22</v>
      </c>
      <c r="U81" s="124">
        <f>I81*T81</f>
        <v>19.52</v>
      </c>
      <c r="V81" s="123">
        <f>((T81*I81)-W81)*4%</f>
        <v>0.74176000000000009</v>
      </c>
      <c r="W81" s="124">
        <f>S81*I81*5%</f>
        <v>0.97599999999999998</v>
      </c>
      <c r="X81" s="113"/>
    </row>
    <row r="82" spans="1:24">
      <c r="A82" s="118">
        <v>46249</v>
      </c>
      <c r="B82" s="118">
        <v>46254</v>
      </c>
      <c r="C82" s="119"/>
      <c r="D82" s="118" t="s">
        <v>200</v>
      </c>
      <c r="E82" s="118" t="s">
        <v>201</v>
      </c>
      <c r="F82" s="118" t="s">
        <v>129</v>
      </c>
      <c r="G82" s="119" t="s">
        <v>208</v>
      </c>
      <c r="H82" s="119">
        <v>7136184</v>
      </c>
      <c r="I82" s="119">
        <v>9</v>
      </c>
      <c r="J82" s="119" t="s">
        <v>95</v>
      </c>
      <c r="K82" s="119" t="s">
        <v>110</v>
      </c>
      <c r="L82" s="119" t="s">
        <v>48</v>
      </c>
      <c r="M82" s="51" cm="1">
        <f t="array" ref="M82">IF(L82="",0,_xlfn.SWITCH(L82,"A1",495,"A2",495,"A3",495,"Custom",0,595))</f>
        <v>595</v>
      </c>
      <c r="N82" s="51" cm="1">
        <f t="array" ref="N82">IF(L82="",0,_xlfn.SWITCH(L82,"C1",325,"C2",325,"C3",325,"D1",380,"D2",380,"D3",380,"Custom",0,285))</f>
        <v>380</v>
      </c>
      <c r="O82" s="51">
        <f>IF(L82="",0,_xlfn.SWITCH(L82,"A1",375,"B1",375,"C1",375,"D1",375,"A2",310,"B2",310,"C2",310,"D2",310,"Custom",0,260))</f>
        <v>375</v>
      </c>
      <c r="P82" s="51">
        <f>IFERROR(IF(OR(M82=0,N82=0),0,(M82+N82)*2+11),0)</f>
        <v>1961</v>
      </c>
      <c r="Q82" s="51">
        <f>IFERROR(IF(OR(N82=0,O82=0),0,(N82+O82)-16),0)</f>
        <v>739</v>
      </c>
      <c r="R82" s="53">
        <f>P82*Q82/1000000</f>
        <v>1.449179</v>
      </c>
      <c r="S82" s="123">
        <f>IFERROR(VLOOKUP(L82,'Carton Sizes Chart'!$A$4:$E$15,5,FALSE),0)</f>
        <v>1.39</v>
      </c>
      <c r="T82" s="124">
        <f>S82</f>
        <v>1.39</v>
      </c>
      <c r="U82" s="124">
        <f>I82*T82</f>
        <v>12.51</v>
      </c>
      <c r="V82" s="123">
        <f>((T82*I82)-W82)*4%</f>
        <v>0.47537999999999997</v>
      </c>
      <c r="W82" s="124">
        <f>S82*I82*5%</f>
        <v>0.62550000000000006</v>
      </c>
      <c r="X82" s="113"/>
    </row>
    <row r="83" spans="1:24">
      <c r="A83" s="118">
        <v>46249</v>
      </c>
      <c r="B83" s="118">
        <v>46252</v>
      </c>
      <c r="C83" s="119"/>
      <c r="D83" s="118" t="s">
        <v>200</v>
      </c>
      <c r="E83" s="118" t="s">
        <v>201</v>
      </c>
      <c r="F83" s="118" t="s">
        <v>129</v>
      </c>
      <c r="G83" s="119" t="s">
        <v>208</v>
      </c>
      <c r="H83" s="119">
        <v>7136197</v>
      </c>
      <c r="I83" s="119">
        <v>20</v>
      </c>
      <c r="J83" s="119" t="s">
        <v>95</v>
      </c>
      <c r="K83" s="119" t="s">
        <v>110</v>
      </c>
      <c r="L83" s="119" t="s">
        <v>45</v>
      </c>
      <c r="M83" s="51" cm="1">
        <f t="array" ref="M83">IF(L83="",0,_xlfn.SWITCH(L83,"A1",495,"A2",495,"A3",495,"Custom",0,595))</f>
        <v>595</v>
      </c>
      <c r="N83" s="51" cm="1">
        <f t="array" ref="N83">IF(L83="",0,_xlfn.SWITCH(L83,"C1",325,"C2",325,"C3",325,"D1",380,"D2",380,"D3",380,"Custom",0,285))</f>
        <v>325</v>
      </c>
      <c r="O83" s="51">
        <f>IF(L83="",0,_xlfn.SWITCH(L83,"A1",375,"B1",375,"C1",375,"D1",375,"A2",310,"B2",310,"C2",310,"D2",310,"Custom",0,260))</f>
        <v>375</v>
      </c>
      <c r="P83" s="51">
        <f>IFERROR(IF(OR(M83=0,N83=0),0,(M83+N83)*2+11),0)</f>
        <v>1851</v>
      </c>
      <c r="Q83" s="51">
        <f>IFERROR(IF(OR(N83=0,O83=0),0,(N83+O83)-16),0)</f>
        <v>684</v>
      </c>
      <c r="R83" s="53">
        <f>P83*Q83/1000000</f>
        <v>1.266084</v>
      </c>
      <c r="S83" s="123">
        <f>IFERROR(VLOOKUP(L83,'Carton Sizes Chart'!$A$4:$E$15,5,FALSE),0)</f>
        <v>1.22</v>
      </c>
      <c r="T83" s="124">
        <f>S83</f>
        <v>1.22</v>
      </c>
      <c r="U83" s="124">
        <f>I83*T83</f>
        <v>24.4</v>
      </c>
      <c r="V83" s="123">
        <f>((T83*I83)-W83)*4%</f>
        <v>0.92720000000000002</v>
      </c>
      <c r="W83" s="124">
        <f>S83*I83*5%</f>
        <v>1.22</v>
      </c>
      <c r="X83" s="113"/>
    </row>
    <row r="84" spans="1:24">
      <c r="A84" s="118">
        <v>46249</v>
      </c>
      <c r="B84" s="118">
        <v>46252</v>
      </c>
      <c r="C84" s="119"/>
      <c r="D84" s="118" t="s">
        <v>200</v>
      </c>
      <c r="E84" s="118" t="s">
        <v>201</v>
      </c>
      <c r="F84" s="118" t="s">
        <v>129</v>
      </c>
      <c r="G84" s="119" t="s">
        <v>208</v>
      </c>
      <c r="H84" s="119">
        <v>7136197</v>
      </c>
      <c r="I84" s="119">
        <v>14</v>
      </c>
      <c r="J84" s="119" t="s">
        <v>95</v>
      </c>
      <c r="K84" s="119" t="s">
        <v>110</v>
      </c>
      <c r="L84" s="119" t="s">
        <v>48</v>
      </c>
      <c r="M84" s="51" cm="1">
        <f t="array" ref="M84">IF(L84="",0,_xlfn.SWITCH(L84,"A1",495,"A2",495,"A3",495,"Custom",0,595))</f>
        <v>595</v>
      </c>
      <c r="N84" s="51" cm="1">
        <f t="array" ref="N84">IF(L84="",0,_xlfn.SWITCH(L84,"C1",325,"C2",325,"C3",325,"D1",380,"D2",380,"D3",380,"Custom",0,285))</f>
        <v>380</v>
      </c>
      <c r="O84" s="51">
        <f>IF(L84="",0,_xlfn.SWITCH(L84,"A1",375,"B1",375,"C1",375,"D1",375,"A2",310,"B2",310,"C2",310,"D2",310,"Custom",0,260))</f>
        <v>375</v>
      </c>
      <c r="P84" s="51">
        <f>IFERROR(IF(OR(M84=0,N84=0),0,(M84+N84)*2+11),0)</f>
        <v>1961</v>
      </c>
      <c r="Q84" s="51">
        <f>IFERROR(IF(OR(N84=0,O84=0),0,(N84+O84)-16),0)</f>
        <v>739</v>
      </c>
      <c r="R84" s="53">
        <f>P84*Q84/1000000</f>
        <v>1.449179</v>
      </c>
      <c r="S84" s="123">
        <f>IFERROR(VLOOKUP(L84,'Carton Sizes Chart'!$A$4:$E$15,5,FALSE),0)</f>
        <v>1.39</v>
      </c>
      <c r="T84" s="124">
        <f>S84</f>
        <v>1.39</v>
      </c>
      <c r="U84" s="124">
        <f>I84*T84</f>
        <v>19.459999999999997</v>
      </c>
      <c r="V84" s="123">
        <f>((T84*I84)-W84)*4%</f>
        <v>0.73947999999999992</v>
      </c>
      <c r="W84" s="124">
        <f>S84*I84*5%</f>
        <v>0.97299999999999986</v>
      </c>
      <c r="X84" s="113"/>
    </row>
    <row r="85" spans="1:24">
      <c r="A85" s="118">
        <v>46250</v>
      </c>
      <c r="B85" s="118">
        <v>46251</v>
      </c>
      <c r="C85" s="119"/>
      <c r="D85" s="118" t="s">
        <v>200</v>
      </c>
      <c r="E85" s="118" t="s">
        <v>210</v>
      </c>
      <c r="F85" s="118" t="s">
        <v>129</v>
      </c>
      <c r="G85" s="119" t="s">
        <v>215</v>
      </c>
      <c r="H85" s="119">
        <v>7136359</v>
      </c>
      <c r="I85" s="121">
        <v>1350</v>
      </c>
      <c r="J85" s="119" t="s">
        <v>95</v>
      </c>
      <c r="K85" s="119" t="s">
        <v>110</v>
      </c>
      <c r="L85" s="119" t="s">
        <v>42</v>
      </c>
      <c r="M85" s="51" cm="1">
        <f t="array" ref="M85">IF(L85="",0,_xlfn.SWITCH(L85,"A1",495,"A2",495,"A3",495,"Custom",0,595))</f>
        <v>595</v>
      </c>
      <c r="N85" s="51" cm="1">
        <f t="array" ref="N85">IF(L85="",0,_xlfn.SWITCH(L85,"C1",325,"C2",325,"C3",325,"D1",380,"D2",380,"D3",380,"Custom",0,285))</f>
        <v>285</v>
      </c>
      <c r="O85" s="51">
        <f>IF(L85="",0,_xlfn.SWITCH(L85,"A1",375,"B1",375,"C1",375,"D1",375,"A2",310,"B2",310,"C2",310,"D2",310,"Custom",0,260))</f>
        <v>375</v>
      </c>
      <c r="P85" s="51">
        <f>IFERROR(IF(OR(M85=0,N85=0),0,(M85+N85)*2+11),0)</f>
        <v>1771</v>
      </c>
      <c r="Q85" s="51">
        <f>IFERROR(IF(OR(N85=0,O85=0),0,(N85+O85)-16),0)</f>
        <v>644</v>
      </c>
      <c r="R85" s="53">
        <f>P85*Q85/1000000</f>
        <v>1.1405240000000001</v>
      </c>
      <c r="S85" s="123">
        <f>IFERROR(VLOOKUP(L85,'Carton Sizes Chart'!$A$4:$E$15,5,FALSE),0)</f>
        <v>1.1000000000000001</v>
      </c>
      <c r="T85" s="124">
        <f>S85</f>
        <v>1.1000000000000001</v>
      </c>
      <c r="U85" s="124">
        <f>I85*T85</f>
        <v>1485.0000000000002</v>
      </c>
      <c r="V85" s="123">
        <f>((T85*I85)-W85)*4%</f>
        <v>56.430000000000007</v>
      </c>
      <c r="W85" s="124">
        <f>S85*I85*5%</f>
        <v>74.250000000000014</v>
      </c>
      <c r="X85" s="113"/>
    </row>
    <row r="86" spans="1:24">
      <c r="A86" s="118">
        <v>46250</v>
      </c>
      <c r="B86" s="118">
        <v>46251</v>
      </c>
      <c r="C86" s="119"/>
      <c r="D86" s="118" t="s">
        <v>200</v>
      </c>
      <c r="E86" s="118" t="s">
        <v>210</v>
      </c>
      <c r="F86" s="118" t="s">
        <v>129</v>
      </c>
      <c r="G86" s="119" t="s">
        <v>214</v>
      </c>
      <c r="H86" s="119">
        <v>7136365</v>
      </c>
      <c r="I86" s="121">
        <v>1075</v>
      </c>
      <c r="J86" s="119" t="s">
        <v>95</v>
      </c>
      <c r="K86" s="119" t="s">
        <v>110</v>
      </c>
      <c r="L86" s="119" t="s">
        <v>42</v>
      </c>
      <c r="M86" s="51" cm="1">
        <f t="array" ref="M86">IF(L86="",0,_xlfn.SWITCH(L86,"A1",495,"A2",495,"A3",495,"Custom",0,595))</f>
        <v>595</v>
      </c>
      <c r="N86" s="51" cm="1">
        <f t="array" ref="N86">IF(L86="",0,_xlfn.SWITCH(L86,"C1",325,"C2",325,"C3",325,"D1",380,"D2",380,"D3",380,"Custom",0,285))</f>
        <v>285</v>
      </c>
      <c r="O86" s="51">
        <f>IF(L86="",0,_xlfn.SWITCH(L86,"A1",375,"B1",375,"C1",375,"D1",375,"A2",310,"B2",310,"C2",310,"D2",310,"Custom",0,260))</f>
        <v>375</v>
      </c>
      <c r="P86" s="51">
        <f>IFERROR(IF(OR(M86=0,N86=0),0,(M86+N86)*2+11),0)</f>
        <v>1771</v>
      </c>
      <c r="Q86" s="51">
        <f>IFERROR(IF(OR(N86=0,O86=0),0,(N86+O86)-16),0)</f>
        <v>644</v>
      </c>
      <c r="R86" s="53">
        <f>P86*Q86/1000000</f>
        <v>1.1405240000000001</v>
      </c>
      <c r="S86" s="123">
        <f>IFERROR(VLOOKUP(L86,'Carton Sizes Chart'!$A$4:$E$15,5,FALSE),0)</f>
        <v>1.1000000000000001</v>
      </c>
      <c r="T86" s="124">
        <f>S86</f>
        <v>1.1000000000000001</v>
      </c>
      <c r="U86" s="124">
        <f>I86*T86</f>
        <v>1182.5</v>
      </c>
      <c r="V86" s="123">
        <f>((T86*I86)-W86)*4%</f>
        <v>44.935000000000002</v>
      </c>
      <c r="W86" s="124">
        <f>S86*I86*5%</f>
        <v>59.125</v>
      </c>
      <c r="X86" s="113"/>
    </row>
    <row r="87" spans="1:24">
      <c r="A87" s="118">
        <v>46250</v>
      </c>
      <c r="B87" s="118">
        <v>46251</v>
      </c>
      <c r="C87" s="119"/>
      <c r="D87" s="118" t="s">
        <v>200</v>
      </c>
      <c r="E87" s="118" t="s">
        <v>210</v>
      </c>
      <c r="F87" s="118" t="s">
        <v>129</v>
      </c>
      <c r="G87" s="119" t="s">
        <v>213</v>
      </c>
      <c r="H87" s="119">
        <v>7136368</v>
      </c>
      <c r="I87" s="121">
        <v>160</v>
      </c>
      <c r="J87" s="119" t="s">
        <v>95</v>
      </c>
      <c r="K87" s="119" t="s">
        <v>110</v>
      </c>
      <c r="L87" s="119" t="s">
        <v>42</v>
      </c>
      <c r="M87" s="51" cm="1">
        <f t="array" ref="M87">IF(L87="",0,_xlfn.SWITCH(L87,"A1",495,"A2",495,"A3",495,"Custom",0,595))</f>
        <v>595</v>
      </c>
      <c r="N87" s="51" cm="1">
        <f t="array" ref="N87">IF(L87="",0,_xlfn.SWITCH(L87,"C1",325,"C2",325,"C3",325,"D1",380,"D2",380,"D3",380,"Custom",0,285))</f>
        <v>285</v>
      </c>
      <c r="O87" s="51">
        <f>IF(L87="",0,_xlfn.SWITCH(L87,"A1",375,"B1",375,"C1",375,"D1",375,"A2",310,"B2",310,"C2",310,"D2",310,"Custom",0,260))</f>
        <v>375</v>
      </c>
      <c r="P87" s="51">
        <f>IFERROR(IF(OR(M87=0,N87=0),0,(M87+N87)*2+11),0)</f>
        <v>1771</v>
      </c>
      <c r="Q87" s="51">
        <f>IFERROR(IF(OR(N87=0,O87=0),0,(N87+O87)-16),0)</f>
        <v>644</v>
      </c>
      <c r="R87" s="53">
        <f>P87*Q87/1000000</f>
        <v>1.1405240000000001</v>
      </c>
      <c r="S87" s="123">
        <f>IFERROR(VLOOKUP(L87,'Carton Sizes Chart'!$A$4:$E$15,5,FALSE),0)</f>
        <v>1.1000000000000001</v>
      </c>
      <c r="T87" s="124">
        <f>S87</f>
        <v>1.1000000000000001</v>
      </c>
      <c r="U87" s="124">
        <f>I87*T87</f>
        <v>176</v>
      </c>
      <c r="V87" s="123">
        <f>((T87*I87)-W87)*4%</f>
        <v>6.6879999999999997</v>
      </c>
      <c r="W87" s="124">
        <f>S87*I87*5%</f>
        <v>8.8000000000000007</v>
      </c>
      <c r="X87" s="113"/>
    </row>
    <row r="88" spans="1:24">
      <c r="A88" s="118">
        <v>46258</v>
      </c>
      <c r="B88" s="118">
        <v>46263</v>
      </c>
      <c r="C88" s="119"/>
      <c r="D88" s="118" t="s">
        <v>188</v>
      </c>
      <c r="E88" s="118" t="s">
        <v>188</v>
      </c>
      <c r="F88" s="118" t="s">
        <v>129</v>
      </c>
      <c r="G88" s="119" t="s">
        <v>191</v>
      </c>
      <c r="H88" s="119">
        <v>7142233</v>
      </c>
      <c r="I88" s="119">
        <v>560</v>
      </c>
      <c r="J88" s="119" t="s">
        <v>95</v>
      </c>
      <c r="K88" s="119" t="s">
        <v>110</v>
      </c>
      <c r="L88" s="119" t="s">
        <v>45</v>
      </c>
      <c r="M88" s="51" cm="1">
        <f t="array" ref="M88">IF(L88="",0,_xlfn.SWITCH(L88,"A1",495,"A2",495,"A3",495,"Custom",0,595))</f>
        <v>595</v>
      </c>
      <c r="N88" s="51" cm="1">
        <f t="array" ref="N88">IF(L88="",0,_xlfn.SWITCH(L88,"C1",325,"C2",325,"C3",325,"D1",380,"D2",380,"D3",380,"Custom",0,285))</f>
        <v>325</v>
      </c>
      <c r="O88" s="51">
        <f>IF(L88="",0,_xlfn.SWITCH(L88,"A1",375,"B1",375,"C1",375,"D1",375,"A2",310,"B2",310,"C2",310,"D2",310,"Custom",0,260))</f>
        <v>375</v>
      </c>
      <c r="P88" s="51">
        <f>IFERROR(IF(OR(M88=0,N88=0),0,(M88+N88)*2+11),0)</f>
        <v>1851</v>
      </c>
      <c r="Q88" s="51">
        <f>IFERROR(IF(OR(N88=0,O88=0),0,(N88+O88)-16),0)</f>
        <v>684</v>
      </c>
      <c r="R88" s="53">
        <f>P88*Q88/1000000</f>
        <v>1.266084</v>
      </c>
      <c r="S88" s="123">
        <f>IFERROR(VLOOKUP(L88,'Carton Sizes Chart'!$A$4:$E$15,5,FALSE),0)</f>
        <v>1.22</v>
      </c>
      <c r="T88" s="124">
        <f>S88</f>
        <v>1.22</v>
      </c>
      <c r="U88" s="124">
        <f>I88*T88</f>
        <v>683.19999999999993</v>
      </c>
      <c r="V88" s="123">
        <f>((T88*I88)-W88)*4%</f>
        <v>25.961600000000001</v>
      </c>
      <c r="W88" s="124">
        <f>S88*I88*5%</f>
        <v>34.159999999999997</v>
      </c>
      <c r="X88" s="113"/>
    </row>
    <row r="89" spans="1:24">
      <c r="A89" s="118">
        <v>46259</v>
      </c>
      <c r="B89" s="118">
        <v>46263</v>
      </c>
      <c r="C89" s="119"/>
      <c r="D89" s="118" t="s">
        <v>200</v>
      </c>
      <c r="E89" s="118" t="s">
        <v>201</v>
      </c>
      <c r="F89" s="118" t="s">
        <v>129</v>
      </c>
      <c r="G89" s="119" t="s">
        <v>209</v>
      </c>
      <c r="H89" s="119">
        <v>7142671</v>
      </c>
      <c r="I89" s="121">
        <v>29</v>
      </c>
      <c r="J89" s="119" t="s">
        <v>95</v>
      </c>
      <c r="K89" s="119" t="s">
        <v>110</v>
      </c>
      <c r="L89" s="119" t="s">
        <v>45</v>
      </c>
      <c r="M89" s="51" cm="1">
        <f t="array" ref="M89">IF(L89="",0,_xlfn.SWITCH(L89,"A1",495,"A2",495,"A3",495,"Custom",0,595))</f>
        <v>595</v>
      </c>
      <c r="N89" s="51" cm="1">
        <f t="array" ref="N89">IF(L89="",0,_xlfn.SWITCH(L89,"C1",325,"C2",325,"C3",325,"D1",380,"D2",380,"D3",380,"Custom",0,285))</f>
        <v>325</v>
      </c>
      <c r="O89" s="51">
        <f>IF(L89="",0,_xlfn.SWITCH(L89,"A1",375,"B1",375,"C1",375,"D1",375,"A2",310,"B2",310,"C2",310,"D2",310,"Custom",0,260))</f>
        <v>375</v>
      </c>
      <c r="P89" s="51">
        <f>IFERROR(IF(OR(M89=0,N89=0),0,(M89+N89)*2+11),0)</f>
        <v>1851</v>
      </c>
      <c r="Q89" s="51">
        <f>IFERROR(IF(OR(N89=0,O89=0),0,(N89+O89)-16),0)</f>
        <v>684</v>
      </c>
      <c r="R89" s="53">
        <f>P89*Q89/1000000</f>
        <v>1.266084</v>
      </c>
      <c r="S89" s="123">
        <f>IFERROR(VLOOKUP(L89,'Carton Sizes Chart'!$A$4:$E$15,5,FALSE),0)</f>
        <v>1.22</v>
      </c>
      <c r="T89" s="124">
        <f>S89</f>
        <v>1.22</v>
      </c>
      <c r="U89" s="124">
        <f>I89*T89</f>
        <v>35.380000000000003</v>
      </c>
      <c r="V89" s="123">
        <f>((T89*I89)-W89)*4%</f>
        <v>1.3444400000000003</v>
      </c>
      <c r="W89" s="124">
        <f>S89*I89*5%</f>
        <v>1.7690000000000001</v>
      </c>
      <c r="X89" s="113"/>
    </row>
    <row r="90" spans="1:24">
      <c r="A90" s="118">
        <v>46261</v>
      </c>
      <c r="B90" s="118">
        <v>46261</v>
      </c>
      <c r="C90" s="119"/>
      <c r="D90" s="118" t="s">
        <v>188</v>
      </c>
      <c r="E90" s="118" t="s">
        <v>188</v>
      </c>
      <c r="F90" s="118" t="s">
        <v>129</v>
      </c>
      <c r="G90" s="119" t="s">
        <v>192</v>
      </c>
      <c r="H90" s="119">
        <v>7143645</v>
      </c>
      <c r="I90" s="121">
        <v>12</v>
      </c>
      <c r="J90" s="119" t="s">
        <v>95</v>
      </c>
      <c r="K90" s="119" t="s">
        <v>110</v>
      </c>
      <c r="L90" s="119" t="s">
        <v>123</v>
      </c>
      <c r="M90" s="51">
        <v>550</v>
      </c>
      <c r="N90" s="51">
        <v>420</v>
      </c>
      <c r="O90" s="51">
        <v>350</v>
      </c>
      <c r="P90" s="51">
        <f>IFERROR(IF(OR(M90=0,N90=0),0,(M90+N90)*2+11),0)</f>
        <v>1951</v>
      </c>
      <c r="Q90" s="51">
        <f>IFERROR(IF(OR(N90=0,O90=0),0,(N90+O90)-16),0)</f>
        <v>754</v>
      </c>
      <c r="R90" s="53">
        <f>P90*Q90/1000000</f>
        <v>1.4710540000000001</v>
      </c>
      <c r="S90" s="129">
        <f>IF(L90="Custom", R90*'[1]RFQ_Matalan Carton'!$M$40, IFERROR(VLOOKUP(L90,'[1]Carton Sizes Chart'!$A$4:$E$15,5,FALSE),0))</f>
        <v>1.4122118400000001</v>
      </c>
      <c r="T90" s="124">
        <f>S90</f>
        <v>1.4122118400000001</v>
      </c>
      <c r="U90" s="124">
        <f>I90*T90</f>
        <v>16.94654208</v>
      </c>
      <c r="V90" s="123">
        <f>((T90*I90)-W90)*4%</f>
        <v>0.64396859903999992</v>
      </c>
      <c r="W90" s="124">
        <f>S90*I90*5%</f>
        <v>0.84732710400000011</v>
      </c>
      <c r="X90" s="113"/>
    </row>
    <row r="91" spans="1:24">
      <c r="A91" s="118"/>
      <c r="B91" s="118"/>
      <c r="C91" s="119"/>
      <c r="D91" s="118"/>
      <c r="E91" s="118"/>
      <c r="F91" s="118"/>
      <c r="G91" s="119"/>
      <c r="H91" s="119"/>
      <c r="I91" s="121"/>
      <c r="J91" s="119" t="s">
        <v>95</v>
      </c>
      <c r="K91" s="119" t="s">
        <v>110</v>
      </c>
      <c r="L91" s="119" t="s">
        <v>123</v>
      </c>
      <c r="M91" s="51" cm="1">
        <f t="array" ref="M91">IF(L91="",0,_xlfn.SWITCH(L91,"A1",495,"A2",495,"A3",495,"Custom",0,595))</f>
        <v>0</v>
      </c>
      <c r="N91" s="51" cm="1">
        <f t="array" ref="N91">IF(L91="",0,_xlfn.SWITCH(L91,"C1",325,"C2",325,"C3",325,"D1",380,"D2",380,"D3",380,"Custom",0,285))</f>
        <v>0</v>
      </c>
      <c r="O91" s="51">
        <f>IF(L91="",0,_xlfn.SWITCH(L91,"A1",375,"B1",375,"C1",375,"D1",375,"A2",310,"B2",310,"C2",310,"D2",310,"Custom",0,260))</f>
        <v>0</v>
      </c>
      <c r="P91" s="51">
        <f>IFERROR(IF(OR(M91=0,N91=0),0,(M91+N91)*2+11),0)</f>
        <v>0</v>
      </c>
      <c r="Q91" s="51">
        <f>IFERROR(IF(OR(N91=0,O91=0),0,(N91+O91)-16),0)</f>
        <v>0</v>
      </c>
      <c r="R91" s="53">
        <f>P91*Q91/1000000</f>
        <v>0</v>
      </c>
      <c r="S91" s="123">
        <f>IFERROR(VLOOKUP(L91,'Carton Sizes Chart'!$A$4:$E$15,5,FALSE),0)</f>
        <v>0</v>
      </c>
      <c r="T91" s="124">
        <f>S91</f>
        <v>0</v>
      </c>
      <c r="U91" s="124">
        <f>I91*T91</f>
        <v>0</v>
      </c>
      <c r="V91" s="123">
        <f>((T91*I91)-W91)*4%</f>
        <v>0</v>
      </c>
      <c r="W91" s="124">
        <f>S91*I91*5%</f>
        <v>0</v>
      </c>
      <c r="X91" s="113"/>
    </row>
    <row r="92" spans="1:24">
      <c r="A92" s="118"/>
      <c r="B92" s="118"/>
      <c r="C92" s="119"/>
      <c r="D92" s="118"/>
      <c r="E92" s="118"/>
      <c r="F92" s="118"/>
      <c r="G92" s="119"/>
      <c r="H92" s="119"/>
      <c r="I92" s="121"/>
      <c r="J92" s="119" t="s">
        <v>95</v>
      </c>
      <c r="K92" s="119" t="s">
        <v>110</v>
      </c>
      <c r="L92" s="119" t="s">
        <v>123</v>
      </c>
      <c r="M92" s="51" cm="1">
        <f t="array" ref="M92">IF(L92="",0,_xlfn.SWITCH(L92,"A1",495,"A2",495,"A3",495,"Custom",0,595))</f>
        <v>0</v>
      </c>
      <c r="N92" s="51" cm="1">
        <f t="array" ref="N92">IF(L92="",0,_xlfn.SWITCH(L92,"C1",325,"C2",325,"C3",325,"D1",380,"D2",380,"D3",380,"Custom",0,285))</f>
        <v>0</v>
      </c>
      <c r="O92" s="51">
        <f>IF(L92="",0,_xlfn.SWITCH(L92,"A1",375,"B1",375,"C1",375,"D1",375,"A2",310,"B2",310,"C2",310,"D2",310,"Custom",0,260))</f>
        <v>0</v>
      </c>
      <c r="P92" s="51">
        <f>IFERROR(IF(OR(M92=0,N92=0),0,(M92+N92)*2+11),0)</f>
        <v>0</v>
      </c>
      <c r="Q92" s="51">
        <f>IFERROR(IF(OR(N92=0,O92=0),0,(N92+O92)-16),0)</f>
        <v>0</v>
      </c>
      <c r="R92" s="53">
        <f>P92*Q92/1000000</f>
        <v>0</v>
      </c>
      <c r="S92" s="123">
        <f>IFERROR(VLOOKUP(L92,'Carton Sizes Chart'!$A$4:$E$15,5,FALSE),0)</f>
        <v>0</v>
      </c>
      <c r="T92" s="124">
        <f>S92</f>
        <v>0</v>
      </c>
      <c r="U92" s="124">
        <f>I92*T92</f>
        <v>0</v>
      </c>
      <c r="V92" s="123">
        <f>((T92*I92)-W92)*4%</f>
        <v>0</v>
      </c>
      <c r="W92" s="124">
        <f>S92*I92*5%</f>
        <v>0</v>
      </c>
      <c r="X92" s="113"/>
    </row>
    <row r="93" spans="1:24">
      <c r="A93" s="118"/>
      <c r="B93" s="118"/>
      <c r="C93" s="119"/>
      <c r="D93" s="118"/>
      <c r="E93" s="118"/>
      <c r="F93" s="118"/>
      <c r="G93" s="119"/>
      <c r="H93" s="119"/>
      <c r="I93" s="121"/>
      <c r="J93" s="119" t="s">
        <v>95</v>
      </c>
      <c r="K93" s="119" t="s">
        <v>110</v>
      </c>
      <c r="L93" s="119" t="s">
        <v>123</v>
      </c>
      <c r="M93" s="51" cm="1">
        <f t="array" ref="M93">IF(L93="",0,_xlfn.SWITCH(L93,"A1",495,"A2",495,"A3",495,"Custom",0,595))</f>
        <v>0</v>
      </c>
      <c r="N93" s="51" cm="1">
        <f t="array" ref="N93">IF(L93="",0,_xlfn.SWITCH(L93,"C1",325,"C2",325,"C3",325,"D1",380,"D2",380,"D3",380,"Custom",0,285))</f>
        <v>0</v>
      </c>
      <c r="O93" s="51">
        <f>IF(L93="",0,_xlfn.SWITCH(L93,"A1",375,"B1",375,"C1",375,"D1",375,"A2",310,"B2",310,"C2",310,"D2",310,"Custom",0,260))</f>
        <v>0</v>
      </c>
      <c r="P93" s="51">
        <f>IFERROR(IF(OR(M93=0,N93=0),0,(M93+N93)*2+11),0)</f>
        <v>0</v>
      </c>
      <c r="Q93" s="51">
        <f>IFERROR(IF(OR(N93=0,O93=0),0,(N93+O93)-16),0)</f>
        <v>0</v>
      </c>
      <c r="R93" s="53">
        <f>P93*Q93/1000000</f>
        <v>0</v>
      </c>
      <c r="S93" s="123">
        <f>IFERROR(VLOOKUP(L93,'Carton Sizes Chart'!$A$4:$E$15,5,FALSE),0)</f>
        <v>0</v>
      </c>
      <c r="T93" s="124">
        <f>S93</f>
        <v>0</v>
      </c>
      <c r="U93" s="124">
        <f>I93*T93</f>
        <v>0</v>
      </c>
      <c r="V93" s="123">
        <f>((T93*I93)-W93)*4%</f>
        <v>0</v>
      </c>
      <c r="W93" s="124">
        <f>S93*I93*5%</f>
        <v>0</v>
      </c>
      <c r="X93" s="113"/>
    </row>
    <row r="94" spans="1:24">
      <c r="A94" s="118"/>
      <c r="B94" s="118"/>
      <c r="C94" s="119"/>
      <c r="D94" s="118"/>
      <c r="E94" s="118"/>
      <c r="F94" s="118"/>
      <c r="G94" s="119"/>
      <c r="H94" s="119"/>
      <c r="I94" s="121"/>
      <c r="J94" s="119" t="s">
        <v>95</v>
      </c>
      <c r="K94" s="119" t="s">
        <v>110</v>
      </c>
      <c r="L94" s="119" t="s">
        <v>123</v>
      </c>
      <c r="M94" s="51" cm="1">
        <f t="array" ref="M94">IF(L94="",0,_xlfn.SWITCH(L94,"A1",495,"A2",495,"A3",495,"Custom",0,595))</f>
        <v>0</v>
      </c>
      <c r="N94" s="51" cm="1">
        <f t="array" ref="N94">IF(L94="",0,_xlfn.SWITCH(L94,"C1",325,"C2",325,"C3",325,"D1",380,"D2",380,"D3",380,"Custom",0,285))</f>
        <v>0</v>
      </c>
      <c r="O94" s="51">
        <f>IF(L94="",0,_xlfn.SWITCH(L94,"A1",375,"B1",375,"C1",375,"D1",375,"A2",310,"B2",310,"C2",310,"D2",310,"Custom",0,260))</f>
        <v>0</v>
      </c>
      <c r="P94" s="51">
        <f>IFERROR(IF(OR(M94=0,N94=0),0,(M94+N94)*2+11),0)</f>
        <v>0</v>
      </c>
      <c r="Q94" s="51">
        <f>IFERROR(IF(OR(N94=0,O94=0),0,(N94+O94)-16),0)</f>
        <v>0</v>
      </c>
      <c r="R94" s="53">
        <f>P94*Q94/1000000</f>
        <v>0</v>
      </c>
      <c r="S94" s="123">
        <f>IFERROR(VLOOKUP(L94,'Carton Sizes Chart'!$A$4:$E$15,5,FALSE),0)</f>
        <v>0</v>
      </c>
      <c r="T94" s="124">
        <f>S94</f>
        <v>0</v>
      </c>
      <c r="U94" s="124">
        <f>I94*T94</f>
        <v>0</v>
      </c>
      <c r="V94" s="123">
        <f>((T94*I94)-W94)*4%</f>
        <v>0</v>
      </c>
      <c r="W94" s="124">
        <f>S94*I94*5%</f>
        <v>0</v>
      </c>
      <c r="X94" s="113"/>
    </row>
    <row r="95" spans="1:24">
      <c r="A95" s="118"/>
      <c r="B95" s="118"/>
      <c r="C95" s="119"/>
      <c r="D95" s="118"/>
      <c r="E95" s="118"/>
      <c r="F95" s="118"/>
      <c r="G95" s="119"/>
      <c r="H95" s="119"/>
      <c r="I95" s="121"/>
      <c r="J95" s="119" t="s">
        <v>95</v>
      </c>
      <c r="K95" s="119" t="s">
        <v>110</v>
      </c>
      <c r="L95" s="119" t="s">
        <v>123</v>
      </c>
      <c r="M95" s="51" cm="1">
        <f t="array" ref="M95">IF(L95="",0,_xlfn.SWITCH(L95,"A1",495,"A2",495,"A3",495,"Custom",0,595))</f>
        <v>0</v>
      </c>
      <c r="N95" s="51" cm="1">
        <f t="array" ref="N95">IF(L95="",0,_xlfn.SWITCH(L95,"C1",325,"C2",325,"C3",325,"D1",380,"D2",380,"D3",380,"Custom",0,285))</f>
        <v>0</v>
      </c>
      <c r="O95" s="51">
        <f>IF(L95="",0,_xlfn.SWITCH(L95,"A1",375,"B1",375,"C1",375,"D1",375,"A2",310,"B2",310,"C2",310,"D2",310,"Custom",0,260))</f>
        <v>0</v>
      </c>
      <c r="P95" s="51">
        <f>IFERROR(IF(OR(M95=0,N95=0),0,(M95+N95)*2+11),0)</f>
        <v>0</v>
      </c>
      <c r="Q95" s="51">
        <f>IFERROR(IF(OR(N95=0,O95=0),0,(N95+O95)-16),0)</f>
        <v>0</v>
      </c>
      <c r="R95" s="53">
        <f>P95*Q95/1000000</f>
        <v>0</v>
      </c>
      <c r="S95" s="123">
        <f>IFERROR(VLOOKUP(L95,'Carton Sizes Chart'!$A$4:$E$15,5,FALSE),0)</f>
        <v>0</v>
      </c>
      <c r="T95" s="124">
        <f>S95</f>
        <v>0</v>
      </c>
      <c r="U95" s="124">
        <f>I95*T95</f>
        <v>0</v>
      </c>
      <c r="V95" s="123">
        <f>((T95*I95)-W95)*4%</f>
        <v>0</v>
      </c>
      <c r="W95" s="124">
        <f>S95*I95*5%</f>
        <v>0</v>
      </c>
      <c r="X95" s="113"/>
    </row>
    <row r="96" spans="1:24">
      <c r="A96" s="118"/>
      <c r="B96" s="118"/>
      <c r="C96" s="119"/>
      <c r="D96" s="118"/>
      <c r="E96" s="118"/>
      <c r="F96" s="118"/>
      <c r="G96" s="119"/>
      <c r="H96" s="119"/>
      <c r="I96" s="121"/>
      <c r="J96" s="119" t="s">
        <v>95</v>
      </c>
      <c r="K96" s="119" t="s">
        <v>110</v>
      </c>
      <c r="L96" s="119" t="s">
        <v>123</v>
      </c>
      <c r="M96" s="51" cm="1">
        <f t="array" ref="M96">IF(L96="",0,_xlfn.SWITCH(L96,"A1",495,"A2",495,"A3",495,"Custom",0,595))</f>
        <v>0</v>
      </c>
      <c r="N96" s="51" cm="1">
        <f t="array" ref="N96">IF(L96="",0,_xlfn.SWITCH(L96,"C1",325,"C2",325,"C3",325,"D1",380,"D2",380,"D3",380,"Custom",0,285))</f>
        <v>0</v>
      </c>
      <c r="O96" s="51">
        <f>IF(L96="",0,_xlfn.SWITCH(L96,"A1",375,"B1",375,"C1",375,"D1",375,"A2",310,"B2",310,"C2",310,"D2",310,"Custom",0,260))</f>
        <v>0</v>
      </c>
      <c r="P96" s="51">
        <f>IFERROR(IF(OR(M96=0,N96=0),0,(M96+N96)*2+11),0)</f>
        <v>0</v>
      </c>
      <c r="Q96" s="51">
        <f>IFERROR(IF(OR(N96=0,O96=0),0,(N96+O96)-16),0)</f>
        <v>0</v>
      </c>
      <c r="R96" s="53">
        <f>P96*Q96/1000000</f>
        <v>0</v>
      </c>
      <c r="S96" s="123">
        <f>IFERROR(VLOOKUP(L96,'Carton Sizes Chart'!$A$4:$E$15,5,FALSE),0)</f>
        <v>0</v>
      </c>
      <c r="T96" s="124">
        <f>S96</f>
        <v>0</v>
      </c>
      <c r="U96" s="124">
        <f>I96*T96</f>
        <v>0</v>
      </c>
      <c r="V96" s="123">
        <f>((T96*I96)-W96)*4%</f>
        <v>0</v>
      </c>
      <c r="W96" s="124">
        <f>S96*I96*5%</f>
        <v>0</v>
      </c>
      <c r="X96" s="113"/>
    </row>
    <row r="97" spans="1:24">
      <c r="A97" s="118"/>
      <c r="B97" s="118"/>
      <c r="C97" s="119"/>
      <c r="D97" s="118"/>
      <c r="E97" s="118"/>
      <c r="F97" s="118"/>
      <c r="G97" s="119"/>
      <c r="H97" s="119"/>
      <c r="I97" s="121"/>
      <c r="J97" s="119" t="s">
        <v>95</v>
      </c>
      <c r="K97" s="119" t="s">
        <v>110</v>
      </c>
      <c r="L97" s="119" t="s">
        <v>123</v>
      </c>
      <c r="M97" s="51" cm="1">
        <f t="array" ref="M97">IF(L97="",0,_xlfn.SWITCH(L97,"A1",495,"A2",495,"A3",495,"Custom",0,595))</f>
        <v>0</v>
      </c>
      <c r="N97" s="51" cm="1">
        <f t="array" ref="N97">IF(L97="",0,_xlfn.SWITCH(L97,"C1",325,"C2",325,"C3",325,"D1",380,"D2",380,"D3",380,"Custom",0,285))</f>
        <v>0</v>
      </c>
      <c r="O97" s="51">
        <f>IF(L97="",0,_xlfn.SWITCH(L97,"A1",375,"B1",375,"C1",375,"D1",375,"A2",310,"B2",310,"C2",310,"D2",310,"Custom",0,260))</f>
        <v>0</v>
      </c>
      <c r="P97" s="51">
        <f>IFERROR(IF(OR(M97=0,N97=0),0,(M97+N97)*2+11),0)</f>
        <v>0</v>
      </c>
      <c r="Q97" s="51">
        <f>IFERROR(IF(OR(N97=0,O97=0),0,(N97+O97)-16),0)</f>
        <v>0</v>
      </c>
      <c r="R97" s="53">
        <f>P97*Q97/1000000</f>
        <v>0</v>
      </c>
      <c r="S97" s="123">
        <f>IFERROR(VLOOKUP(L97,'Carton Sizes Chart'!$A$4:$E$15,5,FALSE),0)</f>
        <v>0</v>
      </c>
      <c r="T97" s="124">
        <f>S97</f>
        <v>0</v>
      </c>
      <c r="U97" s="124">
        <f>I97*T97</f>
        <v>0</v>
      </c>
      <c r="V97" s="123">
        <f>((T97*I97)-W97)*4%</f>
        <v>0</v>
      </c>
      <c r="W97" s="124">
        <f>S97*I97*5%</f>
        <v>0</v>
      </c>
      <c r="X97" s="113"/>
    </row>
    <row r="98" spans="1:24">
      <c r="A98" s="118"/>
      <c r="B98" s="118"/>
      <c r="C98" s="119"/>
      <c r="D98" s="118"/>
      <c r="E98" s="118"/>
      <c r="F98" s="118"/>
      <c r="G98" s="119"/>
      <c r="H98" s="121"/>
      <c r="I98" s="121"/>
      <c r="J98" s="119" t="s">
        <v>95</v>
      </c>
      <c r="K98" s="119" t="s">
        <v>110</v>
      </c>
      <c r="L98" s="119" t="s">
        <v>123</v>
      </c>
      <c r="M98" s="51" cm="1">
        <f t="array" ref="M98">IF(L98="",0,_xlfn.SWITCH(L98,"A1",495,"A2",495,"A3",495,"Custom",0,595))</f>
        <v>0</v>
      </c>
      <c r="N98" s="51" cm="1">
        <f t="array" ref="N98">IF(L98="",0,_xlfn.SWITCH(L98,"C1",325,"C2",325,"C3",325,"D1",380,"D2",380,"D3",380,"Custom",0,285))</f>
        <v>0</v>
      </c>
      <c r="O98" s="51">
        <f>IF(L98="",0,_xlfn.SWITCH(L98,"A1",375,"B1",375,"C1",375,"D1",375,"A2",310,"B2",310,"C2",310,"D2",310,"Custom",0,260))</f>
        <v>0</v>
      </c>
      <c r="P98" s="51">
        <f>IFERROR(IF(OR(M98=0,N98=0),0,(M98+N98)*2+11),0)</f>
        <v>0</v>
      </c>
      <c r="Q98" s="51">
        <f>IFERROR(IF(OR(N98=0,O98=0),0,(N98+O98)-16),0)</f>
        <v>0</v>
      </c>
      <c r="R98" s="53">
        <f>P98*Q98/1000000</f>
        <v>0</v>
      </c>
      <c r="S98" s="123">
        <f>IFERROR(VLOOKUP(L98,'Carton Sizes Chart'!$A$4:$E$15,5,FALSE),0)</f>
        <v>0</v>
      </c>
      <c r="T98" s="124">
        <f>S98</f>
        <v>0</v>
      </c>
      <c r="U98" s="124">
        <f>I98*T98</f>
        <v>0</v>
      </c>
      <c r="V98" s="123">
        <f>((T98*I98)-W98)*4%</f>
        <v>0</v>
      </c>
      <c r="W98" s="124">
        <f>S98*I98*5%</f>
        <v>0</v>
      </c>
      <c r="X98" s="113" t="s">
        <v>125</v>
      </c>
    </row>
    <row r="99" spans="1:24">
      <c r="A99" s="118"/>
      <c r="B99" s="118"/>
      <c r="C99" s="119"/>
      <c r="D99" s="118"/>
      <c r="E99" s="118"/>
      <c r="F99" s="118"/>
      <c r="G99" s="119"/>
      <c r="H99" s="119"/>
      <c r="I99" s="121"/>
      <c r="J99" s="119" t="s">
        <v>95</v>
      </c>
      <c r="K99" s="119" t="s">
        <v>110</v>
      </c>
      <c r="L99" s="119" t="s">
        <v>123</v>
      </c>
      <c r="M99" s="51" cm="1">
        <f t="array" ref="M99">IF(L99="",0,_xlfn.SWITCH(L99,"A1",495,"A2",495,"A3",495,"Custom",0,595))</f>
        <v>0</v>
      </c>
      <c r="N99" s="51" cm="1">
        <f t="array" ref="N99">IF(L99="",0,_xlfn.SWITCH(L99,"C1",325,"C2",325,"C3",325,"D1",380,"D2",380,"D3",380,"Custom",0,285))</f>
        <v>0</v>
      </c>
      <c r="O99" s="51">
        <f>IF(L99="",0,_xlfn.SWITCH(L99,"A1",375,"B1",375,"C1",375,"D1",375,"A2",310,"B2",310,"C2",310,"D2",310,"Custom",0,260))</f>
        <v>0</v>
      </c>
      <c r="P99" s="51">
        <f>IFERROR(IF(OR(M99=0,N99=0),0,(M99+N99)*2+11),0)</f>
        <v>0</v>
      </c>
      <c r="Q99" s="51">
        <f>IFERROR(IF(OR(N99=0,O99=0),0,(N99+O99)-16),0)</f>
        <v>0</v>
      </c>
      <c r="R99" s="53">
        <f>P99*Q99/1000000</f>
        <v>0</v>
      </c>
      <c r="S99" s="123">
        <f>IFERROR(VLOOKUP(L99,'Carton Sizes Chart'!$A$4:$E$15,5,FALSE),0)</f>
        <v>0</v>
      </c>
      <c r="T99" s="124">
        <f>S99</f>
        <v>0</v>
      </c>
      <c r="U99" s="124">
        <f>I99*T99</f>
        <v>0</v>
      </c>
      <c r="V99" s="123">
        <f>((T99*I99)-W99)*4%</f>
        <v>0</v>
      </c>
      <c r="W99" s="124">
        <f>S99*I99*5%</f>
        <v>0</v>
      </c>
      <c r="X99" s="113"/>
    </row>
    <row r="100" spans="1:24">
      <c r="A100" s="118"/>
      <c r="B100" s="118"/>
      <c r="C100" s="119"/>
      <c r="D100" s="118"/>
      <c r="E100" s="118"/>
      <c r="F100" s="118"/>
      <c r="G100" s="119"/>
      <c r="H100" s="119"/>
      <c r="I100" s="121"/>
      <c r="J100" s="119" t="s">
        <v>95</v>
      </c>
      <c r="K100" s="119" t="s">
        <v>110</v>
      </c>
      <c r="L100" s="119" t="s">
        <v>123</v>
      </c>
      <c r="M100" s="51" cm="1">
        <f t="array" ref="M100">IF(L100="",0,_xlfn.SWITCH(L100,"A1",495,"A2",495,"A3",495,"Custom",0,595))</f>
        <v>0</v>
      </c>
      <c r="N100" s="51" cm="1">
        <f t="array" ref="N100">IF(L100="",0,_xlfn.SWITCH(L100,"C1",325,"C2",325,"C3",325,"D1",380,"D2",380,"D3",380,"Custom",0,285))</f>
        <v>0</v>
      </c>
      <c r="O100" s="51">
        <f>IF(L100="",0,_xlfn.SWITCH(L100,"A1",375,"B1",375,"C1",375,"D1",375,"A2",310,"B2",310,"C2",310,"D2",310,"Custom",0,260))</f>
        <v>0</v>
      </c>
      <c r="P100" s="51">
        <f>IFERROR(IF(OR(M100=0,N100=0),0,(M100+N100)*2+11),0)</f>
        <v>0</v>
      </c>
      <c r="Q100" s="51">
        <f>IFERROR(IF(OR(N100=0,O100=0),0,(N100+O100)-16),0)</f>
        <v>0</v>
      </c>
      <c r="R100" s="53">
        <f>P100*Q100/1000000</f>
        <v>0</v>
      </c>
      <c r="S100" s="123">
        <f>IFERROR(VLOOKUP(L100,'Carton Sizes Chart'!$A$4:$E$15,5,FALSE),0)</f>
        <v>0</v>
      </c>
      <c r="T100" s="124">
        <f>S100</f>
        <v>0</v>
      </c>
      <c r="U100" s="124">
        <f>I100*T100</f>
        <v>0</v>
      </c>
      <c r="V100" s="123">
        <f>((T100*I100)-W100)*4%</f>
        <v>0</v>
      </c>
      <c r="W100" s="124">
        <f>S100*I100*5%</f>
        <v>0</v>
      </c>
      <c r="X100" s="113"/>
    </row>
    <row r="101" spans="1:24">
      <c r="A101" s="118"/>
      <c r="B101" s="118"/>
      <c r="C101" s="119"/>
      <c r="D101" s="118"/>
      <c r="E101" s="118"/>
      <c r="F101" s="118"/>
      <c r="G101" s="119"/>
      <c r="H101" s="119"/>
      <c r="I101" s="121"/>
      <c r="J101" s="119" t="s">
        <v>95</v>
      </c>
      <c r="K101" s="119" t="s">
        <v>110</v>
      </c>
      <c r="L101" s="119" t="s">
        <v>123</v>
      </c>
      <c r="M101" s="51" cm="1">
        <f t="array" ref="M101">IF(L101="",0,_xlfn.SWITCH(L101,"A1",495,"A2",495,"A3",495,"Custom",0,595))</f>
        <v>0</v>
      </c>
      <c r="N101" s="51" cm="1">
        <f t="array" ref="N101">IF(L101="",0,_xlfn.SWITCH(L101,"C1",325,"C2",325,"C3",325,"D1",380,"D2",380,"D3",380,"Custom",0,285))</f>
        <v>0</v>
      </c>
      <c r="O101" s="51">
        <f>IF(L101="",0,_xlfn.SWITCH(L101,"A1",375,"B1",375,"C1",375,"D1",375,"A2",310,"B2",310,"C2",310,"D2",310,"Custom",0,260))</f>
        <v>0</v>
      </c>
      <c r="P101" s="51">
        <f>IFERROR(IF(OR(M101=0,N101=0),0,(M101+N101)*2+11),0)</f>
        <v>0</v>
      </c>
      <c r="Q101" s="51">
        <f>IFERROR(IF(OR(N101=0,O101=0),0,(N101+O101)-16),0)</f>
        <v>0</v>
      </c>
      <c r="R101" s="53">
        <f>P101*Q101/1000000</f>
        <v>0</v>
      </c>
      <c r="S101" s="123">
        <f>IFERROR(VLOOKUP(L101,'Carton Sizes Chart'!$A$4:$E$15,5,FALSE),0)</f>
        <v>0</v>
      </c>
      <c r="T101" s="124">
        <f>S101</f>
        <v>0</v>
      </c>
      <c r="U101" s="124">
        <f>I101*T101</f>
        <v>0</v>
      </c>
      <c r="V101" s="123">
        <f>((T101*I101)-W101)*4%</f>
        <v>0</v>
      </c>
      <c r="W101" s="124">
        <f>S101*I101*5%</f>
        <v>0</v>
      </c>
      <c r="X101" s="113"/>
    </row>
    <row r="102" spans="1:24">
      <c r="A102" s="118"/>
      <c r="B102" s="118"/>
      <c r="C102" s="119"/>
      <c r="D102" s="118"/>
      <c r="E102" s="118"/>
      <c r="F102" s="118"/>
      <c r="G102" s="119"/>
      <c r="H102" s="119"/>
      <c r="I102" s="121"/>
      <c r="J102" s="119" t="s">
        <v>95</v>
      </c>
      <c r="K102" s="119" t="s">
        <v>110</v>
      </c>
      <c r="L102" s="119" t="s">
        <v>123</v>
      </c>
      <c r="M102" s="51" cm="1">
        <f t="array" ref="M102">IF(L102="",0,_xlfn.SWITCH(L102,"A1",495,"A2",495,"A3",495,"Custom",0,595))</f>
        <v>0</v>
      </c>
      <c r="N102" s="51" cm="1">
        <f t="array" ref="N102">IF(L102="",0,_xlfn.SWITCH(L102,"C1",325,"C2",325,"C3",325,"D1",380,"D2",380,"D3",380,"Custom",0,285))</f>
        <v>0</v>
      </c>
      <c r="O102" s="51">
        <f>IF(L102="",0,_xlfn.SWITCH(L102,"A1",375,"B1",375,"C1",375,"D1",375,"A2",310,"B2",310,"C2",310,"D2",310,"Custom",0,260))</f>
        <v>0</v>
      </c>
      <c r="P102" s="51">
        <f>IFERROR(IF(OR(M102=0,N102=0),0,(M102+N102)*2+11),0)</f>
        <v>0</v>
      </c>
      <c r="Q102" s="51">
        <f>IFERROR(IF(OR(N102=0,O102=0),0,(N102+O102)-16),0)</f>
        <v>0</v>
      </c>
      <c r="R102" s="53">
        <f>P102*Q102/1000000</f>
        <v>0</v>
      </c>
      <c r="S102" s="123">
        <f>IFERROR(VLOOKUP(L102,'Carton Sizes Chart'!$A$4:$E$15,5,FALSE),0)</f>
        <v>0</v>
      </c>
      <c r="T102" s="124">
        <f>S102</f>
        <v>0</v>
      </c>
      <c r="U102" s="124">
        <f>I102*T102</f>
        <v>0</v>
      </c>
      <c r="V102" s="123">
        <f>((T102*I102)-W102)*4%</f>
        <v>0</v>
      </c>
      <c r="W102" s="124">
        <f>S102*I102*5%</f>
        <v>0</v>
      </c>
      <c r="X102" s="113"/>
    </row>
    <row r="103" spans="1:24">
      <c r="A103" s="118"/>
      <c r="B103" s="118"/>
      <c r="C103" s="119"/>
      <c r="D103" s="118"/>
      <c r="E103" s="118"/>
      <c r="F103" s="118"/>
      <c r="G103" s="119"/>
      <c r="H103" s="119"/>
      <c r="I103" s="121"/>
      <c r="J103" s="119" t="s">
        <v>95</v>
      </c>
      <c r="K103" s="119" t="s">
        <v>110</v>
      </c>
      <c r="L103" s="119" t="s">
        <v>123</v>
      </c>
      <c r="M103" s="51" cm="1">
        <f t="array" ref="M103">IF(L103="",0,_xlfn.SWITCH(L103,"A1",495,"A2",495,"A3",495,"Custom",0,595))</f>
        <v>0</v>
      </c>
      <c r="N103" s="51" cm="1">
        <f t="array" ref="N103">IF(L103="",0,_xlfn.SWITCH(L103,"C1",325,"C2",325,"C3",325,"D1",380,"D2",380,"D3",380,"Custom",0,285))</f>
        <v>0</v>
      </c>
      <c r="O103" s="51">
        <f>IF(L103="",0,_xlfn.SWITCH(L103,"A1",375,"B1",375,"C1",375,"D1",375,"A2",310,"B2",310,"C2",310,"D2",310,"Custom",0,260))</f>
        <v>0</v>
      </c>
      <c r="P103" s="51">
        <f>IFERROR(IF(OR(M103=0,N103=0),0,(M103+N103)*2+11),0)</f>
        <v>0</v>
      </c>
      <c r="Q103" s="51">
        <f>IFERROR(IF(OR(N103=0,O103=0),0,(N103+O103)-16),0)</f>
        <v>0</v>
      </c>
      <c r="R103" s="53">
        <f>P103*Q103/1000000</f>
        <v>0</v>
      </c>
      <c r="S103" s="123">
        <f>IFERROR(VLOOKUP(L103,'Carton Sizes Chart'!$A$4:$E$15,5,FALSE),0)</f>
        <v>0</v>
      </c>
      <c r="T103" s="124">
        <f>S103</f>
        <v>0</v>
      </c>
      <c r="U103" s="124">
        <f>I103*T103</f>
        <v>0</v>
      </c>
      <c r="V103" s="123">
        <f>((T103*I103)-W103)*4%</f>
        <v>0</v>
      </c>
      <c r="W103" s="124">
        <f>S103*I103*5%</f>
        <v>0</v>
      </c>
      <c r="X103" s="113"/>
    </row>
    <row r="104" spans="1:24">
      <c r="A104" s="118"/>
      <c r="B104" s="122"/>
      <c r="C104" s="119"/>
      <c r="D104" s="118"/>
      <c r="E104" s="118"/>
      <c r="F104" s="118"/>
      <c r="G104" s="119"/>
      <c r="H104" s="119"/>
      <c r="I104" s="121"/>
      <c r="J104" s="119" t="s">
        <v>95</v>
      </c>
      <c r="K104" s="119" t="s">
        <v>110</v>
      </c>
      <c r="L104" s="119" t="s">
        <v>123</v>
      </c>
      <c r="M104" s="51" cm="1">
        <f t="array" ref="M104">IF(L104="",0,_xlfn.SWITCH(L104,"A1",495,"A2",495,"A3",495,"Custom",0,595))</f>
        <v>0</v>
      </c>
      <c r="N104" s="51" cm="1">
        <f t="array" ref="N104">IF(L104="",0,_xlfn.SWITCH(L104,"C1",325,"C2",325,"C3",325,"D1",380,"D2",380,"D3",380,"Custom",0,285))</f>
        <v>0</v>
      </c>
      <c r="O104" s="51">
        <f>IF(L104="",0,_xlfn.SWITCH(L104,"A1",375,"B1",375,"C1",375,"D1",375,"A2",310,"B2",310,"C2",310,"D2",310,"Custom",0,260))</f>
        <v>0</v>
      </c>
      <c r="P104" s="51">
        <f>IFERROR(IF(OR(M104=0,N104=0),0,(M104+N104)*2+11),0)</f>
        <v>0</v>
      </c>
      <c r="Q104" s="51">
        <f>IFERROR(IF(OR(N104=0,O104=0),0,(N104+O104)-16),0)</f>
        <v>0</v>
      </c>
      <c r="R104" s="53">
        <f>P104*Q104/1000000</f>
        <v>0</v>
      </c>
      <c r="S104" s="123">
        <f>IFERROR(VLOOKUP(L104,'Carton Sizes Chart'!$A$4:$E$15,5,FALSE),0)</f>
        <v>0</v>
      </c>
      <c r="T104" s="124">
        <f>S104</f>
        <v>0</v>
      </c>
      <c r="U104" s="124">
        <f>I104*T104</f>
        <v>0</v>
      </c>
      <c r="V104" s="123">
        <f>((T104*I104)-W104)*4%</f>
        <v>0</v>
      </c>
      <c r="W104" s="124">
        <f>S104*I104*5%</f>
        <v>0</v>
      </c>
      <c r="X104" s="113"/>
    </row>
    <row r="105" spans="1:24">
      <c r="A105" s="118"/>
      <c r="B105" s="118"/>
      <c r="C105" s="119"/>
      <c r="D105" s="118"/>
      <c r="E105" s="118"/>
      <c r="F105" s="118"/>
      <c r="G105" s="119"/>
      <c r="H105" s="119"/>
      <c r="I105" s="121"/>
      <c r="J105" s="119" t="s">
        <v>95</v>
      </c>
      <c r="K105" s="119" t="s">
        <v>110</v>
      </c>
      <c r="L105" s="119" t="s">
        <v>123</v>
      </c>
      <c r="M105" s="51" cm="1">
        <f t="array" ref="M105">IF(L105="",0,_xlfn.SWITCH(L105,"A1",495,"A2",495,"A3",495,"Custom",0,595))</f>
        <v>0</v>
      </c>
      <c r="N105" s="51" cm="1">
        <f t="array" ref="N105">IF(L105="",0,_xlfn.SWITCH(L105,"C1",325,"C2",325,"C3",325,"D1",380,"D2",380,"D3",380,"Custom",0,285))</f>
        <v>0</v>
      </c>
      <c r="O105" s="51">
        <f>IF(L105="",0,_xlfn.SWITCH(L105,"A1",375,"B1",375,"C1",375,"D1",375,"A2",310,"B2",310,"C2",310,"D2",310,"Custom",0,260))</f>
        <v>0</v>
      </c>
      <c r="P105" s="51">
        <f>IFERROR(IF(OR(M105=0,N105=0),0,(M105+N105)*2+11),0)</f>
        <v>0</v>
      </c>
      <c r="Q105" s="51">
        <f>IFERROR(IF(OR(N105=0,O105=0),0,(N105+O105)-16),0)</f>
        <v>0</v>
      </c>
      <c r="R105" s="53">
        <f>P105*Q105/1000000</f>
        <v>0</v>
      </c>
      <c r="S105" s="123">
        <f>IFERROR(VLOOKUP(L105,'Carton Sizes Chart'!$A$4:$E$15,5,FALSE),0)</f>
        <v>0</v>
      </c>
      <c r="T105" s="124">
        <f>S105</f>
        <v>0</v>
      </c>
      <c r="U105" s="124">
        <f>I105*T105</f>
        <v>0</v>
      </c>
      <c r="V105" s="123">
        <f>((T105*I105)-W105)*4%</f>
        <v>0</v>
      </c>
      <c r="W105" s="124">
        <f>S105*I105*5%</f>
        <v>0</v>
      </c>
      <c r="X105" s="114"/>
    </row>
    <row r="106" spans="1:24">
      <c r="A106" s="118"/>
      <c r="B106" s="118"/>
      <c r="C106" s="119"/>
      <c r="D106" s="118"/>
      <c r="E106" s="118"/>
      <c r="F106" s="118"/>
      <c r="G106" s="119"/>
      <c r="H106" s="119"/>
      <c r="I106" s="121"/>
      <c r="J106" s="119" t="s">
        <v>95</v>
      </c>
      <c r="K106" s="119" t="s">
        <v>110</v>
      </c>
      <c r="L106" s="119" t="s">
        <v>123</v>
      </c>
      <c r="M106" s="51" cm="1">
        <f t="array" ref="M106">IF(L106="",0,_xlfn.SWITCH(L106,"A1",495,"A2",495,"A3",495,"Custom",0,595))</f>
        <v>0</v>
      </c>
      <c r="N106" s="51" cm="1">
        <f t="array" ref="N106">IF(L106="",0,_xlfn.SWITCH(L106,"C1",325,"C2",325,"C3",325,"D1",380,"D2",380,"D3",380,"Custom",0,285))</f>
        <v>0</v>
      </c>
      <c r="O106" s="51">
        <f>IF(L106="",0,_xlfn.SWITCH(L106,"A1",375,"B1",375,"C1",375,"D1",375,"A2",310,"B2",310,"C2",310,"D2",310,"Custom",0,260))</f>
        <v>0</v>
      </c>
      <c r="P106" s="51">
        <f>IFERROR(IF(OR(M106=0,N106=0),0,(M106+N106)*2+11),0)</f>
        <v>0</v>
      </c>
      <c r="Q106" s="51">
        <f>IFERROR(IF(OR(N106=0,O106=0),0,(N106+O106)-16),0)</f>
        <v>0</v>
      </c>
      <c r="R106" s="53">
        <f>P106*Q106/1000000</f>
        <v>0</v>
      </c>
      <c r="S106" s="123">
        <f>IFERROR(VLOOKUP(L106,'Carton Sizes Chart'!$A$4:$E$15,5,FALSE),0)</f>
        <v>0</v>
      </c>
      <c r="T106" s="124">
        <f>S106</f>
        <v>0</v>
      </c>
      <c r="U106" s="124">
        <f>I106*T106</f>
        <v>0</v>
      </c>
      <c r="V106" s="123">
        <f>((T106*I106)-W106)*4%</f>
        <v>0</v>
      </c>
      <c r="W106" s="124">
        <f>S106*I106*5%</f>
        <v>0</v>
      </c>
      <c r="X106" s="113"/>
    </row>
    <row r="107" spans="1:24">
      <c r="A107" s="118"/>
      <c r="B107" s="118"/>
      <c r="C107" s="119"/>
      <c r="D107" s="118"/>
      <c r="E107" s="118"/>
      <c r="F107" s="118"/>
      <c r="G107" s="119"/>
      <c r="H107" s="119"/>
      <c r="I107" s="121"/>
      <c r="J107" s="119" t="s">
        <v>95</v>
      </c>
      <c r="K107" s="119" t="s">
        <v>110</v>
      </c>
      <c r="L107" s="119" t="s">
        <v>123</v>
      </c>
      <c r="M107" s="51" cm="1">
        <f t="array" ref="M107">IF(L107="",0,_xlfn.SWITCH(L107,"A1",495,"A2",495,"A3",495,"Custom",0,595))</f>
        <v>0</v>
      </c>
      <c r="N107" s="51" cm="1">
        <f t="array" ref="N107">IF(L107="",0,_xlfn.SWITCH(L107,"C1",325,"C2",325,"C3",325,"D1",380,"D2",380,"D3",380,"Custom",0,285))</f>
        <v>0</v>
      </c>
      <c r="O107" s="51">
        <f>IF(L107="",0,_xlfn.SWITCH(L107,"A1",375,"B1",375,"C1",375,"D1",375,"A2",310,"B2",310,"C2",310,"D2",310,"Custom",0,260))</f>
        <v>0</v>
      </c>
      <c r="P107" s="51">
        <f>IFERROR(IF(OR(M107=0,N107=0),0,(M107+N107)*2+11),0)</f>
        <v>0</v>
      </c>
      <c r="Q107" s="51">
        <f>IFERROR(IF(OR(N107=0,O107=0),0,(N107+O107)-16),0)</f>
        <v>0</v>
      </c>
      <c r="R107" s="53">
        <f>P107*Q107/1000000</f>
        <v>0</v>
      </c>
      <c r="S107" s="123">
        <f>IFERROR(VLOOKUP(L107,'Carton Sizes Chart'!$A$4:$E$15,5,FALSE),0)</f>
        <v>0</v>
      </c>
      <c r="T107" s="124">
        <f>S107</f>
        <v>0</v>
      </c>
      <c r="U107" s="124">
        <f>I107*T107</f>
        <v>0</v>
      </c>
      <c r="V107" s="123">
        <f>((T107*I107)-W107)*4%</f>
        <v>0</v>
      </c>
      <c r="W107" s="124">
        <f>S107*I107*5%</f>
        <v>0</v>
      </c>
      <c r="X107" s="113"/>
    </row>
    <row r="108" spans="1:24">
      <c r="A108" s="118"/>
      <c r="B108" s="118"/>
      <c r="C108" s="119"/>
      <c r="D108" s="118"/>
      <c r="E108" s="118"/>
      <c r="F108" s="118"/>
      <c r="G108" s="119"/>
      <c r="H108" s="119"/>
      <c r="I108" s="121"/>
      <c r="J108" s="119" t="s">
        <v>95</v>
      </c>
      <c r="K108" s="119" t="s">
        <v>110</v>
      </c>
      <c r="L108" s="119" t="s">
        <v>123</v>
      </c>
      <c r="M108" s="51" cm="1">
        <f t="array" ref="M108">IF(L108="",0,_xlfn.SWITCH(L108,"A1",495,"A2",495,"A3",495,"Custom",0,595))</f>
        <v>0</v>
      </c>
      <c r="N108" s="51" cm="1">
        <f t="array" ref="N108">IF(L108="",0,_xlfn.SWITCH(L108,"C1",325,"C2",325,"C3",325,"D1",380,"D2",380,"D3",380,"Custom",0,285))</f>
        <v>0</v>
      </c>
      <c r="O108" s="51">
        <f>IF(L108="",0,_xlfn.SWITCH(L108,"A1",375,"B1",375,"C1",375,"D1",375,"A2",310,"B2",310,"C2",310,"D2",310,"Custom",0,260))</f>
        <v>0</v>
      </c>
      <c r="P108" s="51">
        <f>IFERROR(IF(OR(M108=0,N108=0),0,(M108+N108)*2+11),0)</f>
        <v>0</v>
      </c>
      <c r="Q108" s="51">
        <f>IFERROR(IF(OR(N108=0,O108=0),0,(N108+O108)-16),0)</f>
        <v>0</v>
      </c>
      <c r="R108" s="53">
        <f>P108*Q108/1000000</f>
        <v>0</v>
      </c>
      <c r="S108" s="123">
        <f>IFERROR(VLOOKUP(L108,'Carton Sizes Chart'!$A$4:$E$15,5,FALSE),0)</f>
        <v>0</v>
      </c>
      <c r="T108" s="124">
        <f>S108</f>
        <v>0</v>
      </c>
      <c r="U108" s="124">
        <f>I108*T108</f>
        <v>0</v>
      </c>
      <c r="V108" s="123">
        <f>((T108*I108)-W108)*4%</f>
        <v>0</v>
      </c>
      <c r="W108" s="124">
        <f>S108*I108*5%</f>
        <v>0</v>
      </c>
      <c r="X108" s="113"/>
    </row>
    <row r="109" spans="1:24">
      <c r="A109" s="118"/>
      <c r="B109" s="118"/>
      <c r="C109" s="119"/>
      <c r="D109" s="118"/>
      <c r="E109" s="118"/>
      <c r="F109" s="118"/>
      <c r="G109" s="119"/>
      <c r="H109" s="119"/>
      <c r="I109" s="121"/>
      <c r="J109" s="119" t="s">
        <v>95</v>
      </c>
      <c r="K109" s="119" t="s">
        <v>110</v>
      </c>
      <c r="L109" s="119" t="s">
        <v>123</v>
      </c>
      <c r="M109" s="51" cm="1">
        <f t="array" ref="M109">IF(L109="",0,_xlfn.SWITCH(L109,"A1",495,"A2",495,"A3",495,"Custom",0,595))</f>
        <v>0</v>
      </c>
      <c r="N109" s="51" cm="1">
        <f t="array" ref="N109">IF(L109="",0,_xlfn.SWITCH(L109,"C1",325,"C2",325,"C3",325,"D1",380,"D2",380,"D3",380,"Custom",0,285))</f>
        <v>0</v>
      </c>
      <c r="O109" s="51">
        <f>IF(L109="",0,_xlfn.SWITCH(L109,"A1",375,"B1",375,"C1",375,"D1",375,"A2",310,"B2",310,"C2",310,"D2",310,"Custom",0,260))</f>
        <v>0</v>
      </c>
      <c r="P109" s="51">
        <f>IFERROR(IF(OR(M109=0,N109=0),0,(M109+N109)*2+11),0)</f>
        <v>0</v>
      </c>
      <c r="Q109" s="51">
        <f>IFERROR(IF(OR(N109=0,O109=0),0,(N109+O109)-16),0)</f>
        <v>0</v>
      </c>
      <c r="R109" s="53">
        <f>P109*Q109/1000000</f>
        <v>0</v>
      </c>
      <c r="S109" s="123">
        <f>IFERROR(VLOOKUP(L109,'Carton Sizes Chart'!$A$4:$E$15,5,FALSE),0)</f>
        <v>0</v>
      </c>
      <c r="T109" s="124">
        <f>S109</f>
        <v>0</v>
      </c>
      <c r="U109" s="124">
        <f>I109*T109</f>
        <v>0</v>
      </c>
      <c r="V109" s="123">
        <f>((T109*I109)-W109)*4%</f>
        <v>0</v>
      </c>
      <c r="W109" s="124">
        <f>S109*I109*5%</f>
        <v>0</v>
      </c>
      <c r="X109" s="113"/>
    </row>
    <row r="110" spans="1:24">
      <c r="A110" s="118"/>
      <c r="B110" s="118"/>
      <c r="C110" s="119"/>
      <c r="D110" s="118"/>
      <c r="E110" s="118"/>
      <c r="F110" s="118"/>
      <c r="G110" s="119"/>
      <c r="H110" s="119"/>
      <c r="I110" s="133"/>
      <c r="J110" s="119" t="s">
        <v>95</v>
      </c>
      <c r="K110" s="119" t="s">
        <v>110</v>
      </c>
      <c r="L110" s="119" t="s">
        <v>123</v>
      </c>
      <c r="M110" s="51" cm="1">
        <f t="array" ref="M110">IF(L110="",0,_xlfn.SWITCH(L110,"A1",495,"A2",495,"A3",495,"Custom",0,595))</f>
        <v>0</v>
      </c>
      <c r="N110" s="51" cm="1">
        <f t="array" ref="N110">IF(L110="",0,_xlfn.SWITCH(L110,"C1",325,"C2",325,"C3",325,"D1",380,"D2",380,"D3",380,"Custom",0,285))</f>
        <v>0</v>
      </c>
      <c r="O110" s="51">
        <f>IF(L110="",0,_xlfn.SWITCH(L110,"A1",375,"B1",375,"C1",375,"D1",375,"A2",310,"B2",310,"C2",310,"D2",310,"Custom",0,260))</f>
        <v>0</v>
      </c>
      <c r="P110" s="51">
        <f>IFERROR(IF(OR(M110=0,N110=0),0,(M110+N110)*2+11),0)</f>
        <v>0</v>
      </c>
      <c r="Q110" s="51">
        <f>IFERROR(IF(OR(N110=0,O110=0),0,(N110+O110)-16),0)</f>
        <v>0</v>
      </c>
      <c r="R110" s="53">
        <f>P110*Q110/1000000</f>
        <v>0</v>
      </c>
      <c r="S110" s="129">
        <f>IF(L110="Custom", R110*'[2]RFQ_Matalan Carton'!$M$40, IFERROR(VLOOKUP(L110,'[2]Carton Sizes Chart'!$A$4:$E$15,5,FALSE),0))</f>
        <v>0</v>
      </c>
      <c r="T110" s="124">
        <f>S110</f>
        <v>0</v>
      </c>
      <c r="U110" s="124">
        <f>I110*T110</f>
        <v>0</v>
      </c>
      <c r="V110" s="123">
        <f>((T110*I110)-W110)*4%</f>
        <v>0</v>
      </c>
      <c r="W110" s="124">
        <f>S110*I110*5%</f>
        <v>0</v>
      </c>
      <c r="X110" s="113"/>
    </row>
    <row r="111" spans="1:24">
      <c r="A111" s="118"/>
      <c r="B111" s="118"/>
      <c r="C111" s="119"/>
      <c r="D111" s="118"/>
      <c r="E111" s="118"/>
      <c r="F111" s="118"/>
      <c r="G111" s="119"/>
      <c r="H111" s="119"/>
      <c r="I111" s="133"/>
      <c r="J111" s="119" t="s">
        <v>95</v>
      </c>
      <c r="K111" s="119" t="s">
        <v>110</v>
      </c>
      <c r="L111" s="119" t="s">
        <v>123</v>
      </c>
      <c r="M111" s="51" cm="1">
        <f t="array" ref="M111">IF(L111="",0,_xlfn.SWITCH(L111,"A1",495,"A2",495,"A3",495,"Custom",0,595))</f>
        <v>0</v>
      </c>
      <c r="N111" s="51" cm="1">
        <f t="array" ref="N111">IF(L111="",0,_xlfn.SWITCH(L111,"C1",325,"C2",325,"C3",325,"D1",380,"D2",380,"D3",380,"Custom",0,285))</f>
        <v>0</v>
      </c>
      <c r="O111" s="51">
        <f>IF(L111="",0,_xlfn.SWITCH(L111,"A1",375,"B1",375,"C1",375,"D1",375,"A2",310,"B2",310,"C2",310,"D2",310,"Custom",0,260))</f>
        <v>0</v>
      </c>
      <c r="P111" s="51">
        <f>IFERROR(IF(OR(M111=0,N111=0),0,(M111+N111)*2+11),0)</f>
        <v>0</v>
      </c>
      <c r="Q111" s="51">
        <f>IFERROR(IF(OR(N111=0,O111=0),0,(N111+O111)-16),0)</f>
        <v>0</v>
      </c>
      <c r="R111" s="53">
        <f>P111*Q111/1000000</f>
        <v>0</v>
      </c>
      <c r="S111" s="129">
        <f>IF(L111="Custom", R111*'[2]RFQ_Matalan Carton'!$M$40, IFERROR(VLOOKUP(L111,'[2]Carton Sizes Chart'!$A$4:$E$15,5,FALSE),0))</f>
        <v>0</v>
      </c>
      <c r="T111" s="124">
        <f>S111</f>
        <v>0</v>
      </c>
      <c r="U111" s="124">
        <f>I111*T111</f>
        <v>0</v>
      </c>
      <c r="V111" s="123">
        <f>((T111*I111)-W111)*4%</f>
        <v>0</v>
      </c>
      <c r="W111" s="124">
        <f>S111*I111*5%</f>
        <v>0</v>
      </c>
      <c r="X111" s="113"/>
    </row>
    <row r="112" spans="1:24">
      <c r="A112" s="118"/>
      <c r="B112" s="118"/>
      <c r="C112" s="119"/>
      <c r="D112" s="118"/>
      <c r="E112" s="118"/>
      <c r="F112" s="118"/>
      <c r="G112" s="119"/>
      <c r="H112" s="119"/>
      <c r="I112" s="121"/>
      <c r="J112" s="119" t="s">
        <v>95</v>
      </c>
      <c r="K112" s="119" t="s">
        <v>110</v>
      </c>
      <c r="L112" s="119" t="s">
        <v>123</v>
      </c>
      <c r="M112" s="51" cm="1">
        <f t="array" ref="M112">IF(L112="",0,_xlfn.SWITCH(L112,"A1",495,"A2",495,"A3",495,"Custom",0,595))</f>
        <v>0</v>
      </c>
      <c r="N112" s="51" cm="1">
        <f t="array" ref="N112">IF(L112="",0,_xlfn.SWITCH(L112,"C1",325,"C2",325,"C3",325,"D1",380,"D2",380,"D3",380,"Custom",0,285))</f>
        <v>0</v>
      </c>
      <c r="O112" s="51">
        <f>IF(L112="",0,_xlfn.SWITCH(L112,"A1",375,"B1",375,"C1",375,"D1",375,"A2",310,"B2",310,"C2",310,"D2",310,"Custom",0,260))</f>
        <v>0</v>
      </c>
      <c r="P112" s="51">
        <f>IFERROR(IF(OR(M112=0,N112=0),0,(M112+N112)*2+11),0)</f>
        <v>0</v>
      </c>
      <c r="Q112" s="51">
        <f>IFERROR(IF(OR(N112=0,O112=0),0,(N112+O112)-16),0)</f>
        <v>0</v>
      </c>
      <c r="R112" s="53">
        <f>P112*Q112/1000000</f>
        <v>0</v>
      </c>
      <c r="S112" s="123">
        <f>IFERROR(VLOOKUP(L112,'Carton Sizes Chart'!$A$4:$E$15,5,FALSE),0)</f>
        <v>0</v>
      </c>
      <c r="T112" s="124">
        <f>S112</f>
        <v>0</v>
      </c>
      <c r="U112" s="124">
        <f>I112*T112</f>
        <v>0</v>
      </c>
      <c r="V112" s="123">
        <f>((T112*I112)-W112)*4%</f>
        <v>0</v>
      </c>
      <c r="W112" s="124">
        <f>S112*I112*5%</f>
        <v>0</v>
      </c>
      <c r="X112" s="113"/>
    </row>
    <row r="113" spans="1:24">
      <c r="A113" s="118"/>
      <c r="B113" s="118"/>
      <c r="C113" s="119"/>
      <c r="D113" s="118"/>
      <c r="E113" s="118"/>
      <c r="F113" s="118"/>
      <c r="G113" s="119"/>
      <c r="H113" s="119"/>
      <c r="I113" s="133"/>
      <c r="J113" s="119" t="s">
        <v>95</v>
      </c>
      <c r="K113" s="119" t="s">
        <v>110</v>
      </c>
      <c r="L113" s="119" t="s">
        <v>123</v>
      </c>
      <c r="M113" s="51" cm="1">
        <f t="array" ref="M113">IF(L113="",0,_xlfn.SWITCH(L113,"A1",495,"A2",495,"A3",495,"Custom",0,595))</f>
        <v>0</v>
      </c>
      <c r="N113" s="51" cm="1">
        <f t="array" ref="N113">IF(L113="",0,_xlfn.SWITCH(L113,"C1",325,"C2",325,"C3",325,"D1",380,"D2",380,"D3",380,"Custom",0,285))</f>
        <v>0</v>
      </c>
      <c r="O113" s="51">
        <f>IF(L113="",0,_xlfn.SWITCH(L113,"A1",375,"B1",375,"C1",375,"D1",375,"A2",310,"B2",310,"C2",310,"D2",310,"Custom",0,260))</f>
        <v>0</v>
      </c>
      <c r="P113" s="51">
        <f>IFERROR(IF(OR(M113=0,N113=0),0,(M113+N113)*2+11),0)</f>
        <v>0</v>
      </c>
      <c r="Q113" s="51">
        <f>IFERROR(IF(OR(N113=0,O113=0),0,(N113+O113)-16),0)</f>
        <v>0</v>
      </c>
      <c r="R113" s="53">
        <f>P113*Q113/1000000</f>
        <v>0</v>
      </c>
      <c r="S113" s="129">
        <f>IF(L113="Custom", R113*'[2]RFQ_Matalan Carton'!$M$40, IFERROR(VLOOKUP(L113,'[2]Carton Sizes Chart'!$A$4:$E$15,5,FALSE),0))</f>
        <v>0</v>
      </c>
      <c r="T113" s="124">
        <f>S113</f>
        <v>0</v>
      </c>
      <c r="U113" s="124">
        <f>I113*T113</f>
        <v>0</v>
      </c>
      <c r="V113" s="123">
        <f>((T113*I113)-W113)*4%</f>
        <v>0</v>
      </c>
      <c r="W113" s="124">
        <f>S113*I113*5%</f>
        <v>0</v>
      </c>
      <c r="X113" s="113" t="s">
        <v>124</v>
      </c>
    </row>
    <row r="114" spans="1:24">
      <c r="A114" s="118"/>
      <c r="B114" s="118"/>
      <c r="C114" s="119"/>
      <c r="D114" s="118"/>
      <c r="E114" s="118"/>
      <c r="F114" s="118"/>
      <c r="G114" s="119"/>
      <c r="H114" s="119"/>
      <c r="I114" s="133"/>
      <c r="J114" s="119" t="s">
        <v>95</v>
      </c>
      <c r="K114" s="119" t="s">
        <v>110</v>
      </c>
      <c r="L114" s="119" t="s">
        <v>123</v>
      </c>
      <c r="M114" s="51" cm="1">
        <f t="array" ref="M114">IF(L114="",0,_xlfn.SWITCH(L114,"A1",495,"A2",495,"A3",495,"Custom",0,595))</f>
        <v>0</v>
      </c>
      <c r="N114" s="51" cm="1">
        <f t="array" ref="N114">IF(L114="",0,_xlfn.SWITCH(L114,"C1",325,"C2",325,"C3",325,"D1",380,"D2",380,"D3",380,"Custom",0,285))</f>
        <v>0</v>
      </c>
      <c r="O114" s="51">
        <f>IF(L114="",0,_xlfn.SWITCH(L114,"A1",375,"B1",375,"C1",375,"D1",375,"A2",310,"B2",310,"C2",310,"D2",310,"Custom",0,260))</f>
        <v>0</v>
      </c>
      <c r="P114" s="51">
        <f>IFERROR(IF(OR(M114=0,N114=0),0,(M114+N114)*2+11),0)</f>
        <v>0</v>
      </c>
      <c r="Q114" s="51">
        <f>IFERROR(IF(OR(N114=0,O114=0),0,(N114+O114)-16),0)</f>
        <v>0</v>
      </c>
      <c r="R114" s="53">
        <f>P114*Q114/1000000</f>
        <v>0</v>
      </c>
      <c r="S114" s="129">
        <f>IF(L114="Custom", R114*'[2]RFQ_Matalan Carton'!$M$40, IFERROR(VLOOKUP(L114,'[2]Carton Sizes Chart'!$A$4:$E$15,5,FALSE),0))</f>
        <v>0</v>
      </c>
      <c r="T114" s="124">
        <f>S114</f>
        <v>0</v>
      </c>
      <c r="U114" s="124">
        <f>I114*T114</f>
        <v>0</v>
      </c>
      <c r="V114" s="123">
        <f>((T114*I114)-W114)*4%</f>
        <v>0</v>
      </c>
      <c r="W114" s="124">
        <f>S114*I114*5%</f>
        <v>0</v>
      </c>
      <c r="X114" s="113"/>
    </row>
    <row r="115" spans="1:24">
      <c r="A115" s="118"/>
      <c r="B115" s="118"/>
      <c r="C115" s="119"/>
      <c r="D115" s="118"/>
      <c r="E115" s="118"/>
      <c r="F115" s="118"/>
      <c r="G115" s="119"/>
      <c r="H115" s="119"/>
      <c r="I115" s="133"/>
      <c r="J115" s="119" t="s">
        <v>95</v>
      </c>
      <c r="K115" s="119" t="s">
        <v>110</v>
      </c>
      <c r="L115" s="119" t="s">
        <v>123</v>
      </c>
      <c r="M115" s="51" cm="1">
        <f t="array" ref="M115">IF(L115="",0,_xlfn.SWITCH(L115,"A1",495,"A2",495,"A3",495,"Custom",0,595))</f>
        <v>0</v>
      </c>
      <c r="N115" s="51" cm="1">
        <f t="array" ref="N115">IF(L115="",0,_xlfn.SWITCH(L115,"C1",325,"C2",325,"C3",325,"D1",380,"D2",380,"D3",380,"Custom",0,285))</f>
        <v>0</v>
      </c>
      <c r="O115" s="51">
        <f>IF(L115="",0,_xlfn.SWITCH(L115,"A1",375,"B1",375,"C1",375,"D1",375,"A2",310,"B2",310,"C2",310,"D2",310,"Custom",0,260))</f>
        <v>0</v>
      </c>
      <c r="P115" s="51">
        <f>IFERROR(IF(OR(M115=0,N115=0),0,(M115+N115)*2+11),0)</f>
        <v>0</v>
      </c>
      <c r="Q115" s="51">
        <f>IFERROR(IF(OR(N115=0,O115=0),0,(N115+O115)-16),0)</f>
        <v>0</v>
      </c>
      <c r="R115" s="53">
        <f>P115*Q115/1000000</f>
        <v>0</v>
      </c>
      <c r="S115" s="129">
        <f>IF(L115="Custom", R115*'[2]RFQ_Matalan Carton'!$M$40, IFERROR(VLOOKUP(L115,'[2]Carton Sizes Chart'!$A$4:$E$15,5,FALSE),0))</f>
        <v>0</v>
      </c>
      <c r="T115" s="124">
        <f>S115</f>
        <v>0</v>
      </c>
      <c r="U115" s="124">
        <f>I115*T115</f>
        <v>0</v>
      </c>
      <c r="V115" s="123">
        <f>((T115*I115)-W115)*4%</f>
        <v>0</v>
      </c>
      <c r="W115" s="124">
        <f>S115*I115*5%</f>
        <v>0</v>
      </c>
      <c r="X115" s="113"/>
    </row>
    <row r="116" spans="1:24">
      <c r="A116" s="118"/>
      <c r="B116" s="118"/>
      <c r="C116" s="119"/>
      <c r="D116" s="118"/>
      <c r="E116" s="118"/>
      <c r="F116" s="118"/>
      <c r="G116" s="119"/>
      <c r="H116" s="119"/>
      <c r="I116" s="133"/>
      <c r="J116" s="119" t="s">
        <v>95</v>
      </c>
      <c r="K116" s="119" t="s">
        <v>110</v>
      </c>
      <c r="L116" s="119" t="s">
        <v>123</v>
      </c>
      <c r="M116" s="51" cm="1">
        <f t="array" ref="M116">IF(L116="",0,_xlfn.SWITCH(L116,"A1",495,"A2",495,"A3",495,"Custom",0,595))</f>
        <v>0</v>
      </c>
      <c r="N116" s="51" cm="1">
        <f t="array" ref="N116">IF(L116="",0,_xlfn.SWITCH(L116,"C1",325,"C2",325,"C3",325,"D1",380,"D2",380,"D3",380,"Custom",0,285))</f>
        <v>0</v>
      </c>
      <c r="O116" s="51">
        <f>IF(L116="",0,_xlfn.SWITCH(L116,"A1",375,"B1",375,"C1",375,"D1",375,"A2",310,"B2",310,"C2",310,"D2",310,"Custom",0,260))</f>
        <v>0</v>
      </c>
      <c r="P116" s="51">
        <f>IFERROR(IF(OR(M116=0,N116=0),0,(M116+N116)*2+11),0)</f>
        <v>0</v>
      </c>
      <c r="Q116" s="51">
        <f>IFERROR(IF(OR(N116=0,O116=0),0,(N116+O116)-16),0)</f>
        <v>0</v>
      </c>
      <c r="R116" s="53">
        <f>P116*Q116/1000000</f>
        <v>0</v>
      </c>
      <c r="S116" s="129">
        <f>IF(L116="Custom", R116*'[2]RFQ_Matalan Carton'!$M$40, IFERROR(VLOOKUP(L116,'[2]Carton Sizes Chart'!$A$4:$E$15,5,FALSE),0))</f>
        <v>0</v>
      </c>
      <c r="T116" s="124">
        <f>S116</f>
        <v>0</v>
      </c>
      <c r="U116" s="124">
        <f>I116*T116</f>
        <v>0</v>
      </c>
      <c r="V116" s="123">
        <f>((T116*I116)-W116)*4%</f>
        <v>0</v>
      </c>
      <c r="W116" s="124">
        <f>S116*I116*5%</f>
        <v>0</v>
      </c>
      <c r="X116" s="113"/>
    </row>
    <row r="117" spans="1:24">
      <c r="A117" s="118"/>
      <c r="B117" s="118"/>
      <c r="C117" s="119"/>
      <c r="D117" s="118"/>
      <c r="E117" s="118"/>
      <c r="F117" s="118"/>
      <c r="G117" s="119"/>
      <c r="H117" s="119"/>
      <c r="I117" s="133"/>
      <c r="J117" s="119" t="s">
        <v>95</v>
      </c>
      <c r="K117" s="119" t="s">
        <v>110</v>
      </c>
      <c r="L117" s="119" t="s">
        <v>123</v>
      </c>
      <c r="M117" s="51" cm="1">
        <f t="array" ref="M117">IF(L117="",0,_xlfn.SWITCH(L117,"A1",495,"A2",495,"A3",495,"Custom",0,595))</f>
        <v>0</v>
      </c>
      <c r="N117" s="51" cm="1">
        <f t="array" ref="N117">IF(L117="",0,_xlfn.SWITCH(L117,"C1",325,"C2",325,"C3",325,"D1",380,"D2",380,"D3",380,"Custom",0,285))</f>
        <v>0</v>
      </c>
      <c r="O117" s="51">
        <f>IF(L117="",0,_xlfn.SWITCH(L117,"A1",375,"B1",375,"C1",375,"D1",375,"A2",310,"B2",310,"C2",310,"D2",310,"Custom",0,260))</f>
        <v>0</v>
      </c>
      <c r="P117" s="51">
        <f>IFERROR(IF(OR(M117=0,N117=0),0,(M117+N117)*2+11),0)</f>
        <v>0</v>
      </c>
      <c r="Q117" s="51">
        <f>IFERROR(IF(OR(N117=0,O117=0),0,(N117+O117)-16),0)</f>
        <v>0</v>
      </c>
      <c r="R117" s="53">
        <f>P117*Q117/1000000</f>
        <v>0</v>
      </c>
      <c r="S117" s="129">
        <f>IF(L117="Custom", R117*'[2]RFQ_Matalan Carton'!$M$40, IFERROR(VLOOKUP(L117,'[2]Carton Sizes Chart'!$A$4:$E$15,5,FALSE),0))</f>
        <v>0</v>
      </c>
      <c r="T117" s="124">
        <f>S117</f>
        <v>0</v>
      </c>
      <c r="U117" s="124">
        <f>I117*T117</f>
        <v>0</v>
      </c>
      <c r="V117" s="123">
        <f>((T117*I117)-W117)*4%</f>
        <v>0</v>
      </c>
      <c r="W117" s="124">
        <f>S117*I117*5%</f>
        <v>0</v>
      </c>
      <c r="X117" s="113"/>
    </row>
    <row r="118" spans="1:24">
      <c r="A118" s="118"/>
      <c r="B118" s="118"/>
      <c r="C118" s="119"/>
      <c r="D118" s="118"/>
      <c r="E118" s="118"/>
      <c r="F118" s="118"/>
      <c r="G118" s="119"/>
      <c r="H118" s="119"/>
      <c r="I118" s="133"/>
      <c r="J118" s="119" t="s">
        <v>95</v>
      </c>
      <c r="K118" s="119" t="s">
        <v>110</v>
      </c>
      <c r="L118" s="119" t="s">
        <v>123</v>
      </c>
      <c r="M118" s="51" cm="1">
        <f t="array" ref="M118">IF(L118="",0,_xlfn.SWITCH(L118,"A1",495,"A2",495,"A3",495,"Custom",0,595))</f>
        <v>0</v>
      </c>
      <c r="N118" s="51" cm="1">
        <f t="array" ref="N118">IF(L118="",0,_xlfn.SWITCH(L118,"C1",325,"C2",325,"C3",325,"D1",380,"D2",380,"D3",380,"Custom",0,285))</f>
        <v>0</v>
      </c>
      <c r="O118" s="51">
        <f>IF(L118="",0,_xlfn.SWITCH(L118,"A1",375,"B1",375,"C1",375,"D1",375,"A2",310,"B2",310,"C2",310,"D2",310,"Custom",0,260))</f>
        <v>0</v>
      </c>
      <c r="P118" s="51">
        <f>IFERROR(IF(OR(M118=0,N118=0),0,(M118+N118)*2+11),0)</f>
        <v>0</v>
      </c>
      <c r="Q118" s="51">
        <f>IFERROR(IF(OR(N118=0,O118=0),0,(N118+O118)-16),0)</f>
        <v>0</v>
      </c>
      <c r="R118" s="53">
        <f>P118*Q118/1000000</f>
        <v>0</v>
      </c>
      <c r="S118" s="129">
        <f>IF(L118="Custom", R118*'[2]RFQ_Matalan Carton'!$M$40, IFERROR(VLOOKUP(L118,'[2]Carton Sizes Chart'!$A$4:$E$15,5,FALSE),0))</f>
        <v>0</v>
      </c>
      <c r="T118" s="124">
        <f>S118</f>
        <v>0</v>
      </c>
      <c r="U118" s="124">
        <f>I118*T118</f>
        <v>0</v>
      </c>
      <c r="V118" s="123">
        <f>((T118*I118)-W118)*4%</f>
        <v>0</v>
      </c>
      <c r="W118" s="124">
        <f>S118*I118*5%</f>
        <v>0</v>
      </c>
      <c r="X118" s="113"/>
    </row>
    <row r="119" spans="1:24">
      <c r="A119" s="118"/>
      <c r="B119" s="118"/>
      <c r="C119" s="119"/>
      <c r="D119" s="118"/>
      <c r="E119" s="118"/>
      <c r="F119" s="118"/>
      <c r="G119" s="119"/>
      <c r="H119" s="119"/>
      <c r="I119" s="133"/>
      <c r="J119" s="119" t="s">
        <v>95</v>
      </c>
      <c r="K119" s="119" t="s">
        <v>110</v>
      </c>
      <c r="L119" s="119" t="s">
        <v>123</v>
      </c>
      <c r="M119" s="51" cm="1">
        <f t="array" ref="M119">IF(L119="",0,_xlfn.SWITCH(L119,"A1",495,"A2",495,"A3",495,"Custom",0,595))</f>
        <v>0</v>
      </c>
      <c r="N119" s="51" cm="1">
        <f t="array" ref="N119">IF(L119="",0,_xlfn.SWITCH(L119,"C1",325,"C2",325,"C3",325,"D1",380,"D2",380,"D3",380,"Custom",0,285))</f>
        <v>0</v>
      </c>
      <c r="O119" s="51">
        <f>IF(L119="",0,_xlfn.SWITCH(L119,"A1",375,"B1",375,"C1",375,"D1",375,"A2",310,"B2",310,"C2",310,"D2",310,"Custom",0,260))</f>
        <v>0</v>
      </c>
      <c r="P119" s="51">
        <f>IFERROR(IF(OR(M119=0,N119=0),0,(M119+N119)*2+11),0)</f>
        <v>0</v>
      </c>
      <c r="Q119" s="51">
        <f>IFERROR(IF(OR(N119=0,O119=0),0,(N119+O119)-16),0)</f>
        <v>0</v>
      </c>
      <c r="R119" s="53">
        <f>P119*Q119/1000000</f>
        <v>0</v>
      </c>
      <c r="S119" s="129">
        <f>IF(L119="Custom", R119*'[2]RFQ_Matalan Carton'!$M$40, IFERROR(VLOOKUP(L119,'[2]Carton Sizes Chart'!$A$4:$E$15,5,FALSE),0))</f>
        <v>0</v>
      </c>
      <c r="T119" s="124">
        <f>S119</f>
        <v>0</v>
      </c>
      <c r="U119" s="124">
        <f>I119*T119</f>
        <v>0</v>
      </c>
      <c r="V119" s="123">
        <f>((T119*I119)-W119)*4%</f>
        <v>0</v>
      </c>
      <c r="W119" s="124">
        <f>S119*I119*5%</f>
        <v>0</v>
      </c>
      <c r="X119" s="113"/>
    </row>
    <row r="120" spans="1:24">
      <c r="A120" s="118"/>
      <c r="B120" s="118"/>
      <c r="C120" s="119"/>
      <c r="D120" s="118"/>
      <c r="E120" s="118"/>
      <c r="F120" s="118"/>
      <c r="G120" s="119"/>
      <c r="H120" s="119"/>
      <c r="I120" s="133"/>
      <c r="J120" s="119" t="s">
        <v>95</v>
      </c>
      <c r="K120" s="119" t="s">
        <v>110</v>
      </c>
      <c r="L120" s="119" t="s">
        <v>123</v>
      </c>
      <c r="M120" s="51" cm="1">
        <f t="array" ref="M120">IF(L120="",0,_xlfn.SWITCH(L120,"A1",495,"A2",495,"A3",495,"Custom",0,595))</f>
        <v>0</v>
      </c>
      <c r="N120" s="51" cm="1">
        <f t="array" ref="N120">IF(L120="",0,_xlfn.SWITCH(L120,"C1",325,"C2",325,"C3",325,"D1",380,"D2",380,"D3",380,"Custom",0,285))</f>
        <v>0</v>
      </c>
      <c r="O120" s="51">
        <f>IF(L120="",0,_xlfn.SWITCH(L120,"A1",375,"B1",375,"C1",375,"D1",375,"A2",310,"B2",310,"C2",310,"D2",310,"Custom",0,260))</f>
        <v>0</v>
      </c>
      <c r="P120" s="51">
        <f>IFERROR(IF(OR(M120=0,N120=0),0,(M120+N120)*2+11),0)</f>
        <v>0</v>
      </c>
      <c r="Q120" s="51">
        <f>IFERROR(IF(OR(N120=0,O120=0),0,(N120+O120)-16),0)</f>
        <v>0</v>
      </c>
      <c r="R120" s="53">
        <f>P120*Q120/1000000</f>
        <v>0</v>
      </c>
      <c r="S120" s="129">
        <f>IF(L120="Custom", R120*'[2]RFQ_Matalan Carton'!$M$40, IFERROR(VLOOKUP(L120,'[2]Carton Sizes Chart'!$A$4:$E$15,5,FALSE),0))</f>
        <v>0</v>
      </c>
      <c r="T120" s="124">
        <f>S120</f>
        <v>0</v>
      </c>
      <c r="U120" s="124">
        <f>I120*T120</f>
        <v>0</v>
      </c>
      <c r="V120" s="123">
        <f>((T120*I120)-W120)*4%</f>
        <v>0</v>
      </c>
      <c r="W120" s="124">
        <f>S120*I120*5%</f>
        <v>0</v>
      </c>
      <c r="X120" s="113"/>
    </row>
    <row r="121" spans="1:24">
      <c r="A121" s="118"/>
      <c r="B121" s="118"/>
      <c r="C121" s="119"/>
      <c r="D121" s="118"/>
      <c r="E121" s="118"/>
      <c r="F121" s="118"/>
      <c r="G121" s="119"/>
      <c r="H121" s="119"/>
      <c r="I121" s="121"/>
      <c r="J121" s="119" t="s">
        <v>95</v>
      </c>
      <c r="K121" s="119" t="s">
        <v>110</v>
      </c>
      <c r="L121" s="119" t="s">
        <v>123</v>
      </c>
      <c r="M121" s="51" cm="1">
        <f t="array" ref="M121">IF(L121="",0,_xlfn.SWITCH(L121,"A1",495,"A2",495,"A3",495,"Custom",0,595))</f>
        <v>0</v>
      </c>
      <c r="N121" s="51" cm="1">
        <f t="array" ref="N121">IF(L121="",0,_xlfn.SWITCH(L121,"C1",325,"C2",325,"C3",325,"D1",380,"D2",380,"D3",380,"Custom",0,285))</f>
        <v>0</v>
      </c>
      <c r="O121" s="51">
        <f>IF(L121="",0,_xlfn.SWITCH(L121,"A1",375,"B1",375,"C1",375,"D1",375,"A2",310,"B2",310,"C2",310,"D2",310,"Custom",0,260))</f>
        <v>0</v>
      </c>
      <c r="P121" s="51">
        <f>IFERROR(IF(OR(M121=0,N121=0),0,(M121+N121)*2+11),0)</f>
        <v>0</v>
      </c>
      <c r="Q121" s="51">
        <f>IFERROR(IF(OR(N121=0,O121=0),0,(N121+O121)-16),0)</f>
        <v>0</v>
      </c>
      <c r="R121" s="53">
        <f>P121*Q121/1000000</f>
        <v>0</v>
      </c>
      <c r="S121" s="123">
        <f>IFERROR(VLOOKUP(L121,'Carton Sizes Chart'!$A$4:$E$15,5,FALSE),0)</f>
        <v>0</v>
      </c>
      <c r="T121" s="124">
        <f>S121</f>
        <v>0</v>
      </c>
      <c r="U121" s="124">
        <f>I121*T121</f>
        <v>0</v>
      </c>
      <c r="V121" s="123">
        <f>((T121*I121)-W121)*4%</f>
        <v>0</v>
      </c>
      <c r="W121" s="124">
        <f>S121*I121*5%</f>
        <v>0</v>
      </c>
      <c r="X121" s="113"/>
    </row>
    <row r="122" spans="1:24">
      <c r="A122" s="118"/>
      <c r="B122" s="118"/>
      <c r="C122" s="119"/>
      <c r="D122" s="118"/>
      <c r="E122" s="118"/>
      <c r="F122" s="118"/>
      <c r="G122" s="119"/>
      <c r="H122" s="121"/>
      <c r="I122" s="121"/>
      <c r="J122" s="119" t="s">
        <v>95</v>
      </c>
      <c r="K122" s="119" t="s">
        <v>110</v>
      </c>
      <c r="L122" s="119" t="s">
        <v>123</v>
      </c>
      <c r="M122" s="51" cm="1">
        <f t="array" ref="M122">IF(L122="",0,_xlfn.SWITCH(L122,"A1",495,"A2",495,"A3",495,"Custom",0,595))</f>
        <v>0</v>
      </c>
      <c r="N122" s="51" cm="1">
        <f t="array" ref="N122">IF(L122="",0,_xlfn.SWITCH(L122,"C1",325,"C2",325,"C3",325,"D1",380,"D2",380,"D3",380,"Custom",0,285))</f>
        <v>0</v>
      </c>
      <c r="O122" s="51">
        <f>IF(L122="",0,_xlfn.SWITCH(L122,"A1",375,"B1",375,"C1",375,"D1",375,"A2",310,"B2",310,"C2",310,"D2",310,"Custom",0,260))</f>
        <v>0</v>
      </c>
      <c r="P122" s="51">
        <f>IFERROR(IF(OR(M122=0,N122=0),0,(M122+N122)*2+11),0)</f>
        <v>0</v>
      </c>
      <c r="Q122" s="51">
        <f>IFERROR(IF(OR(N122=0,O122=0),0,(N122+O122)-16),0)</f>
        <v>0</v>
      </c>
      <c r="R122" s="53">
        <f>P122*Q122/1000000</f>
        <v>0</v>
      </c>
      <c r="S122" s="123">
        <f>IFERROR(VLOOKUP(L122,'Carton Sizes Chart'!$A$4:$E$15,5,FALSE),0)</f>
        <v>0</v>
      </c>
      <c r="T122" s="124">
        <f>S122</f>
        <v>0</v>
      </c>
      <c r="U122" s="124">
        <f>I122*T122</f>
        <v>0</v>
      </c>
      <c r="V122" s="123">
        <f>((T122*I122)-W122)*4%</f>
        <v>0</v>
      </c>
      <c r="W122" s="124">
        <f>S122*I122*5%</f>
        <v>0</v>
      </c>
      <c r="X122" s="113"/>
    </row>
    <row r="123" spans="1:24">
      <c r="A123" s="118"/>
      <c r="B123" s="118"/>
      <c r="C123" s="119"/>
      <c r="D123" s="118"/>
      <c r="E123" s="118"/>
      <c r="F123" s="118"/>
      <c r="G123" s="119"/>
      <c r="H123" s="121"/>
      <c r="I123" s="121"/>
      <c r="J123" s="119" t="s">
        <v>95</v>
      </c>
      <c r="K123" s="119" t="s">
        <v>110</v>
      </c>
      <c r="L123" s="119" t="s">
        <v>123</v>
      </c>
      <c r="M123" s="51" cm="1">
        <f t="array" ref="M123">IF(L123="",0,_xlfn.SWITCH(L123,"A1",495,"A2",495,"A3",495,"Custom",0,595))</f>
        <v>0</v>
      </c>
      <c r="N123" s="51" cm="1">
        <f t="array" ref="N123">IF(L123="",0,_xlfn.SWITCH(L123,"C1",325,"C2",325,"C3",325,"D1",380,"D2",380,"D3",380,"Custom",0,285))</f>
        <v>0</v>
      </c>
      <c r="O123" s="51">
        <f>IF(L123="",0,_xlfn.SWITCH(L123,"A1",375,"B1",375,"C1",375,"D1",375,"A2",310,"B2",310,"C2",310,"D2",310,"Custom",0,260))</f>
        <v>0</v>
      </c>
      <c r="P123" s="51">
        <f>IFERROR(IF(OR(M123=0,N123=0),0,(M123+N123)*2+11),0)</f>
        <v>0</v>
      </c>
      <c r="Q123" s="51">
        <f>IFERROR(IF(OR(N123=0,O123=0),0,(N123+O123)-16),0)</f>
        <v>0</v>
      </c>
      <c r="R123" s="53">
        <f>P123*Q123/1000000</f>
        <v>0</v>
      </c>
      <c r="S123" s="129">
        <f>IF(L123="Custom", R123*'[1]RFQ_Matalan Carton'!$M$40, IFERROR(VLOOKUP(L123,'[1]Carton Sizes Chart'!$A$4:$E$15,5,FALSE),0))</f>
        <v>0</v>
      </c>
      <c r="T123" s="124">
        <f>S123</f>
        <v>0</v>
      </c>
      <c r="U123" s="124">
        <f>I123*T123</f>
        <v>0</v>
      </c>
      <c r="V123" s="123">
        <f>((T123*I123)-W123)*4%</f>
        <v>0</v>
      </c>
      <c r="W123" s="124">
        <f>S123*I123*5%</f>
        <v>0</v>
      </c>
      <c r="X123" s="113"/>
    </row>
    <row r="124" spans="1:24">
      <c r="A124" s="118"/>
      <c r="B124" s="120"/>
      <c r="C124" s="119"/>
      <c r="D124" s="118"/>
      <c r="E124" s="118"/>
      <c r="F124" s="118"/>
      <c r="G124" s="119"/>
      <c r="H124" s="121"/>
      <c r="I124" s="121"/>
      <c r="J124" s="119" t="s">
        <v>95</v>
      </c>
      <c r="K124" s="119" t="s">
        <v>110</v>
      </c>
      <c r="L124" s="119" t="s">
        <v>123</v>
      </c>
      <c r="M124" s="51" cm="1">
        <f t="array" ref="M124">IF(L124="",0,_xlfn.SWITCH(L124,"A1",495,"A2",495,"A3",495,"Custom",0,595))</f>
        <v>0</v>
      </c>
      <c r="N124" s="51" cm="1">
        <f t="array" ref="N124">IF(L124="",0,_xlfn.SWITCH(L124,"C1",325,"C2",325,"C3",325,"D1",380,"D2",380,"D3",380,"Custom",0,285))</f>
        <v>0</v>
      </c>
      <c r="O124" s="51">
        <f>IF(L124="",0,_xlfn.SWITCH(L124,"A1",375,"B1",375,"C1",375,"D1",375,"A2",310,"B2",310,"C2",310,"D2",310,"Custom",0,260))</f>
        <v>0</v>
      </c>
      <c r="P124" s="51">
        <f>IFERROR(IF(OR(M124=0,N124=0),0,(M124+N124)*2+11),0)</f>
        <v>0</v>
      </c>
      <c r="Q124" s="51">
        <f>IFERROR(IF(OR(N124=0,O124=0),0,(N124+O124)-16),0)</f>
        <v>0</v>
      </c>
      <c r="R124" s="53">
        <f>P124*Q124/1000000</f>
        <v>0</v>
      </c>
      <c r="S124" s="123">
        <f>IFERROR(VLOOKUP(L124,'Carton Sizes Chart'!$A$4:$E$15,5,FALSE),0)</f>
        <v>0</v>
      </c>
      <c r="T124" s="124">
        <f>S124</f>
        <v>0</v>
      </c>
      <c r="U124" s="124">
        <f>I124*T124</f>
        <v>0</v>
      </c>
      <c r="V124" s="123">
        <f>((T124*I124)-W124)*4%</f>
        <v>0</v>
      </c>
      <c r="W124" s="124">
        <f>S124*I124*5%</f>
        <v>0</v>
      </c>
      <c r="X124" s="113"/>
    </row>
    <row r="125" spans="1:24">
      <c r="A125" s="118"/>
      <c r="B125" s="118"/>
      <c r="C125" s="119"/>
      <c r="D125" s="118"/>
      <c r="E125" s="118"/>
      <c r="F125" s="118"/>
      <c r="G125" s="119"/>
      <c r="H125" s="119"/>
      <c r="I125" s="121"/>
      <c r="J125" s="119" t="s">
        <v>95</v>
      </c>
      <c r="K125" s="119" t="s">
        <v>110</v>
      </c>
      <c r="L125" s="119" t="s">
        <v>123</v>
      </c>
      <c r="M125" s="51" cm="1">
        <f t="array" ref="M125">IF(L125="",0,_xlfn.SWITCH(L125,"A1",495,"A2",495,"A3",495,"Custom",0,595))</f>
        <v>0</v>
      </c>
      <c r="N125" s="51" cm="1">
        <f t="array" ref="N125">IF(L125="",0,_xlfn.SWITCH(L125,"C1",325,"C2",325,"C3",325,"D1",380,"D2",380,"D3",380,"Custom",0,285))</f>
        <v>0</v>
      </c>
      <c r="O125" s="51">
        <f>IF(L125="",0,_xlfn.SWITCH(L125,"A1",375,"B1",375,"C1",375,"D1",375,"A2",310,"B2",310,"C2",310,"D2",310,"Custom",0,260))</f>
        <v>0</v>
      </c>
      <c r="P125" s="51">
        <f>IFERROR(IF(OR(M125=0,N125=0),0,(M125+N125)*2+11),0)</f>
        <v>0</v>
      </c>
      <c r="Q125" s="51">
        <f>IFERROR(IF(OR(N125=0,O125=0),0,(N125+O125)-16),0)</f>
        <v>0</v>
      </c>
      <c r="R125" s="53">
        <f>P125*Q125/1000000</f>
        <v>0</v>
      </c>
      <c r="S125" s="123">
        <f>IFERROR(VLOOKUP(L125,'Carton Sizes Chart'!$A$4:$E$15,5,FALSE),0)</f>
        <v>0</v>
      </c>
      <c r="T125" s="124">
        <f>S125</f>
        <v>0</v>
      </c>
      <c r="U125" s="124">
        <f>I125*T125</f>
        <v>0</v>
      </c>
      <c r="V125" s="123">
        <f>((T125*I125)-W125)*4%</f>
        <v>0</v>
      </c>
      <c r="W125" s="124">
        <f>S125*I125*5%</f>
        <v>0</v>
      </c>
      <c r="X125" s="113"/>
    </row>
    <row r="126" spans="1:24">
      <c r="A126" s="118"/>
      <c r="B126" s="118"/>
      <c r="C126" s="119"/>
      <c r="D126" s="118"/>
      <c r="E126" s="118"/>
      <c r="F126" s="118"/>
      <c r="G126" s="119"/>
      <c r="H126" s="119"/>
      <c r="I126" s="121"/>
      <c r="J126" s="119" t="s">
        <v>95</v>
      </c>
      <c r="K126" s="119" t="s">
        <v>110</v>
      </c>
      <c r="L126" s="119" t="s">
        <v>123</v>
      </c>
      <c r="M126" s="51" cm="1">
        <f t="array" ref="M126">IF(L126="",0,_xlfn.SWITCH(L126,"A1",495,"A2",495,"A3",495,"Custom",0,595))</f>
        <v>0</v>
      </c>
      <c r="N126" s="51" cm="1">
        <f t="array" ref="N126">IF(L126="",0,_xlfn.SWITCH(L126,"C1",325,"C2",325,"C3",325,"D1",380,"D2",380,"D3",380,"Custom",0,285))</f>
        <v>0</v>
      </c>
      <c r="O126" s="51">
        <f>IF(L126="",0,_xlfn.SWITCH(L126,"A1",375,"B1",375,"C1",375,"D1",375,"A2",310,"B2",310,"C2",310,"D2",310,"Custom",0,260))</f>
        <v>0</v>
      </c>
      <c r="P126" s="51">
        <f>IFERROR(IF(OR(M126=0,N126=0),0,(M126+N126)*2+11),0)</f>
        <v>0</v>
      </c>
      <c r="Q126" s="51">
        <f>IFERROR(IF(OR(N126=0,O126=0),0,(N126+O126)-16),0)</f>
        <v>0</v>
      </c>
      <c r="R126" s="53">
        <f>P126*Q126/1000000</f>
        <v>0</v>
      </c>
      <c r="S126" s="123">
        <f>IFERROR(VLOOKUP(L126,'Carton Sizes Chart'!$A$4:$E$15,5,FALSE),0)</f>
        <v>0</v>
      </c>
      <c r="T126" s="124">
        <f>S126</f>
        <v>0</v>
      </c>
      <c r="U126" s="124">
        <f>I126*T126</f>
        <v>0</v>
      </c>
      <c r="V126" s="123">
        <f>((T126*I126)-W126)*4%</f>
        <v>0</v>
      </c>
      <c r="W126" s="124">
        <f>S126*I126*5%</f>
        <v>0</v>
      </c>
      <c r="X126" s="113"/>
    </row>
    <row r="127" spans="1:24">
      <c r="A127" s="118"/>
      <c r="B127" s="118"/>
      <c r="C127" s="119"/>
      <c r="D127" s="118"/>
      <c r="E127" s="118"/>
      <c r="F127" s="118"/>
      <c r="G127" s="119"/>
      <c r="H127" s="119"/>
      <c r="I127" s="121"/>
      <c r="J127" s="119" t="s">
        <v>95</v>
      </c>
      <c r="K127" s="119" t="s">
        <v>110</v>
      </c>
      <c r="L127" s="119" t="s">
        <v>123</v>
      </c>
      <c r="M127" s="51" cm="1">
        <f t="array" ref="M127">IF(L127="",0,_xlfn.SWITCH(L127,"A1",495,"A2",495,"A3",495,"Custom",0,595))</f>
        <v>0</v>
      </c>
      <c r="N127" s="51" cm="1">
        <f t="array" ref="N127">IF(L127="",0,_xlfn.SWITCH(L127,"C1",325,"C2",325,"C3",325,"D1",380,"D2",380,"D3",380,"Custom",0,285))</f>
        <v>0</v>
      </c>
      <c r="O127" s="51">
        <f>IF(L127="",0,_xlfn.SWITCH(L127,"A1",375,"B1",375,"C1",375,"D1",375,"A2",310,"B2",310,"C2",310,"D2",310,"Custom",0,260))</f>
        <v>0</v>
      </c>
      <c r="P127" s="51">
        <f>IFERROR(IF(OR(M127=0,N127=0),0,(M127+N127)*2+11),0)</f>
        <v>0</v>
      </c>
      <c r="Q127" s="51">
        <f>IFERROR(IF(OR(N127=0,O127=0),0,(N127+O127)-16),0)</f>
        <v>0</v>
      </c>
      <c r="R127" s="53">
        <f>P127*Q127/1000000</f>
        <v>0</v>
      </c>
      <c r="S127" s="123">
        <f>IFERROR(VLOOKUP(L127,'Carton Sizes Chart'!$A$4:$E$15,5,FALSE),0)</f>
        <v>0</v>
      </c>
      <c r="T127" s="124">
        <f>S127</f>
        <v>0</v>
      </c>
      <c r="U127" s="124">
        <f>I127*T127</f>
        <v>0</v>
      </c>
      <c r="V127" s="123">
        <f>((T127*I127)-W127)*4%</f>
        <v>0</v>
      </c>
      <c r="W127" s="124">
        <f>S127*I127*5%</f>
        <v>0</v>
      </c>
      <c r="X127" s="113"/>
    </row>
    <row r="128" spans="1:24">
      <c r="A128" s="118"/>
      <c r="B128" s="118"/>
      <c r="C128" s="119"/>
      <c r="D128" s="118"/>
      <c r="E128" s="118"/>
      <c r="F128" s="118"/>
      <c r="G128" s="119"/>
      <c r="H128" s="119"/>
      <c r="I128" s="133"/>
      <c r="J128" s="119" t="s">
        <v>95</v>
      </c>
      <c r="K128" s="119" t="s">
        <v>110</v>
      </c>
      <c r="L128" s="119" t="s">
        <v>123</v>
      </c>
      <c r="M128" s="51" cm="1">
        <f t="array" ref="M128">IF(L128="",0,_xlfn.SWITCH(L128,"A1",495,"A2",495,"A3",495,"Custom",0,595))</f>
        <v>0</v>
      </c>
      <c r="N128" s="51" cm="1">
        <f t="array" ref="N128">IF(L128="",0,_xlfn.SWITCH(L128,"C1",325,"C2",325,"C3",325,"D1",380,"D2",380,"D3",380,"Custom",0,285))</f>
        <v>0</v>
      </c>
      <c r="O128" s="51">
        <f>IF(L128="",0,_xlfn.SWITCH(L128,"A1",375,"B1",375,"C1",375,"D1",375,"A2",310,"B2",310,"C2",310,"D2",310,"Custom",0,260))</f>
        <v>0</v>
      </c>
      <c r="P128" s="51">
        <f>IFERROR(IF(OR(M128=0,N128=0),0,(M128+N128)*2+11),0)</f>
        <v>0</v>
      </c>
      <c r="Q128" s="51">
        <f>IFERROR(IF(OR(N128=0,O128=0),0,(N128+O128)-16),0)</f>
        <v>0</v>
      </c>
      <c r="R128" s="53">
        <f>P128*Q128/1000000</f>
        <v>0</v>
      </c>
      <c r="S128" s="129">
        <f>IF(L128="Custom", R128*'[2]RFQ_Matalan Carton'!$M$40, IFERROR(VLOOKUP(L128,'[2]Carton Sizes Chart'!$A$4:$E$15,5,FALSE),0))</f>
        <v>0</v>
      </c>
      <c r="T128" s="124">
        <f>S128</f>
        <v>0</v>
      </c>
      <c r="U128" s="124">
        <f>I128*T128</f>
        <v>0</v>
      </c>
      <c r="V128" s="123">
        <f>((T128*I128)-W128)*4%</f>
        <v>0</v>
      </c>
      <c r="W128" s="124">
        <f>S128*I128*5%</f>
        <v>0</v>
      </c>
      <c r="X128" s="113"/>
    </row>
    <row r="129" spans="1:24">
      <c r="A129" s="118"/>
      <c r="B129" s="118"/>
      <c r="C129" s="119"/>
      <c r="D129" s="118"/>
      <c r="E129" s="118"/>
      <c r="F129" s="118"/>
      <c r="G129" s="119"/>
      <c r="H129" s="119"/>
      <c r="I129" s="133"/>
      <c r="J129" s="119" t="s">
        <v>95</v>
      </c>
      <c r="K129" s="119" t="s">
        <v>110</v>
      </c>
      <c r="L129" s="119" t="s">
        <v>123</v>
      </c>
      <c r="M129" s="51" cm="1">
        <f t="array" ref="M129">IF(L129="",0,_xlfn.SWITCH(L129,"A1",495,"A2",495,"A3",495,"Custom",0,595))</f>
        <v>0</v>
      </c>
      <c r="N129" s="51" cm="1">
        <f t="array" ref="N129">IF(L129="",0,_xlfn.SWITCH(L129,"C1",325,"C2",325,"C3",325,"D1",380,"D2",380,"D3",380,"Custom",0,285))</f>
        <v>0</v>
      </c>
      <c r="O129" s="51">
        <f>IF(L129="",0,_xlfn.SWITCH(L129,"A1",375,"B1",375,"C1",375,"D1",375,"A2",310,"B2",310,"C2",310,"D2",310,"Custom",0,260))</f>
        <v>0</v>
      </c>
      <c r="P129" s="51">
        <f>IFERROR(IF(OR(M129=0,N129=0),0,(M129+N129)*2+11),0)</f>
        <v>0</v>
      </c>
      <c r="Q129" s="51">
        <f>IFERROR(IF(OR(N129=0,O129=0),0,(N129+O129)-16),0)</f>
        <v>0</v>
      </c>
      <c r="R129" s="53">
        <f>P129*Q129/1000000</f>
        <v>0</v>
      </c>
      <c r="S129" s="129">
        <f>IF(L129="Custom", R129*'[2]RFQ_Matalan Carton'!$M$40, IFERROR(VLOOKUP(L129,'[2]Carton Sizes Chart'!$A$4:$E$15,5,FALSE),0))</f>
        <v>0</v>
      </c>
      <c r="T129" s="124">
        <f>S129</f>
        <v>0</v>
      </c>
      <c r="U129" s="124">
        <f>I129*T129</f>
        <v>0</v>
      </c>
      <c r="V129" s="123">
        <f>((T129*I129)-W129)*4%</f>
        <v>0</v>
      </c>
      <c r="W129" s="124">
        <f>S129*I129*5%</f>
        <v>0</v>
      </c>
      <c r="X129" s="113"/>
    </row>
    <row r="130" spans="1:24">
      <c r="A130" s="118"/>
      <c r="B130" s="118"/>
      <c r="C130" s="119"/>
      <c r="D130" s="118"/>
      <c r="E130" s="118"/>
      <c r="F130" s="118"/>
      <c r="G130" s="119"/>
      <c r="H130" s="119"/>
      <c r="I130" s="121"/>
      <c r="J130" s="119" t="s">
        <v>95</v>
      </c>
      <c r="K130" s="119" t="s">
        <v>110</v>
      </c>
      <c r="L130" s="119" t="s">
        <v>123</v>
      </c>
      <c r="M130" s="51" cm="1">
        <f t="array" ref="M130">IF(L130="",0,_xlfn.SWITCH(L130,"A1",495,"A2",495,"A3",495,"Custom",0,595))</f>
        <v>0</v>
      </c>
      <c r="N130" s="51" cm="1">
        <f t="array" ref="N130">IF(L130="",0,_xlfn.SWITCH(L130,"C1",325,"C2",325,"C3",325,"D1",380,"D2",380,"D3",380,"Custom",0,285))</f>
        <v>0</v>
      </c>
      <c r="O130" s="51">
        <f>IF(L130="",0,_xlfn.SWITCH(L130,"A1",375,"B1",375,"C1",375,"D1",375,"A2",310,"B2",310,"C2",310,"D2",310,"Custom",0,260))</f>
        <v>0</v>
      </c>
      <c r="P130" s="51">
        <f>IFERROR(IF(OR(M130=0,N130=0),0,(M130+N130)*2+11),0)</f>
        <v>0</v>
      </c>
      <c r="Q130" s="51">
        <f>IFERROR(IF(OR(N130=0,O130=0),0,(N130+O130)-16),0)</f>
        <v>0</v>
      </c>
      <c r="R130" s="53">
        <f>P130*Q130/1000000</f>
        <v>0</v>
      </c>
      <c r="S130" s="129">
        <f>IF(L130="Custom", R130*'[2]RFQ_Matalan Carton'!$M$40, IFERROR(VLOOKUP(L130,'[2]Carton Sizes Chart'!$A$4:$E$15,5,FALSE),0))</f>
        <v>0</v>
      </c>
      <c r="T130" s="124">
        <f>S130</f>
        <v>0</v>
      </c>
      <c r="U130" s="124">
        <f>I130*T130</f>
        <v>0</v>
      </c>
      <c r="V130" s="123">
        <f>((T130*I130)-W130)*4%</f>
        <v>0</v>
      </c>
      <c r="W130" s="124">
        <f>S130*I130*5%</f>
        <v>0</v>
      </c>
      <c r="X130" s="113"/>
    </row>
    <row r="131" spans="1:24">
      <c r="A131" s="118"/>
      <c r="B131" s="118"/>
      <c r="C131" s="119"/>
      <c r="D131" s="118"/>
      <c r="E131" s="118"/>
      <c r="F131" s="118"/>
      <c r="G131" s="119"/>
      <c r="H131" s="119"/>
      <c r="I131" s="133"/>
      <c r="J131" s="119" t="s">
        <v>95</v>
      </c>
      <c r="K131" s="119" t="s">
        <v>110</v>
      </c>
      <c r="L131" s="119" t="s">
        <v>123</v>
      </c>
      <c r="M131" s="51" cm="1">
        <f t="array" ref="M131">IF(L131="",0,_xlfn.SWITCH(L131,"A1",495,"A2",495,"A3",495,"Custom",0,595))</f>
        <v>0</v>
      </c>
      <c r="N131" s="51" cm="1">
        <f t="array" ref="N131">IF(L131="",0,_xlfn.SWITCH(L131,"C1",325,"C2",325,"C3",325,"D1",380,"D2",380,"D3",380,"Custom",0,285))</f>
        <v>0</v>
      </c>
      <c r="O131" s="51">
        <f>IF(L131="",0,_xlfn.SWITCH(L131,"A1",375,"B1",375,"C1",375,"D1",375,"A2",310,"B2",310,"C2",310,"D2",310,"Custom",0,260))</f>
        <v>0</v>
      </c>
      <c r="P131" s="51">
        <f>IFERROR(IF(OR(M131=0,N131=0),0,(M131+N131)*2+11),0)</f>
        <v>0</v>
      </c>
      <c r="Q131" s="51">
        <f>IFERROR(IF(OR(N131=0,O131=0),0,(N131+O131)-16),0)</f>
        <v>0</v>
      </c>
      <c r="R131" s="53">
        <f>P131*Q131/1000000</f>
        <v>0</v>
      </c>
      <c r="S131" s="129">
        <f>IF(L131="Custom", R131*'[2]RFQ_Matalan Carton'!$M$40, IFERROR(VLOOKUP(L131,'[2]Carton Sizes Chart'!$A$4:$E$15,5,FALSE),0))</f>
        <v>0</v>
      </c>
      <c r="T131" s="124">
        <f>S131</f>
        <v>0</v>
      </c>
      <c r="U131" s="124">
        <f>I131*T131</f>
        <v>0</v>
      </c>
      <c r="V131" s="123">
        <f>((T131*I131)-W131)*4%</f>
        <v>0</v>
      </c>
      <c r="W131" s="124">
        <f>S131*I131*5%</f>
        <v>0</v>
      </c>
      <c r="X131" s="113"/>
    </row>
    <row r="132" spans="1:24">
      <c r="A132" s="118"/>
      <c r="B132" s="118"/>
      <c r="C132" s="119"/>
      <c r="D132" s="118"/>
      <c r="E132" s="118"/>
      <c r="F132" s="118"/>
      <c r="G132" s="119"/>
      <c r="H132" s="119"/>
      <c r="I132" s="133"/>
      <c r="J132" s="119" t="s">
        <v>95</v>
      </c>
      <c r="K132" s="119" t="s">
        <v>110</v>
      </c>
      <c r="L132" s="119" t="s">
        <v>123</v>
      </c>
      <c r="M132" s="51" cm="1">
        <f t="array" ref="M132">IF(L132="",0,_xlfn.SWITCH(L132,"A1",495,"A2",495,"A3",495,"Custom",0,595))</f>
        <v>0</v>
      </c>
      <c r="N132" s="51" cm="1">
        <f t="array" ref="N132">IF(L132="",0,_xlfn.SWITCH(L132,"C1",325,"C2",325,"C3",325,"D1",380,"D2",380,"D3",380,"Custom",0,285))</f>
        <v>0</v>
      </c>
      <c r="O132" s="51">
        <f>IF(L132="",0,_xlfn.SWITCH(L132,"A1",375,"B1",375,"C1",375,"D1",375,"A2",310,"B2",310,"C2",310,"D2",310,"Custom",0,260))</f>
        <v>0</v>
      </c>
      <c r="P132" s="51">
        <f>IFERROR(IF(OR(M132=0,N132=0),0,(M132+N132)*2+11),0)</f>
        <v>0</v>
      </c>
      <c r="Q132" s="51">
        <f>IFERROR(IF(OR(N132=0,O132=0),0,(N132+O132)-16),0)</f>
        <v>0</v>
      </c>
      <c r="R132" s="53">
        <f>P132*Q132/1000000</f>
        <v>0</v>
      </c>
      <c r="S132" s="129">
        <f>IF(L132="Custom", R132*'[2]RFQ_Matalan Carton'!$M$40, IFERROR(VLOOKUP(L132,'[2]Carton Sizes Chart'!$A$4:$E$15,5,FALSE),0))</f>
        <v>0</v>
      </c>
      <c r="T132" s="124">
        <f>S132</f>
        <v>0</v>
      </c>
      <c r="U132" s="124">
        <f>I132*T132</f>
        <v>0</v>
      </c>
      <c r="V132" s="123">
        <f>((T132*I132)-W132)*4%</f>
        <v>0</v>
      </c>
      <c r="W132" s="124">
        <f>S132*I132*5%</f>
        <v>0</v>
      </c>
      <c r="X132" s="113"/>
    </row>
    <row r="133" spans="1:24">
      <c r="A133" s="118"/>
      <c r="B133" s="118"/>
      <c r="C133" s="119"/>
      <c r="D133" s="118"/>
      <c r="E133" s="118"/>
      <c r="F133" s="118"/>
      <c r="G133" s="119"/>
      <c r="H133" s="119"/>
      <c r="I133" s="133"/>
      <c r="J133" s="119" t="s">
        <v>95</v>
      </c>
      <c r="K133" s="119" t="s">
        <v>110</v>
      </c>
      <c r="L133" s="119" t="s">
        <v>123</v>
      </c>
      <c r="M133" s="51" cm="1">
        <f t="array" ref="M133">IF(L133="",0,_xlfn.SWITCH(L133,"A1",495,"A2",495,"A3",495,"Custom",0,595))</f>
        <v>0</v>
      </c>
      <c r="N133" s="51" cm="1">
        <f t="array" ref="N133">IF(L133="",0,_xlfn.SWITCH(L133,"C1",325,"C2",325,"C3",325,"D1",380,"D2",380,"D3",380,"Custom",0,285))</f>
        <v>0</v>
      </c>
      <c r="O133" s="51">
        <f>IF(L133="",0,_xlfn.SWITCH(L133,"A1",375,"B1",375,"C1",375,"D1",375,"A2",310,"B2",310,"C2",310,"D2",310,"Custom",0,260))</f>
        <v>0</v>
      </c>
      <c r="P133" s="51">
        <f>IFERROR(IF(OR(M133=0,N133=0),0,(M133+N133)*2+11),0)</f>
        <v>0</v>
      </c>
      <c r="Q133" s="51">
        <f>IFERROR(IF(OR(N133=0,O133=0),0,(N133+O133)-16),0)</f>
        <v>0</v>
      </c>
      <c r="R133" s="53">
        <f>P133*Q133/1000000</f>
        <v>0</v>
      </c>
      <c r="S133" s="129">
        <f>IF(L133="Custom", R133*'[2]RFQ_Matalan Carton'!$M$40, IFERROR(VLOOKUP(L133,'[2]Carton Sizes Chart'!$A$4:$E$15,5,FALSE),0))</f>
        <v>0</v>
      </c>
      <c r="T133" s="124">
        <f>S133</f>
        <v>0</v>
      </c>
      <c r="U133" s="124">
        <f>I133*T133</f>
        <v>0</v>
      </c>
      <c r="V133" s="123">
        <f>((T133*I133)-W133)*4%</f>
        <v>0</v>
      </c>
      <c r="W133" s="124">
        <f>S133*I133*5%</f>
        <v>0</v>
      </c>
      <c r="X133" s="113"/>
    </row>
    <row r="134" spans="1:24">
      <c r="A134" s="118"/>
      <c r="B134" s="118"/>
      <c r="C134" s="119"/>
      <c r="D134" s="118"/>
      <c r="E134" s="118"/>
      <c r="F134" s="118"/>
      <c r="G134" s="119"/>
      <c r="H134" s="119"/>
      <c r="I134" s="133"/>
      <c r="J134" s="119" t="s">
        <v>95</v>
      </c>
      <c r="K134" s="119" t="s">
        <v>110</v>
      </c>
      <c r="L134" s="119" t="s">
        <v>123</v>
      </c>
      <c r="M134" s="51" cm="1">
        <f t="array" ref="M134">IF(L134="",0,_xlfn.SWITCH(L134,"A1",495,"A2",495,"A3",495,"Custom",0,595))</f>
        <v>0</v>
      </c>
      <c r="N134" s="51" cm="1">
        <f t="array" ref="N134">IF(L134="",0,_xlfn.SWITCH(L134,"C1",325,"C2",325,"C3",325,"D1",380,"D2",380,"D3",380,"Custom",0,285))</f>
        <v>0</v>
      </c>
      <c r="O134" s="51">
        <f>IF(L134="",0,_xlfn.SWITCH(L134,"A1",375,"B1",375,"C1",375,"D1",375,"A2",310,"B2",310,"C2",310,"D2",310,"Custom",0,260))</f>
        <v>0</v>
      </c>
      <c r="P134" s="51">
        <f>IFERROR(IF(OR(M134=0,N134=0),0,(M134+N134)*2+11),0)</f>
        <v>0</v>
      </c>
      <c r="Q134" s="51">
        <f>IFERROR(IF(OR(N134=0,O134=0),0,(N134+O134)-16),0)</f>
        <v>0</v>
      </c>
      <c r="R134" s="53">
        <f>P134*Q134/1000000</f>
        <v>0</v>
      </c>
      <c r="S134" s="129">
        <f>IF(L134="Custom", R134*'[2]RFQ_Matalan Carton'!$M$40, IFERROR(VLOOKUP(L134,'[2]Carton Sizes Chart'!$A$4:$E$15,5,FALSE),0))</f>
        <v>0</v>
      </c>
      <c r="T134" s="124">
        <f>S134</f>
        <v>0</v>
      </c>
      <c r="U134" s="124">
        <f>I134*T134</f>
        <v>0</v>
      </c>
      <c r="V134" s="123">
        <f>((T134*I134)-W134)*4%</f>
        <v>0</v>
      </c>
      <c r="W134" s="124">
        <f>S134*I134*5%</f>
        <v>0</v>
      </c>
      <c r="X134" s="113"/>
    </row>
    <row r="135" spans="1:24">
      <c r="A135" s="118"/>
      <c r="B135" s="118"/>
      <c r="C135" s="119"/>
      <c r="D135" s="118"/>
      <c r="E135" s="118"/>
      <c r="F135" s="118"/>
      <c r="G135" s="119"/>
      <c r="H135" s="119"/>
      <c r="I135" s="133"/>
      <c r="J135" s="119" t="s">
        <v>95</v>
      </c>
      <c r="K135" s="119" t="s">
        <v>110</v>
      </c>
      <c r="L135" s="119" t="s">
        <v>123</v>
      </c>
      <c r="M135" s="51" cm="1">
        <f t="array" ref="M135">IF(L135="",0,_xlfn.SWITCH(L135,"A1",495,"A2",495,"A3",495,"Custom",0,595))</f>
        <v>0</v>
      </c>
      <c r="N135" s="51" cm="1">
        <f t="array" ref="N135">IF(L135="",0,_xlfn.SWITCH(L135,"C1",325,"C2",325,"C3",325,"D1",380,"D2",380,"D3",380,"Custom",0,285))</f>
        <v>0</v>
      </c>
      <c r="O135" s="51">
        <f>IF(L135="",0,_xlfn.SWITCH(L135,"A1",375,"B1",375,"C1",375,"D1",375,"A2",310,"B2",310,"C2",310,"D2",310,"Custom",0,260))</f>
        <v>0</v>
      </c>
      <c r="P135" s="51">
        <f>IFERROR(IF(OR(M135=0,N135=0),0,(M135+N135)*2+11),0)</f>
        <v>0</v>
      </c>
      <c r="Q135" s="51">
        <f>IFERROR(IF(OR(N135=0,O135=0),0,(N135+O135)-16),0)</f>
        <v>0</v>
      </c>
      <c r="R135" s="53">
        <f>P135*Q135/1000000</f>
        <v>0</v>
      </c>
      <c r="S135" s="129">
        <f>IF(L135="Custom", R135*'[2]RFQ_Matalan Carton'!$M$40, IFERROR(VLOOKUP(L135,'[2]Carton Sizes Chart'!$A$4:$E$15,5,FALSE),0))</f>
        <v>0</v>
      </c>
      <c r="T135" s="124">
        <f>S135</f>
        <v>0</v>
      </c>
      <c r="U135" s="124">
        <f>I135*T135</f>
        <v>0</v>
      </c>
      <c r="V135" s="123">
        <f>((T135*I135)-W135)*4%</f>
        <v>0</v>
      </c>
      <c r="W135" s="124">
        <f>S135*I135*5%</f>
        <v>0</v>
      </c>
      <c r="X135" s="113"/>
    </row>
    <row r="136" spans="1:24">
      <c r="A136" s="118"/>
      <c r="B136" s="118"/>
      <c r="C136" s="119"/>
      <c r="D136" s="118"/>
      <c r="E136" s="118"/>
      <c r="F136" s="118"/>
      <c r="G136" s="119"/>
      <c r="H136" s="119"/>
      <c r="I136" s="133"/>
      <c r="J136" s="119" t="s">
        <v>95</v>
      </c>
      <c r="K136" s="119" t="s">
        <v>110</v>
      </c>
      <c r="L136" s="119" t="s">
        <v>123</v>
      </c>
      <c r="M136" s="51" cm="1">
        <f t="array" ref="M136">IF(L136="",0,_xlfn.SWITCH(L136,"A1",495,"A2",495,"A3",495,"Custom",0,595))</f>
        <v>0</v>
      </c>
      <c r="N136" s="51" cm="1">
        <f t="array" ref="N136">IF(L136="",0,_xlfn.SWITCH(L136,"C1",325,"C2",325,"C3",325,"D1",380,"D2",380,"D3",380,"Custom",0,285))</f>
        <v>0</v>
      </c>
      <c r="O136" s="51">
        <f>IF(L136="",0,_xlfn.SWITCH(L136,"A1",375,"B1",375,"C1",375,"D1",375,"A2",310,"B2",310,"C2",310,"D2",310,"Custom",0,260))</f>
        <v>0</v>
      </c>
      <c r="P136" s="51">
        <f>IFERROR(IF(OR(M136=0,N136=0),0,(M136+N136)*2+11),0)</f>
        <v>0</v>
      </c>
      <c r="Q136" s="51">
        <f>IFERROR(IF(OR(N136=0,O136=0),0,(N136+O136)-16),0)</f>
        <v>0</v>
      </c>
      <c r="R136" s="53">
        <f>P136*Q136/1000000</f>
        <v>0</v>
      </c>
      <c r="S136" s="129">
        <f>IF(L136="Custom", R136*'[2]RFQ_Matalan Carton'!$M$40, IFERROR(VLOOKUP(L136,'[2]Carton Sizes Chart'!$A$4:$E$15,5,FALSE),0))</f>
        <v>0</v>
      </c>
      <c r="T136" s="124">
        <f>S136</f>
        <v>0</v>
      </c>
      <c r="U136" s="124">
        <f>I136*T136</f>
        <v>0</v>
      </c>
      <c r="V136" s="123">
        <f>((T136*I136)-W136)*4%</f>
        <v>0</v>
      </c>
      <c r="W136" s="124">
        <f>S136*I136*5%</f>
        <v>0</v>
      </c>
      <c r="X136" s="113"/>
    </row>
    <row r="137" spans="1:24">
      <c r="A137" s="118"/>
      <c r="B137" s="118"/>
      <c r="C137" s="119"/>
      <c r="D137" s="118"/>
      <c r="E137" s="118"/>
      <c r="F137" s="118"/>
      <c r="G137" s="119"/>
      <c r="H137" s="119"/>
      <c r="I137" s="133"/>
      <c r="J137" s="119" t="s">
        <v>95</v>
      </c>
      <c r="K137" s="119" t="s">
        <v>110</v>
      </c>
      <c r="L137" s="119" t="s">
        <v>123</v>
      </c>
      <c r="M137" s="51" cm="1">
        <f t="array" ref="M137">IF(L137="",0,_xlfn.SWITCH(L137,"A1",495,"A2",495,"A3",495,"Custom",0,595))</f>
        <v>0</v>
      </c>
      <c r="N137" s="51" cm="1">
        <f t="array" ref="N137">IF(L137="",0,_xlfn.SWITCH(L137,"C1",325,"C2",325,"C3",325,"D1",380,"D2",380,"D3",380,"Custom",0,285))</f>
        <v>0</v>
      </c>
      <c r="O137" s="51">
        <f>IF(L137="",0,_xlfn.SWITCH(L137,"A1",375,"B1",375,"C1",375,"D1",375,"A2",310,"B2",310,"C2",310,"D2",310,"Custom",0,260))</f>
        <v>0</v>
      </c>
      <c r="P137" s="51">
        <f>IFERROR(IF(OR(M137=0,N137=0),0,(M137+N137)*2+11),0)</f>
        <v>0</v>
      </c>
      <c r="Q137" s="51">
        <f>IFERROR(IF(OR(N137=0,O137=0),0,(N137+O137)-16),0)</f>
        <v>0</v>
      </c>
      <c r="R137" s="53">
        <f>P137*Q137/1000000</f>
        <v>0</v>
      </c>
      <c r="S137" s="129">
        <f>IF(L137="Custom", R137*'[2]RFQ_Matalan Carton'!$M$40, IFERROR(VLOOKUP(L137,'[2]Carton Sizes Chart'!$A$4:$E$15,5,FALSE),0))</f>
        <v>0</v>
      </c>
      <c r="T137" s="124">
        <f>S137</f>
        <v>0</v>
      </c>
      <c r="U137" s="124">
        <f>I137*T137</f>
        <v>0</v>
      </c>
      <c r="V137" s="123">
        <f>((T137*I137)-W137)*4%</f>
        <v>0</v>
      </c>
      <c r="W137" s="124">
        <f>S137*I137*5%</f>
        <v>0</v>
      </c>
      <c r="X137" s="113"/>
    </row>
    <row r="138" spans="1:24">
      <c r="A138" s="118"/>
      <c r="B138" s="118"/>
      <c r="C138" s="119"/>
      <c r="D138" s="118"/>
      <c r="E138" s="118"/>
      <c r="F138" s="118"/>
      <c r="G138" s="119"/>
      <c r="H138" s="119"/>
      <c r="I138" s="133"/>
      <c r="J138" s="119" t="s">
        <v>95</v>
      </c>
      <c r="K138" s="119" t="s">
        <v>110</v>
      </c>
      <c r="L138" s="119" t="s">
        <v>123</v>
      </c>
      <c r="M138" s="51" cm="1">
        <f t="array" ref="M138">IF(L138="",0,_xlfn.SWITCH(L138,"A1",495,"A2",495,"A3",495,"Custom",0,595))</f>
        <v>0</v>
      </c>
      <c r="N138" s="51" cm="1">
        <f t="array" ref="N138">IF(L138="",0,_xlfn.SWITCH(L138,"C1",325,"C2",325,"C3",325,"D1",380,"D2",380,"D3",380,"Custom",0,285))</f>
        <v>0</v>
      </c>
      <c r="O138" s="51">
        <f>IF(L138="",0,_xlfn.SWITCH(L138,"A1",375,"B1",375,"C1",375,"D1",375,"A2",310,"B2",310,"C2",310,"D2",310,"Custom",0,260))</f>
        <v>0</v>
      </c>
      <c r="P138" s="51">
        <f>IFERROR(IF(OR(M138=0,N138=0),0,(M138+N138)*2+11),0)</f>
        <v>0</v>
      </c>
      <c r="Q138" s="51">
        <f>IFERROR(IF(OR(N138=0,O138=0),0,(N138+O138)-16),0)</f>
        <v>0</v>
      </c>
      <c r="R138" s="53">
        <f>P138*Q138/1000000</f>
        <v>0</v>
      </c>
      <c r="S138" s="129">
        <f>IF(L138="Custom", R138*'[2]RFQ_Matalan Carton'!$M$40, IFERROR(VLOOKUP(L138,'[2]Carton Sizes Chart'!$A$4:$E$15,5,FALSE),0))</f>
        <v>0</v>
      </c>
      <c r="T138" s="124">
        <f>S138</f>
        <v>0</v>
      </c>
      <c r="U138" s="124">
        <f>I138*T138</f>
        <v>0</v>
      </c>
      <c r="V138" s="123">
        <f>((T138*I138)-W138)*4%</f>
        <v>0</v>
      </c>
      <c r="W138" s="124">
        <f>S138*I138*5%</f>
        <v>0</v>
      </c>
      <c r="X138" s="113"/>
    </row>
    <row r="139" spans="1:24">
      <c r="A139" s="118"/>
      <c r="B139" s="118"/>
      <c r="C139" s="119"/>
      <c r="D139" s="118"/>
      <c r="E139" s="118"/>
      <c r="F139" s="118"/>
      <c r="G139" s="119"/>
      <c r="H139" s="119"/>
      <c r="I139" s="133"/>
      <c r="J139" s="119" t="s">
        <v>95</v>
      </c>
      <c r="K139" s="119" t="s">
        <v>110</v>
      </c>
      <c r="L139" s="119" t="s">
        <v>123</v>
      </c>
      <c r="M139" s="51" cm="1">
        <f t="array" ref="M139">IF(L139="",0,_xlfn.SWITCH(L139,"A1",495,"A2",495,"A3",495,"Custom",0,595))</f>
        <v>0</v>
      </c>
      <c r="N139" s="51" cm="1">
        <f t="array" ref="N139">IF(L139="",0,_xlfn.SWITCH(L139,"C1",325,"C2",325,"C3",325,"D1",380,"D2",380,"D3",380,"Custom",0,285))</f>
        <v>0</v>
      </c>
      <c r="O139" s="51">
        <f>IF(L139="",0,_xlfn.SWITCH(L139,"A1",375,"B1",375,"C1",375,"D1",375,"A2",310,"B2",310,"C2",310,"D2",310,"Custom",0,260))</f>
        <v>0</v>
      </c>
      <c r="P139" s="51">
        <f>IFERROR(IF(OR(M139=0,N139=0),0,(M139+N139)*2+11),0)</f>
        <v>0</v>
      </c>
      <c r="Q139" s="51">
        <f>IFERROR(IF(OR(N139=0,O139=0),0,(N139+O139)-16),0)</f>
        <v>0</v>
      </c>
      <c r="R139" s="53">
        <f>P139*Q139/1000000</f>
        <v>0</v>
      </c>
      <c r="S139" s="129">
        <f>IF(L139="Custom", R139*'[2]RFQ_Matalan Carton'!$M$40, IFERROR(VLOOKUP(L139,'[2]Carton Sizes Chart'!$A$4:$E$15,5,FALSE),0))</f>
        <v>0</v>
      </c>
      <c r="T139" s="124">
        <f>S139</f>
        <v>0</v>
      </c>
      <c r="U139" s="124">
        <f>I139*T139</f>
        <v>0</v>
      </c>
      <c r="V139" s="123">
        <f>((T139*I139)-W139)*4%</f>
        <v>0</v>
      </c>
      <c r="W139" s="124">
        <f>S139*I139*5%</f>
        <v>0</v>
      </c>
      <c r="X139" s="113"/>
    </row>
    <row r="140" spans="1:24">
      <c r="A140" s="118"/>
      <c r="B140" s="118"/>
      <c r="C140" s="119"/>
      <c r="D140" s="118"/>
      <c r="E140" s="118"/>
      <c r="F140" s="118"/>
      <c r="G140" s="119"/>
      <c r="H140" s="121"/>
      <c r="I140" s="121"/>
      <c r="J140" s="119" t="s">
        <v>95</v>
      </c>
      <c r="K140" s="119" t="s">
        <v>110</v>
      </c>
      <c r="L140" s="119" t="s">
        <v>123</v>
      </c>
      <c r="M140" s="51" cm="1">
        <f t="array" ref="M140">IF(L140="",0,_xlfn.SWITCH(L140,"A1",495,"A2",495,"A3",495,"Custom",0,595))</f>
        <v>0</v>
      </c>
      <c r="N140" s="51" cm="1">
        <f t="array" ref="N140">IF(L140="",0,_xlfn.SWITCH(L140,"C1",325,"C2",325,"C3",325,"D1",380,"D2",380,"D3",380,"Custom",0,285))</f>
        <v>0</v>
      </c>
      <c r="O140" s="51">
        <f>IF(L140="",0,_xlfn.SWITCH(L140,"A1",375,"B1",375,"C1",375,"D1",375,"A2",310,"B2",310,"C2",310,"D2",310,"Custom",0,260))</f>
        <v>0</v>
      </c>
      <c r="P140" s="51">
        <f>IFERROR(IF(OR(M140=0,N140=0),0,(M140+N140)*2+11),0)</f>
        <v>0</v>
      </c>
      <c r="Q140" s="51">
        <f>IFERROR(IF(OR(N140=0,O140=0),0,(N140+O140)-16),0)</f>
        <v>0</v>
      </c>
      <c r="R140" s="53">
        <f>P140*Q140/1000000</f>
        <v>0</v>
      </c>
      <c r="S140" s="123">
        <f>IFERROR(VLOOKUP(L140,'Carton Sizes Chart'!$A$4:$E$15,5,FALSE),0)</f>
        <v>0</v>
      </c>
      <c r="T140" s="124">
        <f>S140</f>
        <v>0</v>
      </c>
      <c r="U140" s="124">
        <f>I140*T140</f>
        <v>0</v>
      </c>
      <c r="V140" s="123">
        <f>((T140*I140)-W140)*4%</f>
        <v>0</v>
      </c>
      <c r="W140" s="124">
        <f>S140*I140*5%</f>
        <v>0</v>
      </c>
      <c r="X140" s="113"/>
    </row>
    <row r="141" spans="1:24">
      <c r="A141" s="118"/>
      <c r="B141" s="118"/>
      <c r="C141" s="119"/>
      <c r="D141" s="118"/>
      <c r="E141" s="118"/>
      <c r="F141" s="118"/>
      <c r="G141" s="119"/>
      <c r="H141" s="121"/>
      <c r="I141" s="121"/>
      <c r="J141" s="119" t="s">
        <v>95</v>
      </c>
      <c r="K141" s="119" t="s">
        <v>110</v>
      </c>
      <c r="L141" s="119" t="s">
        <v>123</v>
      </c>
      <c r="M141" s="51" cm="1">
        <f t="array" ref="M141">IF(L141="",0,_xlfn.SWITCH(L141,"A1",495,"A2",495,"A3",495,"Custom",0,595))</f>
        <v>0</v>
      </c>
      <c r="N141" s="51" cm="1">
        <f t="array" ref="N141">IF(L141="",0,_xlfn.SWITCH(L141,"C1",325,"C2",325,"C3",325,"D1",380,"D2",380,"D3",380,"Custom",0,285))</f>
        <v>0</v>
      </c>
      <c r="O141" s="51">
        <f>IF(L141="",0,_xlfn.SWITCH(L141,"A1",375,"B1",375,"C1",375,"D1",375,"A2",310,"B2",310,"C2",310,"D2",310,"Custom",0,260))</f>
        <v>0</v>
      </c>
      <c r="P141" s="51">
        <f>IFERROR(IF(OR(M141=0,N141=0),0,(M141+N141)*2+11),0)</f>
        <v>0</v>
      </c>
      <c r="Q141" s="51">
        <f>IFERROR(IF(OR(N141=0,O141=0),0,(N141+O141)-16),0)</f>
        <v>0</v>
      </c>
      <c r="R141" s="53">
        <f>P141*Q141/1000000</f>
        <v>0</v>
      </c>
      <c r="S141" s="123">
        <f>IFERROR(VLOOKUP(L141,'Carton Sizes Chart'!$A$4:$E$15,5,FALSE),0)</f>
        <v>0</v>
      </c>
      <c r="T141" s="124">
        <f>S141</f>
        <v>0</v>
      </c>
      <c r="U141" s="124">
        <f>I141*T141</f>
        <v>0</v>
      </c>
      <c r="V141" s="123">
        <f>((T141*I141)-W141)*4%</f>
        <v>0</v>
      </c>
      <c r="W141" s="124">
        <f>S141*I141*5%</f>
        <v>0</v>
      </c>
      <c r="X141" s="113"/>
    </row>
    <row r="142" spans="1:24">
      <c r="A142" s="118"/>
      <c r="B142" s="118"/>
      <c r="C142" s="119"/>
      <c r="D142" s="118"/>
      <c r="E142" s="118"/>
      <c r="F142" s="118"/>
      <c r="G142" s="119"/>
      <c r="H142" s="119"/>
      <c r="I142" s="133"/>
      <c r="J142" s="119" t="s">
        <v>95</v>
      </c>
      <c r="K142" s="119" t="s">
        <v>110</v>
      </c>
      <c r="L142" s="119" t="s">
        <v>123</v>
      </c>
      <c r="M142" s="51" cm="1">
        <f t="array" ref="M142">IF(L142="",0,_xlfn.SWITCH(L142,"A1",495,"A2",495,"A3",495,"Custom",0,595))</f>
        <v>0</v>
      </c>
      <c r="N142" s="51" cm="1">
        <f t="array" ref="N142">IF(L142="",0,_xlfn.SWITCH(L142,"C1",325,"C2",325,"C3",325,"D1",380,"D2",380,"D3",380,"Custom",0,285))</f>
        <v>0</v>
      </c>
      <c r="O142" s="51">
        <f>IF(L142="",0,_xlfn.SWITCH(L142,"A1",375,"B1",375,"C1",375,"D1",375,"A2",310,"B2",310,"C2",310,"D2",310,"Custom",0,260))</f>
        <v>0</v>
      </c>
      <c r="P142" s="51">
        <f>IFERROR(IF(OR(M142=0,N142=0),0,(M142+N142)*2+11),0)</f>
        <v>0</v>
      </c>
      <c r="Q142" s="51">
        <f>IFERROR(IF(OR(N142=0,O142=0),0,(N142+O142)-16),0)</f>
        <v>0</v>
      </c>
      <c r="R142" s="53">
        <f>P142*Q142/1000000</f>
        <v>0</v>
      </c>
      <c r="S142" s="129">
        <f>IF(L142="Custom", R142*'[2]RFQ_Matalan Carton'!$M$40, IFERROR(VLOOKUP(L142,'[2]Carton Sizes Chart'!$A$4:$E$15,5,FALSE),0))</f>
        <v>0</v>
      </c>
      <c r="T142" s="124">
        <f>S142</f>
        <v>0</v>
      </c>
      <c r="U142" s="124">
        <f>I142*T142</f>
        <v>0</v>
      </c>
      <c r="V142" s="123">
        <f>((T142*I142)-W142)*4%</f>
        <v>0</v>
      </c>
      <c r="W142" s="124">
        <f>S142*I142*5%</f>
        <v>0</v>
      </c>
      <c r="X142" s="113"/>
    </row>
    <row r="143" spans="1:24">
      <c r="A143" s="118"/>
      <c r="B143" s="118"/>
      <c r="C143" s="119"/>
      <c r="D143" s="118"/>
      <c r="E143" s="118"/>
      <c r="F143" s="118"/>
      <c r="G143" s="119"/>
      <c r="H143" s="119"/>
      <c r="I143" s="133"/>
      <c r="J143" s="119" t="s">
        <v>95</v>
      </c>
      <c r="K143" s="119" t="s">
        <v>110</v>
      </c>
      <c r="L143" s="119" t="s">
        <v>123</v>
      </c>
      <c r="M143" s="51" cm="1">
        <f t="array" ref="M143">IF(L143="",0,_xlfn.SWITCH(L143,"A1",495,"A2",495,"A3",495,"Custom",0,595))</f>
        <v>0</v>
      </c>
      <c r="N143" s="51" cm="1">
        <f t="array" ref="N143">IF(L143="",0,_xlfn.SWITCH(L143,"C1",325,"C2",325,"C3",325,"D1",380,"D2",380,"D3",380,"Custom",0,285))</f>
        <v>0</v>
      </c>
      <c r="O143" s="51">
        <f>IF(L143="",0,_xlfn.SWITCH(L143,"A1",375,"B1",375,"C1",375,"D1",375,"A2",310,"B2",310,"C2",310,"D2",310,"Custom",0,260))</f>
        <v>0</v>
      </c>
      <c r="P143" s="51">
        <f>IFERROR(IF(OR(M143=0,N143=0),0,(M143+N143)*2+11),0)</f>
        <v>0</v>
      </c>
      <c r="Q143" s="51">
        <f>IFERROR(IF(OR(N143=0,O143=0),0,(N143+O143)-16),0)</f>
        <v>0</v>
      </c>
      <c r="R143" s="53">
        <f>P143*Q143/1000000</f>
        <v>0</v>
      </c>
      <c r="S143" s="129">
        <f>IF(L143="Custom", R143*'[2]RFQ_Matalan Carton'!$M$40, IFERROR(VLOOKUP(L143,'[2]Carton Sizes Chart'!$A$4:$E$15,5,FALSE),0))</f>
        <v>0</v>
      </c>
      <c r="T143" s="124">
        <f>S143</f>
        <v>0</v>
      </c>
      <c r="U143" s="124">
        <f>I143*T143</f>
        <v>0</v>
      </c>
      <c r="V143" s="123">
        <f>((T143*I143)-W143)*4%</f>
        <v>0</v>
      </c>
      <c r="W143" s="124">
        <f>S143*I143*5%</f>
        <v>0</v>
      </c>
      <c r="X143" s="113"/>
    </row>
    <row r="144" spans="1:24">
      <c r="A144" s="118"/>
      <c r="B144" s="118"/>
      <c r="C144" s="119"/>
      <c r="D144" s="118"/>
      <c r="E144" s="118"/>
      <c r="F144" s="118"/>
      <c r="G144" s="119"/>
      <c r="H144" s="121"/>
      <c r="I144" s="133"/>
      <c r="J144" s="119" t="s">
        <v>95</v>
      </c>
      <c r="K144" s="119" t="s">
        <v>110</v>
      </c>
      <c r="L144" s="119" t="s">
        <v>123</v>
      </c>
      <c r="M144" s="51" cm="1">
        <f t="array" ref="M144">IF(L144="",0,_xlfn.SWITCH(L144,"A1",495,"A2",495,"A3",495,"Custom",0,595))</f>
        <v>0</v>
      </c>
      <c r="N144" s="51" cm="1">
        <f t="array" ref="N144">IF(L144="",0,_xlfn.SWITCH(L144,"C1",325,"C2",325,"C3",325,"D1",380,"D2",380,"D3",380,"Custom",0,285))</f>
        <v>0</v>
      </c>
      <c r="O144" s="51">
        <f>IF(L144="",0,_xlfn.SWITCH(L144,"A1",375,"B1",375,"C1",375,"D1",375,"A2",310,"B2",310,"C2",310,"D2",310,"Custom",0,260))</f>
        <v>0</v>
      </c>
      <c r="P144" s="51">
        <f>IFERROR(IF(OR(M144=0,N144=0),0,(M144+N144)*2+11),0)</f>
        <v>0</v>
      </c>
      <c r="Q144" s="51">
        <f>IFERROR(IF(OR(N144=0,O144=0),0,(N144+O144)-16),0)</f>
        <v>0</v>
      </c>
      <c r="R144" s="53">
        <f>P144*Q144/1000000</f>
        <v>0</v>
      </c>
      <c r="S144" s="129">
        <f>IF(L144="Custom", R144*'[2]RFQ_Matalan Carton'!$M$40, IFERROR(VLOOKUP(L144,'[2]Carton Sizes Chart'!$A$4:$E$15,5,FALSE),0))</f>
        <v>0</v>
      </c>
      <c r="T144" s="124">
        <f>S144</f>
        <v>0</v>
      </c>
      <c r="U144" s="124">
        <f>I144*T144</f>
        <v>0</v>
      </c>
      <c r="V144" s="123">
        <f>((T144*I144)-W144)*4%</f>
        <v>0</v>
      </c>
      <c r="W144" s="124">
        <f>S144*I144*5%</f>
        <v>0</v>
      </c>
      <c r="X144" s="113"/>
    </row>
    <row r="145" spans="1:24">
      <c r="A145" s="118"/>
      <c r="B145" s="118"/>
      <c r="C145" s="119"/>
      <c r="D145" s="118"/>
      <c r="E145" s="118"/>
      <c r="F145" s="118"/>
      <c r="G145" s="119"/>
      <c r="H145" s="119"/>
      <c r="I145" s="133"/>
      <c r="J145" s="119" t="s">
        <v>95</v>
      </c>
      <c r="K145" s="119" t="s">
        <v>110</v>
      </c>
      <c r="L145" s="119" t="s">
        <v>123</v>
      </c>
      <c r="M145" s="51" cm="1">
        <f t="array" ref="M145">IF(L145="",0,_xlfn.SWITCH(L145,"A1",495,"A2",495,"A3",495,"Custom",0,595))</f>
        <v>0</v>
      </c>
      <c r="N145" s="51" cm="1">
        <f t="array" ref="N145">IF(L145="",0,_xlfn.SWITCH(L145,"C1",325,"C2",325,"C3",325,"D1",380,"D2",380,"D3",380,"Custom",0,285))</f>
        <v>0</v>
      </c>
      <c r="O145" s="51">
        <f>IF(L145="",0,_xlfn.SWITCH(L145,"A1",375,"B1",375,"C1",375,"D1",375,"A2",310,"B2",310,"C2",310,"D2",310,"Custom",0,260))</f>
        <v>0</v>
      </c>
      <c r="P145" s="51">
        <f>IFERROR(IF(OR(M145=0,N145=0),0,(M145+N145)*2+11),0)</f>
        <v>0</v>
      </c>
      <c r="Q145" s="51">
        <f>IFERROR(IF(OR(N145=0,O145=0),0,(N145+O145)-16),0)</f>
        <v>0</v>
      </c>
      <c r="R145" s="53">
        <f>P145*Q145/1000000</f>
        <v>0</v>
      </c>
      <c r="S145" s="129">
        <f>IF(L145="Custom", R145*'[2]RFQ_Matalan Carton'!$M$40, IFERROR(VLOOKUP(L145,'[2]Carton Sizes Chart'!$A$4:$E$15,5,FALSE),0))</f>
        <v>0</v>
      </c>
      <c r="T145" s="124">
        <f>S145</f>
        <v>0</v>
      </c>
      <c r="U145" s="124">
        <f>I145*T145</f>
        <v>0</v>
      </c>
      <c r="V145" s="123">
        <f>((T145*I145)-W145)*4%</f>
        <v>0</v>
      </c>
      <c r="W145" s="124">
        <f>S145*I145*5%</f>
        <v>0</v>
      </c>
      <c r="X145" s="113"/>
    </row>
    <row r="146" spans="1:24">
      <c r="A146" s="118"/>
      <c r="B146" s="118"/>
      <c r="C146" s="119"/>
      <c r="D146" s="118"/>
      <c r="E146" s="118"/>
      <c r="F146" s="118"/>
      <c r="G146" s="119"/>
      <c r="H146" s="119"/>
      <c r="I146" s="133"/>
      <c r="J146" s="119" t="s">
        <v>95</v>
      </c>
      <c r="K146" s="119" t="s">
        <v>110</v>
      </c>
      <c r="L146" s="119" t="s">
        <v>123</v>
      </c>
      <c r="M146" s="51" cm="1">
        <f t="array" ref="M146">IF(L146="",0,_xlfn.SWITCH(L146,"A1",495,"A2",495,"A3",495,"Custom",0,595))</f>
        <v>0</v>
      </c>
      <c r="N146" s="51" cm="1">
        <f t="array" ref="N146">IF(L146="",0,_xlfn.SWITCH(L146,"C1",325,"C2",325,"C3",325,"D1",380,"D2",380,"D3",380,"Custom",0,285))</f>
        <v>0</v>
      </c>
      <c r="O146" s="51">
        <f>IF(L146="",0,_xlfn.SWITCH(L146,"A1",375,"B1",375,"C1",375,"D1",375,"A2",310,"B2",310,"C2",310,"D2",310,"Custom",0,260))</f>
        <v>0</v>
      </c>
      <c r="P146" s="51">
        <f>IFERROR(IF(OR(M146=0,N146=0),0,(M146+N146)*2+11),0)</f>
        <v>0</v>
      </c>
      <c r="Q146" s="51">
        <f>IFERROR(IF(OR(N146=0,O146=0),0,(N146+O146)-16),0)</f>
        <v>0</v>
      </c>
      <c r="R146" s="53">
        <f>P146*Q146/1000000</f>
        <v>0</v>
      </c>
      <c r="S146" s="129">
        <f>IF(L146="Custom", R146*'[2]RFQ_Matalan Carton'!$M$40, IFERROR(VLOOKUP(L146,'[2]Carton Sizes Chart'!$A$4:$E$15,5,FALSE),0))</f>
        <v>0</v>
      </c>
      <c r="T146" s="124">
        <f>S146</f>
        <v>0</v>
      </c>
      <c r="U146" s="124">
        <f>I146*T146</f>
        <v>0</v>
      </c>
      <c r="V146" s="123">
        <f>((T146*I146)-W146)*4%</f>
        <v>0</v>
      </c>
      <c r="W146" s="124">
        <f>S146*I146*5%</f>
        <v>0</v>
      </c>
      <c r="X146" s="113"/>
    </row>
    <row r="147" spans="1:24">
      <c r="A147" s="118"/>
      <c r="B147" s="118"/>
      <c r="C147" s="119"/>
      <c r="D147" s="118"/>
      <c r="E147" s="118"/>
      <c r="F147" s="118"/>
      <c r="G147" s="119"/>
      <c r="H147" s="119"/>
      <c r="I147" s="133"/>
      <c r="J147" s="119" t="s">
        <v>95</v>
      </c>
      <c r="K147" s="119" t="s">
        <v>110</v>
      </c>
      <c r="L147" s="119" t="s">
        <v>123</v>
      </c>
      <c r="M147" s="51" cm="1">
        <f t="array" ref="M147">IF(L147="",0,_xlfn.SWITCH(L147,"A1",495,"A2",495,"A3",495,"Custom",0,595))</f>
        <v>0</v>
      </c>
      <c r="N147" s="51" cm="1">
        <f t="array" ref="N147">IF(L147="",0,_xlfn.SWITCH(L147,"C1",325,"C2",325,"C3",325,"D1",380,"D2",380,"D3",380,"Custom",0,285))</f>
        <v>0</v>
      </c>
      <c r="O147" s="51">
        <f>IF(L147="",0,_xlfn.SWITCH(L147,"A1",375,"B1",375,"C1",375,"D1",375,"A2",310,"B2",310,"C2",310,"D2",310,"Custom",0,260))</f>
        <v>0</v>
      </c>
      <c r="P147" s="51">
        <f>IFERROR(IF(OR(M147=0,N147=0),0,(M147+N147)*2+11),0)</f>
        <v>0</v>
      </c>
      <c r="Q147" s="51">
        <f>IFERROR(IF(OR(N147=0,O147=0),0,(N147+O147)-16),0)</f>
        <v>0</v>
      </c>
      <c r="R147" s="53">
        <f>P147*Q147/1000000</f>
        <v>0</v>
      </c>
      <c r="S147" s="129">
        <f>IF(L147="Custom", R147*'[2]RFQ_Matalan Carton'!$M$40, IFERROR(VLOOKUP(L147,'[2]Carton Sizes Chart'!$A$4:$E$15,5,FALSE),0))</f>
        <v>0</v>
      </c>
      <c r="T147" s="124">
        <f>S147</f>
        <v>0</v>
      </c>
      <c r="U147" s="124">
        <f>I147*T147</f>
        <v>0</v>
      </c>
      <c r="V147" s="123">
        <f>((T147*I147)-W147)*4%</f>
        <v>0</v>
      </c>
      <c r="W147" s="124">
        <f>S147*I147*5%</f>
        <v>0</v>
      </c>
      <c r="X147" s="113"/>
    </row>
    <row r="148" spans="1:24">
      <c r="A148" s="118"/>
      <c r="B148" s="118"/>
      <c r="C148" s="119"/>
      <c r="D148" s="118"/>
      <c r="E148" s="118"/>
      <c r="F148" s="118"/>
      <c r="G148" s="119"/>
      <c r="H148" s="119"/>
      <c r="I148" s="133"/>
      <c r="J148" s="119" t="s">
        <v>95</v>
      </c>
      <c r="K148" s="119" t="s">
        <v>110</v>
      </c>
      <c r="L148" s="119" t="s">
        <v>123</v>
      </c>
      <c r="M148" s="51" cm="1">
        <f t="array" ref="M148">IF(L148="",0,_xlfn.SWITCH(L148,"A1",495,"A2",495,"A3",495,"Custom",0,595))</f>
        <v>0</v>
      </c>
      <c r="N148" s="51" cm="1">
        <f t="array" ref="N148">IF(L148="",0,_xlfn.SWITCH(L148,"C1",325,"C2",325,"C3",325,"D1",380,"D2",380,"D3",380,"Custom",0,285))</f>
        <v>0</v>
      </c>
      <c r="O148" s="51">
        <f>IF(L148="",0,_xlfn.SWITCH(L148,"A1",375,"B1",375,"C1",375,"D1",375,"A2",310,"B2",310,"C2",310,"D2",310,"Custom",0,260))</f>
        <v>0</v>
      </c>
      <c r="P148" s="51">
        <f>IFERROR(IF(OR(M148=0,N148=0),0,(M148+N148)*2+11),0)</f>
        <v>0</v>
      </c>
      <c r="Q148" s="51">
        <f>IFERROR(IF(OR(N148=0,O148=0),0,(N148+O148)-16),0)</f>
        <v>0</v>
      </c>
      <c r="R148" s="53">
        <f>P148*Q148/1000000</f>
        <v>0</v>
      </c>
      <c r="S148" s="129">
        <f>IF(L148="Custom", R148*'[2]RFQ_Matalan Carton'!$M$40, IFERROR(VLOOKUP(L148,'[2]Carton Sizes Chart'!$A$4:$E$15,5,FALSE),0))</f>
        <v>0</v>
      </c>
      <c r="T148" s="124">
        <f>S148</f>
        <v>0</v>
      </c>
      <c r="U148" s="124">
        <f>I148*T148</f>
        <v>0</v>
      </c>
      <c r="V148" s="123">
        <f>((T148*I148)-W148)*4%</f>
        <v>0</v>
      </c>
      <c r="W148" s="124">
        <f>S148*I148*5%</f>
        <v>0</v>
      </c>
      <c r="X148" s="113"/>
    </row>
    <row r="149" spans="1:24">
      <c r="A149" s="118"/>
      <c r="B149" s="118"/>
      <c r="C149" s="119"/>
      <c r="D149" s="118"/>
      <c r="E149" s="118"/>
      <c r="F149" s="118"/>
      <c r="G149" s="119"/>
      <c r="H149" s="119"/>
      <c r="I149" s="133"/>
      <c r="J149" s="119" t="s">
        <v>95</v>
      </c>
      <c r="K149" s="119" t="s">
        <v>110</v>
      </c>
      <c r="L149" s="119" t="s">
        <v>123</v>
      </c>
      <c r="M149" s="51" cm="1">
        <f t="array" ref="M149">IF(L149="",0,_xlfn.SWITCH(L149,"A1",495,"A2",495,"A3",495,"Custom",0,595))</f>
        <v>0</v>
      </c>
      <c r="N149" s="51" cm="1">
        <f t="array" ref="N149">IF(L149="",0,_xlfn.SWITCH(L149,"C1",325,"C2",325,"C3",325,"D1",380,"D2",380,"D3",380,"Custom",0,285))</f>
        <v>0</v>
      </c>
      <c r="O149" s="51">
        <f>IF(L149="",0,_xlfn.SWITCH(L149,"A1",375,"B1",375,"C1",375,"D1",375,"A2",310,"B2",310,"C2",310,"D2",310,"Custom",0,260))</f>
        <v>0</v>
      </c>
      <c r="P149" s="51">
        <f>IFERROR(IF(OR(M149=0,N149=0),0,(M149+N149)*2+11),0)</f>
        <v>0</v>
      </c>
      <c r="Q149" s="51">
        <f>IFERROR(IF(OR(N149=0,O149=0),0,(N149+O149)-16),0)</f>
        <v>0</v>
      </c>
      <c r="R149" s="53">
        <f>P149*Q149/1000000</f>
        <v>0</v>
      </c>
      <c r="S149" s="129">
        <f>IF(L149="Custom", R149*'[1]RFQ_Matalan Carton'!$M$40, IFERROR(VLOOKUP(L149,'[1]Carton Sizes Chart'!$A$4:$E$15,5,FALSE),0))</f>
        <v>0</v>
      </c>
      <c r="T149" s="124">
        <f>S149</f>
        <v>0</v>
      </c>
      <c r="U149" s="124">
        <f>I149*T149</f>
        <v>0</v>
      </c>
      <c r="V149" s="123">
        <f>((T149*I149)-W149)*4%</f>
        <v>0</v>
      </c>
      <c r="W149" s="124">
        <f>S149*I149*5%</f>
        <v>0</v>
      </c>
      <c r="X149" s="113"/>
    </row>
    <row r="150" spans="1:24">
      <c r="A150" s="118"/>
      <c r="B150" s="118"/>
      <c r="C150" s="119"/>
      <c r="D150" s="118"/>
      <c r="E150" s="118"/>
      <c r="F150" s="118"/>
      <c r="G150" s="119"/>
      <c r="H150" s="119"/>
      <c r="I150" s="133"/>
      <c r="J150" s="119" t="s">
        <v>95</v>
      </c>
      <c r="K150" s="119" t="s">
        <v>110</v>
      </c>
      <c r="L150" s="119" t="s">
        <v>123</v>
      </c>
      <c r="M150" s="51" cm="1">
        <f t="array" ref="M150">IF(L150="",0,_xlfn.SWITCH(L150,"A1",495,"A2",495,"A3",495,"Custom",0,595))</f>
        <v>0</v>
      </c>
      <c r="N150" s="51" cm="1">
        <f t="array" ref="N150">IF(L150="",0,_xlfn.SWITCH(L150,"C1",325,"C2",325,"C3",325,"D1",380,"D2",380,"D3",380,"Custom",0,285))</f>
        <v>0</v>
      </c>
      <c r="O150" s="51">
        <f>IF(L150="",0,_xlfn.SWITCH(L150,"A1",375,"B1",375,"C1",375,"D1",375,"A2",310,"B2",310,"C2",310,"D2",310,"Custom",0,260))</f>
        <v>0</v>
      </c>
      <c r="P150" s="51">
        <f>IFERROR(IF(OR(M150=0,N150=0),0,(M150+N150)*2+11),0)</f>
        <v>0</v>
      </c>
      <c r="Q150" s="51">
        <f>IFERROR(IF(OR(N150=0,O150=0),0,(N150+O150)-16),0)</f>
        <v>0</v>
      </c>
      <c r="R150" s="53">
        <f>P150*Q150/1000000</f>
        <v>0</v>
      </c>
      <c r="S150" s="129">
        <f>IF(L150="Custom", R150*'[1]RFQ_Matalan Carton'!$M$40, IFERROR(VLOOKUP(L150,'[1]Carton Sizes Chart'!$A$4:$E$15,5,FALSE),0))</f>
        <v>0</v>
      </c>
      <c r="T150" s="124">
        <f>S150</f>
        <v>0</v>
      </c>
      <c r="U150" s="124">
        <f>I150*T150</f>
        <v>0</v>
      </c>
      <c r="V150" s="123">
        <f>((T150*I150)-W150)*4%</f>
        <v>0</v>
      </c>
      <c r="W150" s="124">
        <f>S150*I150*5%</f>
        <v>0</v>
      </c>
      <c r="X150" s="113"/>
    </row>
    <row r="151" spans="1:24">
      <c r="A151" s="118"/>
      <c r="B151" s="118"/>
      <c r="C151" s="119"/>
      <c r="D151" s="118"/>
      <c r="E151" s="118"/>
      <c r="F151" s="118"/>
      <c r="G151" s="119"/>
      <c r="H151" s="119"/>
      <c r="I151" s="121"/>
      <c r="J151" s="119" t="s">
        <v>95</v>
      </c>
      <c r="K151" s="119" t="s">
        <v>110</v>
      </c>
      <c r="L151" s="119" t="s">
        <v>123</v>
      </c>
      <c r="M151" s="51" cm="1">
        <f t="array" ref="M151">IF(L151="",0,_xlfn.SWITCH(L151,"A1",495,"A2",495,"A3",495,"Custom",0,595))</f>
        <v>0</v>
      </c>
      <c r="N151" s="51" cm="1">
        <f t="array" ref="N151">IF(L151="",0,_xlfn.SWITCH(L151,"C1",325,"C2",325,"C3",325,"D1",380,"D2",380,"D3",380,"Custom",0,285))</f>
        <v>0</v>
      </c>
      <c r="O151" s="51">
        <f>IF(L151="",0,_xlfn.SWITCH(L151,"A1",375,"B1",375,"C1",375,"D1",375,"A2",310,"B2",310,"C2",310,"D2",310,"Custom",0,260))</f>
        <v>0</v>
      </c>
      <c r="P151" s="51">
        <f>IFERROR(IF(OR(M151=0,N151=0),0,(M151+N151)*2+11),0)</f>
        <v>0</v>
      </c>
      <c r="Q151" s="51">
        <f>IFERROR(IF(OR(N151=0,O151=0),0,(N151+O151)-16),0)</f>
        <v>0</v>
      </c>
      <c r="R151" s="53">
        <f>P151*Q151/1000000</f>
        <v>0</v>
      </c>
      <c r="S151" s="129">
        <f>IF(L151="Custom", R151*'[1]RFQ_Matalan Carton'!$M$40, IFERROR(VLOOKUP(L151,'[1]Carton Sizes Chart'!$A$4:$E$15,5,FALSE),0))</f>
        <v>0</v>
      </c>
      <c r="T151" s="124">
        <f>S151</f>
        <v>0</v>
      </c>
      <c r="U151" s="124">
        <f>I151*T151</f>
        <v>0</v>
      </c>
      <c r="V151" s="123">
        <f>((T151*I151)-W151)*4%</f>
        <v>0</v>
      </c>
      <c r="W151" s="124">
        <f>S151*I151*5%</f>
        <v>0</v>
      </c>
      <c r="X151" s="113"/>
    </row>
    <row r="152" spans="1:24">
      <c r="A152" s="118"/>
      <c r="B152" s="118"/>
      <c r="C152" s="119"/>
      <c r="D152" s="118"/>
      <c r="E152" s="118"/>
      <c r="F152" s="118"/>
      <c r="G152" s="119"/>
      <c r="H152" s="119"/>
      <c r="I152" s="121"/>
      <c r="J152" s="119" t="s">
        <v>95</v>
      </c>
      <c r="K152" s="119" t="s">
        <v>110</v>
      </c>
      <c r="L152" s="119" t="s">
        <v>123</v>
      </c>
      <c r="M152" s="51" cm="1">
        <f t="array" ref="M152">IF(L152="",0,_xlfn.SWITCH(L152,"A1",495,"A2",495,"A3",495,"Custom",0,595))</f>
        <v>0</v>
      </c>
      <c r="N152" s="51" cm="1">
        <f t="array" ref="N152">IF(L152="",0,_xlfn.SWITCH(L152,"C1",325,"C2",325,"C3",325,"D1",380,"D2",380,"D3",380,"Custom",0,285))</f>
        <v>0</v>
      </c>
      <c r="O152" s="51">
        <f>IF(L152="",0,_xlfn.SWITCH(L152,"A1",375,"B1",375,"C1",375,"D1",375,"A2",310,"B2",310,"C2",310,"D2",310,"Custom",0,260))</f>
        <v>0</v>
      </c>
      <c r="P152" s="51">
        <f>IFERROR(IF(OR(M152=0,N152=0),0,(M152+N152)*2+11),0)</f>
        <v>0</v>
      </c>
      <c r="Q152" s="51">
        <f>IFERROR(IF(OR(N152=0,O152=0),0,(N152+O152)-16),0)</f>
        <v>0</v>
      </c>
      <c r="R152" s="53">
        <f>P152*Q152/1000000</f>
        <v>0</v>
      </c>
      <c r="S152" s="123">
        <f>IFERROR(VLOOKUP(L152,'Carton Sizes Chart'!$A$4:$E$15,5,FALSE),0)</f>
        <v>0</v>
      </c>
      <c r="T152" s="124">
        <f>S152</f>
        <v>0</v>
      </c>
      <c r="U152" s="124">
        <f>I152*T152</f>
        <v>0</v>
      </c>
      <c r="V152" s="123">
        <f>((T152*I152)-W152)*4%</f>
        <v>0</v>
      </c>
      <c r="W152" s="124">
        <f>S152*I152*5%</f>
        <v>0</v>
      </c>
      <c r="X152" s="113"/>
    </row>
    <row r="153" spans="1:24">
      <c r="A153" s="118"/>
      <c r="B153" s="118"/>
      <c r="C153" s="119"/>
      <c r="D153" s="118"/>
      <c r="E153" s="118"/>
      <c r="F153" s="118"/>
      <c r="G153" s="119"/>
      <c r="H153" s="119"/>
      <c r="I153" s="121"/>
      <c r="J153" s="119" t="s">
        <v>95</v>
      </c>
      <c r="K153" s="119" t="s">
        <v>110</v>
      </c>
      <c r="L153" s="119" t="s">
        <v>123</v>
      </c>
      <c r="M153" s="51" cm="1">
        <f t="array" ref="M153">IF(L153="",0,_xlfn.SWITCH(L153,"A1",495,"A2",495,"A3",495,"Custom",0,595))</f>
        <v>0</v>
      </c>
      <c r="N153" s="51" cm="1">
        <f t="array" ref="N153">IF(L153="",0,_xlfn.SWITCH(L153,"C1",325,"C2",325,"C3",325,"D1",380,"D2",380,"D3",380,"Custom",0,285))</f>
        <v>0</v>
      </c>
      <c r="O153" s="51">
        <f>IF(L153="",0,_xlfn.SWITCH(L153,"A1",375,"B1",375,"C1",375,"D1",375,"A2",310,"B2",310,"C2",310,"D2",310,"Custom",0,260))</f>
        <v>0</v>
      </c>
      <c r="P153" s="51">
        <f>IFERROR(IF(OR(M153=0,N153=0),0,(M153+N153)*2+11),0)</f>
        <v>0</v>
      </c>
      <c r="Q153" s="51">
        <f>IFERROR(IF(OR(N153=0,O153=0),0,(N153+O153)-16),0)</f>
        <v>0</v>
      </c>
      <c r="R153" s="53">
        <f>P153*Q153/1000000</f>
        <v>0</v>
      </c>
      <c r="S153" s="123">
        <f>IFERROR(VLOOKUP(L153,'Carton Sizes Chart'!$A$4:$E$15,5,FALSE),0)</f>
        <v>0</v>
      </c>
      <c r="T153" s="124">
        <f>S153</f>
        <v>0</v>
      </c>
      <c r="U153" s="124">
        <f>I153*T153</f>
        <v>0</v>
      </c>
      <c r="V153" s="123">
        <f>((T153*I153)-W153)*4%</f>
        <v>0</v>
      </c>
      <c r="W153" s="124">
        <f>S153*I153*5%</f>
        <v>0</v>
      </c>
      <c r="X153" s="113"/>
    </row>
    <row r="154" spans="1:24">
      <c r="A154" s="118"/>
      <c r="B154" s="118"/>
      <c r="C154" s="119"/>
      <c r="D154" s="118"/>
      <c r="E154" s="118"/>
      <c r="F154" s="118"/>
      <c r="G154" s="119"/>
      <c r="H154" s="119"/>
      <c r="I154" s="121"/>
      <c r="J154" s="119" t="s">
        <v>95</v>
      </c>
      <c r="K154" s="119" t="s">
        <v>110</v>
      </c>
      <c r="L154" s="119" t="s">
        <v>123</v>
      </c>
      <c r="M154" s="51" cm="1">
        <f t="array" ref="M154">IF(L154="",0,_xlfn.SWITCH(L154,"A1",495,"A2",495,"A3",495,"Custom",0,595))</f>
        <v>0</v>
      </c>
      <c r="N154" s="51" cm="1">
        <f t="array" ref="N154">IF(L154="",0,_xlfn.SWITCH(L154,"C1",325,"C2",325,"C3",325,"D1",380,"D2",380,"D3",380,"Custom",0,285))</f>
        <v>0</v>
      </c>
      <c r="O154" s="51">
        <f>IF(L154="",0,_xlfn.SWITCH(L154,"A1",375,"B1",375,"C1",375,"D1",375,"A2",310,"B2",310,"C2",310,"D2",310,"Custom",0,260))</f>
        <v>0</v>
      </c>
      <c r="P154" s="51">
        <f>IFERROR(IF(OR(M154=0,N154=0),0,(M154+N154)*2+11),0)</f>
        <v>0</v>
      </c>
      <c r="Q154" s="51">
        <f>IFERROR(IF(OR(N154=0,O154=0),0,(N154+O154)-16),0)</f>
        <v>0</v>
      </c>
      <c r="R154" s="53">
        <f>P154*Q154/1000000</f>
        <v>0</v>
      </c>
      <c r="S154" s="123">
        <f>IFERROR(VLOOKUP(L154,'Carton Sizes Chart'!$A$4:$E$15,5,FALSE),0)</f>
        <v>0</v>
      </c>
      <c r="T154" s="124">
        <f>S154</f>
        <v>0</v>
      </c>
      <c r="U154" s="124">
        <f>I154*T154</f>
        <v>0</v>
      </c>
      <c r="V154" s="123">
        <f>((T154*I154)-W154)*4%</f>
        <v>0</v>
      </c>
      <c r="W154" s="124">
        <f>S154*I154*5%</f>
        <v>0</v>
      </c>
      <c r="X154" s="113"/>
    </row>
    <row r="155" spans="1:24">
      <c r="A155" s="118"/>
      <c r="B155" s="118"/>
      <c r="C155" s="119"/>
      <c r="D155" s="118"/>
      <c r="E155" s="118"/>
      <c r="F155" s="118"/>
      <c r="G155" s="119"/>
      <c r="H155" s="119"/>
      <c r="I155" s="121"/>
      <c r="J155" s="119" t="s">
        <v>95</v>
      </c>
      <c r="K155" s="119" t="s">
        <v>110</v>
      </c>
      <c r="L155" s="119" t="s">
        <v>123</v>
      </c>
      <c r="M155" s="51" cm="1">
        <f t="array" ref="M155">IF(L155="",0,_xlfn.SWITCH(L155,"A1",495,"A2",495,"A3",495,"Custom",0,595))</f>
        <v>0</v>
      </c>
      <c r="N155" s="51" cm="1">
        <f t="array" ref="N155">IF(L155="",0,_xlfn.SWITCH(L155,"C1",325,"C2",325,"C3",325,"D1",380,"D2",380,"D3",380,"Custom",0,285))</f>
        <v>0</v>
      </c>
      <c r="O155" s="51">
        <f>IF(L155="",0,_xlfn.SWITCH(L155,"A1",375,"B1",375,"C1",375,"D1",375,"A2",310,"B2",310,"C2",310,"D2",310,"Custom",0,260))</f>
        <v>0</v>
      </c>
      <c r="P155" s="51">
        <f>IFERROR(IF(OR(M155=0,N155=0),0,(M155+N155)*2+11),0)</f>
        <v>0</v>
      </c>
      <c r="Q155" s="51">
        <f>IFERROR(IF(OR(N155=0,O155=0),0,(N155+O155)-16),0)</f>
        <v>0</v>
      </c>
      <c r="R155" s="53">
        <f>P155*Q155/1000000</f>
        <v>0</v>
      </c>
      <c r="S155" s="123">
        <f>IFERROR(VLOOKUP(L155,'Carton Sizes Chart'!$A$4:$E$15,5,FALSE),0)</f>
        <v>0</v>
      </c>
      <c r="T155" s="124">
        <f>S155</f>
        <v>0</v>
      </c>
      <c r="U155" s="124">
        <f>I155*T155</f>
        <v>0</v>
      </c>
      <c r="V155" s="123">
        <f>((T155*I155)-W155)*4%</f>
        <v>0</v>
      </c>
      <c r="W155" s="124">
        <f>S155*I155*5%</f>
        <v>0</v>
      </c>
      <c r="X155" s="113"/>
    </row>
    <row r="156" spans="1:24">
      <c r="A156" s="118"/>
      <c r="B156" s="118"/>
      <c r="C156" s="119"/>
      <c r="D156" s="118"/>
      <c r="E156" s="118"/>
      <c r="F156" s="118"/>
      <c r="G156" s="119"/>
      <c r="H156" s="119"/>
      <c r="I156" s="121"/>
      <c r="J156" s="119" t="s">
        <v>95</v>
      </c>
      <c r="K156" s="119" t="s">
        <v>110</v>
      </c>
      <c r="L156" s="119" t="s">
        <v>123</v>
      </c>
      <c r="M156" s="51" cm="1">
        <f t="array" ref="M156">IF(L156="",0,_xlfn.SWITCH(L156,"A1",495,"A2",495,"A3",495,"Custom",0,595))</f>
        <v>0</v>
      </c>
      <c r="N156" s="51" cm="1">
        <f t="array" ref="N156">IF(L156="",0,_xlfn.SWITCH(L156,"C1",325,"C2",325,"C3",325,"D1",380,"D2",380,"D3",380,"Custom",0,285))</f>
        <v>0</v>
      </c>
      <c r="O156" s="51">
        <f>IF(L156="",0,_xlfn.SWITCH(L156,"A1",375,"B1",375,"C1",375,"D1",375,"A2",310,"B2",310,"C2",310,"D2",310,"Custom",0,260))</f>
        <v>0</v>
      </c>
      <c r="P156" s="51">
        <f>IFERROR(IF(OR(M156=0,N156=0),0,(M156+N156)*2+11),0)</f>
        <v>0</v>
      </c>
      <c r="Q156" s="51">
        <f>IFERROR(IF(OR(N156=0,O156=0),0,(N156+O156)-16),0)</f>
        <v>0</v>
      </c>
      <c r="R156" s="53">
        <f>P156*Q156/1000000</f>
        <v>0</v>
      </c>
      <c r="S156" s="123">
        <f>IFERROR(VLOOKUP(L156,'Carton Sizes Chart'!$A$4:$E$15,5,FALSE),0)</f>
        <v>0</v>
      </c>
      <c r="T156" s="124">
        <f>S156</f>
        <v>0</v>
      </c>
      <c r="U156" s="124">
        <f>I156*T156</f>
        <v>0</v>
      </c>
      <c r="V156" s="123">
        <f>((T156*I156)-W156)*4%</f>
        <v>0</v>
      </c>
      <c r="W156" s="124">
        <f>S156*I156*5%</f>
        <v>0</v>
      </c>
      <c r="X156" s="113"/>
    </row>
    <row r="157" spans="1:24">
      <c r="A157" s="118"/>
      <c r="B157" s="118"/>
      <c r="C157" s="119"/>
      <c r="D157" s="118"/>
      <c r="E157" s="118"/>
      <c r="F157" s="118"/>
      <c r="G157" s="119"/>
      <c r="H157" s="119"/>
      <c r="I157" s="121"/>
      <c r="J157" s="119" t="s">
        <v>95</v>
      </c>
      <c r="K157" s="119" t="s">
        <v>110</v>
      </c>
      <c r="L157" s="119" t="s">
        <v>123</v>
      </c>
      <c r="M157" s="51" cm="1">
        <f t="array" ref="M157">IF(L157="",0,_xlfn.SWITCH(L157,"A1",495,"A2",495,"A3",495,"Custom",0,595))</f>
        <v>0</v>
      </c>
      <c r="N157" s="51" cm="1">
        <f t="array" ref="N157">IF(L157="",0,_xlfn.SWITCH(L157,"C1",325,"C2",325,"C3",325,"D1",380,"D2",380,"D3",380,"Custom",0,285))</f>
        <v>0</v>
      </c>
      <c r="O157" s="51">
        <f>IF(L157="",0,_xlfn.SWITCH(L157,"A1",375,"B1",375,"C1",375,"D1",375,"A2",310,"B2",310,"C2",310,"D2",310,"Custom",0,260))</f>
        <v>0</v>
      </c>
      <c r="P157" s="51">
        <f>IFERROR(IF(OR(M157=0,N157=0),0,(M157+N157)*2+11),0)</f>
        <v>0</v>
      </c>
      <c r="Q157" s="51">
        <f>IFERROR(IF(OR(N157=0,O157=0),0,(N157+O157)-16),0)</f>
        <v>0</v>
      </c>
      <c r="R157" s="53">
        <f>P157*Q157/1000000</f>
        <v>0</v>
      </c>
      <c r="S157" s="123">
        <f>IFERROR(VLOOKUP(L157,'Carton Sizes Chart'!$A$4:$E$15,5,FALSE),0)</f>
        <v>0</v>
      </c>
      <c r="T157" s="124">
        <f>S157</f>
        <v>0</v>
      </c>
      <c r="U157" s="124">
        <f>I157*T157</f>
        <v>0</v>
      </c>
      <c r="V157" s="123">
        <f>((T157*I157)-W157)*4%</f>
        <v>0</v>
      </c>
      <c r="W157" s="124">
        <f>S157*I157*5%</f>
        <v>0</v>
      </c>
      <c r="X157" s="113"/>
    </row>
    <row r="158" spans="1:24">
      <c r="A158" s="118"/>
      <c r="B158" s="118"/>
      <c r="C158" s="119"/>
      <c r="D158" s="118"/>
      <c r="E158" s="118"/>
      <c r="F158" s="118"/>
      <c r="G158" s="119"/>
      <c r="H158" s="119"/>
      <c r="I158" s="121"/>
      <c r="J158" s="119" t="s">
        <v>95</v>
      </c>
      <c r="K158" s="119" t="s">
        <v>110</v>
      </c>
      <c r="L158" s="119" t="s">
        <v>123</v>
      </c>
      <c r="M158" s="51" cm="1">
        <f t="array" ref="M158">IF(L158="",0,_xlfn.SWITCH(L158,"A1",495,"A2",495,"A3",495,"Custom",0,595))</f>
        <v>0</v>
      </c>
      <c r="N158" s="51" cm="1">
        <f t="array" ref="N158">IF(L158="",0,_xlfn.SWITCH(L158,"C1",325,"C2",325,"C3",325,"D1",380,"D2",380,"D3",380,"Custom",0,285))</f>
        <v>0</v>
      </c>
      <c r="O158" s="51">
        <f>IF(L158="",0,_xlfn.SWITCH(L158,"A1",375,"B1",375,"C1",375,"D1",375,"A2",310,"B2",310,"C2",310,"D2",310,"Custom",0,260))</f>
        <v>0</v>
      </c>
      <c r="P158" s="51">
        <f>IFERROR(IF(OR(M158=0,N158=0),0,(M158+N158)*2+11),0)</f>
        <v>0</v>
      </c>
      <c r="Q158" s="51">
        <f>IFERROR(IF(OR(N158=0,O158=0),0,(N158+O158)-16),0)</f>
        <v>0</v>
      </c>
      <c r="R158" s="53">
        <f>P158*Q158/1000000</f>
        <v>0</v>
      </c>
      <c r="S158" s="123">
        <f>IFERROR(VLOOKUP(L158,'Carton Sizes Chart'!$A$4:$E$15,5,FALSE),0)</f>
        <v>0</v>
      </c>
      <c r="T158" s="124">
        <f>S158</f>
        <v>0</v>
      </c>
      <c r="U158" s="124">
        <f>I158*T158</f>
        <v>0</v>
      </c>
      <c r="V158" s="123">
        <f>((T158*I158)-W158)*4%</f>
        <v>0</v>
      </c>
      <c r="W158" s="124">
        <f>S158*I158*5%</f>
        <v>0</v>
      </c>
      <c r="X158" s="113"/>
    </row>
    <row r="159" spans="1:24">
      <c r="A159" s="118"/>
      <c r="B159" s="118"/>
      <c r="C159" s="119"/>
      <c r="D159" s="118"/>
      <c r="E159" s="118"/>
      <c r="F159" s="118"/>
      <c r="G159" s="119"/>
      <c r="H159" s="119"/>
      <c r="I159" s="121"/>
      <c r="J159" s="119" t="s">
        <v>95</v>
      </c>
      <c r="K159" s="119" t="s">
        <v>110</v>
      </c>
      <c r="L159" s="119" t="s">
        <v>123</v>
      </c>
      <c r="M159" s="51" cm="1">
        <f t="array" ref="M159">IF(L159="",0,_xlfn.SWITCH(L159,"A1",495,"A2",495,"A3",495,"Custom",0,595))</f>
        <v>0</v>
      </c>
      <c r="N159" s="51" cm="1">
        <f t="array" ref="N159">IF(L159="",0,_xlfn.SWITCH(L159,"C1",325,"C2",325,"C3",325,"D1",380,"D2",380,"D3",380,"Custom",0,285))</f>
        <v>0</v>
      </c>
      <c r="O159" s="51">
        <f>IF(L159="",0,_xlfn.SWITCH(L159,"A1",375,"B1",375,"C1",375,"D1",375,"A2",310,"B2",310,"C2",310,"D2",310,"Custom",0,260))</f>
        <v>0</v>
      </c>
      <c r="P159" s="51">
        <f>IFERROR(IF(OR(M159=0,N159=0),0,(M159+N159)*2+11),0)</f>
        <v>0</v>
      </c>
      <c r="Q159" s="51">
        <f>IFERROR(IF(OR(N159=0,O159=0),0,(N159+O159)-16),0)</f>
        <v>0</v>
      </c>
      <c r="R159" s="53">
        <f>P159*Q159/1000000</f>
        <v>0</v>
      </c>
      <c r="S159" s="123">
        <f>IFERROR(VLOOKUP(L159,'Carton Sizes Chart'!$A$4:$E$15,5,FALSE),0)</f>
        <v>0</v>
      </c>
      <c r="T159" s="124">
        <f>S159</f>
        <v>0</v>
      </c>
      <c r="U159" s="124">
        <f>I159*T159</f>
        <v>0</v>
      </c>
      <c r="V159" s="123">
        <f>((T159*I159)-W159)*4%</f>
        <v>0</v>
      </c>
      <c r="W159" s="124">
        <f>S159*I159*5%</f>
        <v>0</v>
      </c>
      <c r="X159" s="113"/>
    </row>
    <row r="160" spans="1:24">
      <c r="A160" s="118"/>
      <c r="B160" s="118"/>
      <c r="C160" s="119"/>
      <c r="D160" s="118"/>
      <c r="E160" s="118"/>
      <c r="F160" s="118"/>
      <c r="G160" s="119"/>
      <c r="H160" s="119"/>
      <c r="I160" s="121"/>
      <c r="J160" s="119" t="s">
        <v>95</v>
      </c>
      <c r="K160" s="119" t="s">
        <v>110</v>
      </c>
      <c r="L160" s="119" t="s">
        <v>123</v>
      </c>
      <c r="M160" s="51" cm="1">
        <f t="array" ref="M160">IF(L160="",0,_xlfn.SWITCH(L160,"A1",495,"A2",495,"A3",495,"Custom",0,595))</f>
        <v>0</v>
      </c>
      <c r="N160" s="51" cm="1">
        <f t="array" ref="N160">IF(L160="",0,_xlfn.SWITCH(L160,"C1",325,"C2",325,"C3",325,"D1",380,"D2",380,"D3",380,"Custom",0,285))</f>
        <v>0</v>
      </c>
      <c r="O160" s="51">
        <f>IF(L160="",0,_xlfn.SWITCH(L160,"A1",375,"B1",375,"C1",375,"D1",375,"A2",310,"B2",310,"C2",310,"D2",310,"Custom",0,260))</f>
        <v>0</v>
      </c>
      <c r="P160" s="51">
        <f>IFERROR(IF(OR(M160=0,N160=0),0,(M160+N160)*2+11),0)</f>
        <v>0</v>
      </c>
      <c r="Q160" s="51">
        <f>IFERROR(IF(OR(N160=0,O160=0),0,(N160+O160)-16),0)</f>
        <v>0</v>
      </c>
      <c r="R160" s="53">
        <f>P160*Q160/1000000</f>
        <v>0</v>
      </c>
      <c r="S160" s="123">
        <f>IFERROR(VLOOKUP(L160,'Carton Sizes Chart'!$A$4:$E$15,5,FALSE),0)</f>
        <v>0</v>
      </c>
      <c r="T160" s="124">
        <f>S160</f>
        <v>0</v>
      </c>
      <c r="U160" s="124">
        <f>I160*T160</f>
        <v>0</v>
      </c>
      <c r="V160" s="123">
        <f>((T160*I160)-W160)*4%</f>
        <v>0</v>
      </c>
      <c r="W160" s="124">
        <f>S160*I160*5%</f>
        <v>0</v>
      </c>
      <c r="X160" s="113"/>
    </row>
    <row r="161" spans="1:24">
      <c r="A161" s="118"/>
      <c r="B161" s="118"/>
      <c r="C161" s="119"/>
      <c r="D161" s="118"/>
      <c r="E161" s="118"/>
      <c r="F161" s="118"/>
      <c r="G161" s="119"/>
      <c r="H161" s="119"/>
      <c r="I161" s="121"/>
      <c r="J161" s="119" t="s">
        <v>95</v>
      </c>
      <c r="K161" s="119" t="s">
        <v>110</v>
      </c>
      <c r="L161" s="119" t="s">
        <v>123</v>
      </c>
      <c r="M161" s="51" cm="1">
        <f t="array" ref="M161">IF(L161="",0,_xlfn.SWITCH(L161,"A1",495,"A2",495,"A3",495,"Custom",0,595))</f>
        <v>0</v>
      </c>
      <c r="N161" s="51" cm="1">
        <f t="array" ref="N161">IF(L161="",0,_xlfn.SWITCH(L161,"C1",325,"C2",325,"C3",325,"D1",380,"D2",380,"D3",380,"Custom",0,285))</f>
        <v>0</v>
      </c>
      <c r="O161" s="51">
        <f>IF(L161="",0,_xlfn.SWITCH(L161,"A1",375,"B1",375,"C1",375,"D1",375,"A2",310,"B2",310,"C2",310,"D2",310,"Custom",0,260))</f>
        <v>0</v>
      </c>
      <c r="P161" s="51">
        <f>IFERROR(IF(OR(M161=0,N161=0),0,(M161+N161)*2+11),0)</f>
        <v>0</v>
      </c>
      <c r="Q161" s="51">
        <f>IFERROR(IF(OR(N161=0,O161=0),0,(N161+O161)-16),0)</f>
        <v>0</v>
      </c>
      <c r="R161" s="53">
        <f>P161*Q161/1000000</f>
        <v>0</v>
      </c>
      <c r="S161" s="123">
        <f>IFERROR(VLOOKUP(L161,'Carton Sizes Chart'!$A$4:$E$15,5,FALSE),0)</f>
        <v>0</v>
      </c>
      <c r="T161" s="124">
        <f>S161</f>
        <v>0</v>
      </c>
      <c r="U161" s="124">
        <f>I161*T161</f>
        <v>0</v>
      </c>
      <c r="V161" s="123">
        <f>((T161*I161)-W161)*4%</f>
        <v>0</v>
      </c>
      <c r="W161" s="124">
        <f>S161*I161*5%</f>
        <v>0</v>
      </c>
      <c r="X161" s="113"/>
    </row>
    <row r="162" spans="1:24">
      <c r="A162" s="118"/>
      <c r="B162" s="118"/>
      <c r="C162" s="119"/>
      <c r="D162" s="118"/>
      <c r="E162" s="118"/>
      <c r="F162" s="118"/>
      <c r="G162" s="119"/>
      <c r="H162" s="119"/>
      <c r="I162" s="121"/>
      <c r="J162" s="119" t="s">
        <v>95</v>
      </c>
      <c r="K162" s="119" t="s">
        <v>110</v>
      </c>
      <c r="L162" s="119" t="s">
        <v>123</v>
      </c>
      <c r="M162" s="51" cm="1">
        <f t="array" ref="M162">IF(L162="",0,_xlfn.SWITCH(L162,"A1",495,"A2",495,"A3",495,"Custom",0,595))</f>
        <v>0</v>
      </c>
      <c r="N162" s="51" cm="1">
        <f t="array" ref="N162">IF(L162="",0,_xlfn.SWITCH(L162,"C1",325,"C2",325,"C3",325,"D1",380,"D2",380,"D3",380,"Custom",0,285))</f>
        <v>0</v>
      </c>
      <c r="O162" s="51">
        <f>IF(L162="",0,_xlfn.SWITCH(L162,"A1",375,"B1",375,"C1",375,"D1",375,"A2",310,"B2",310,"C2",310,"D2",310,"Custom",0,260))</f>
        <v>0</v>
      </c>
      <c r="P162" s="51">
        <f>IFERROR(IF(OR(M162=0,N162=0),0,(M162+N162)*2+11),0)</f>
        <v>0</v>
      </c>
      <c r="Q162" s="51">
        <f>IFERROR(IF(OR(N162=0,O162=0),0,(N162+O162)-16),0)</f>
        <v>0</v>
      </c>
      <c r="R162" s="53">
        <f>P162*Q162/1000000</f>
        <v>0</v>
      </c>
      <c r="S162" s="123">
        <f>IFERROR(VLOOKUP(L162,'Carton Sizes Chart'!$A$4:$E$15,5,FALSE),0)</f>
        <v>0</v>
      </c>
      <c r="T162" s="124">
        <f>S162</f>
        <v>0</v>
      </c>
      <c r="U162" s="124">
        <f>I162*T162</f>
        <v>0</v>
      </c>
      <c r="V162" s="123">
        <f>((T162*I162)-W162)*4%</f>
        <v>0</v>
      </c>
      <c r="W162" s="124">
        <f>S162*I162*5%</f>
        <v>0</v>
      </c>
      <c r="X162" s="113"/>
    </row>
    <row r="163" spans="1:24">
      <c r="A163" s="118"/>
      <c r="B163" s="118"/>
      <c r="C163" s="119"/>
      <c r="D163" s="118"/>
      <c r="E163" s="118"/>
      <c r="F163" s="118"/>
      <c r="G163" s="119"/>
      <c r="H163" s="119"/>
      <c r="I163" s="121"/>
      <c r="J163" s="119" t="s">
        <v>95</v>
      </c>
      <c r="K163" s="119" t="s">
        <v>110</v>
      </c>
      <c r="L163" s="119" t="s">
        <v>123</v>
      </c>
      <c r="M163" s="51" cm="1">
        <f t="array" ref="M163">IF(L163="",0,_xlfn.SWITCH(L163,"A1",495,"A2",495,"A3",495,"Custom",0,595))</f>
        <v>0</v>
      </c>
      <c r="N163" s="51" cm="1">
        <f t="array" ref="N163">IF(L163="",0,_xlfn.SWITCH(L163,"C1",325,"C2",325,"C3",325,"D1",380,"D2",380,"D3",380,"Custom",0,285))</f>
        <v>0</v>
      </c>
      <c r="O163" s="51">
        <f>IF(L163="",0,_xlfn.SWITCH(L163,"A1",375,"B1",375,"C1",375,"D1",375,"A2",310,"B2",310,"C2",310,"D2",310,"Custom",0,260))</f>
        <v>0</v>
      </c>
      <c r="P163" s="51">
        <f>IFERROR(IF(OR(M163=0,N163=0),0,(M163+N163)*2+11),0)</f>
        <v>0</v>
      </c>
      <c r="Q163" s="51">
        <f>IFERROR(IF(OR(N163=0,O163=0),0,(N163+O163)-16),0)</f>
        <v>0</v>
      </c>
      <c r="R163" s="53">
        <f>P163*Q163/1000000</f>
        <v>0</v>
      </c>
      <c r="S163" s="123">
        <f>IFERROR(VLOOKUP(L163,'Carton Sizes Chart'!$A$4:$E$15,5,FALSE),0)</f>
        <v>0</v>
      </c>
      <c r="T163" s="124">
        <f>S163</f>
        <v>0</v>
      </c>
      <c r="U163" s="124">
        <f>I163*T163</f>
        <v>0</v>
      </c>
      <c r="V163" s="123">
        <f>((T163*I163)-W163)*4%</f>
        <v>0</v>
      </c>
      <c r="W163" s="124">
        <f>S163*I163*5%</f>
        <v>0</v>
      </c>
      <c r="X163" s="113"/>
    </row>
    <row r="164" spans="1:24">
      <c r="A164" s="118"/>
      <c r="B164" s="118"/>
      <c r="C164" s="119"/>
      <c r="D164" s="118"/>
      <c r="E164" s="118"/>
      <c r="F164" s="118"/>
      <c r="G164" s="119"/>
      <c r="H164" s="119"/>
      <c r="I164" s="121"/>
      <c r="J164" s="119" t="s">
        <v>95</v>
      </c>
      <c r="K164" s="119" t="s">
        <v>110</v>
      </c>
      <c r="L164" s="119" t="s">
        <v>123</v>
      </c>
      <c r="M164" s="51" cm="1">
        <f t="array" ref="M164">IF(L164="",0,_xlfn.SWITCH(L164,"A1",495,"A2",495,"A3",495,"Custom",0,595))</f>
        <v>0</v>
      </c>
      <c r="N164" s="51" cm="1">
        <f t="array" ref="N164">IF(L164="",0,_xlfn.SWITCH(L164,"C1",325,"C2",325,"C3",325,"D1",380,"D2",380,"D3",380,"Custom",0,285))</f>
        <v>0</v>
      </c>
      <c r="O164" s="51">
        <f>IF(L164="",0,_xlfn.SWITCH(L164,"A1",375,"B1",375,"C1",375,"D1",375,"A2",310,"B2",310,"C2",310,"D2",310,"Custom",0,260))</f>
        <v>0</v>
      </c>
      <c r="P164" s="51">
        <f>IFERROR(IF(OR(M164=0,N164=0),0,(M164+N164)*2+11),0)</f>
        <v>0</v>
      </c>
      <c r="Q164" s="51">
        <f>IFERROR(IF(OR(N164=0,O164=0),0,(N164+O164)-16),0)</f>
        <v>0</v>
      </c>
      <c r="R164" s="53">
        <f>P164*Q164/1000000</f>
        <v>0</v>
      </c>
      <c r="S164" s="123">
        <f>IFERROR(VLOOKUP(L164,'Carton Sizes Chart'!$A$4:$E$15,5,FALSE),0)</f>
        <v>0</v>
      </c>
      <c r="T164" s="124">
        <f>S164</f>
        <v>0</v>
      </c>
      <c r="U164" s="124">
        <f>I164*T164</f>
        <v>0</v>
      </c>
      <c r="V164" s="123">
        <f>((T164*I164)-W164)*4%</f>
        <v>0</v>
      </c>
      <c r="W164" s="124">
        <f>S164*I164*5%</f>
        <v>0</v>
      </c>
      <c r="X164" s="113"/>
    </row>
    <row r="165" spans="1:24">
      <c r="A165" s="118"/>
      <c r="B165" s="118"/>
      <c r="C165" s="119"/>
      <c r="D165" s="118"/>
      <c r="E165" s="118"/>
      <c r="F165" s="118"/>
      <c r="G165" s="119"/>
      <c r="H165" s="119"/>
      <c r="I165" s="121"/>
      <c r="J165" s="119" t="s">
        <v>95</v>
      </c>
      <c r="K165" s="119" t="s">
        <v>110</v>
      </c>
      <c r="L165" s="119" t="s">
        <v>123</v>
      </c>
      <c r="M165" s="51" cm="1">
        <f t="array" ref="M165">IF(L165="",0,_xlfn.SWITCH(L165,"A1",495,"A2",495,"A3",495,"Custom",0,595))</f>
        <v>0</v>
      </c>
      <c r="N165" s="51" cm="1">
        <f t="array" ref="N165">IF(L165="",0,_xlfn.SWITCH(L165,"C1",325,"C2",325,"C3",325,"D1",380,"D2",380,"D3",380,"Custom",0,285))</f>
        <v>0</v>
      </c>
      <c r="O165" s="51">
        <f>IF(L165="",0,_xlfn.SWITCH(L165,"A1",375,"B1",375,"C1",375,"D1",375,"A2",310,"B2",310,"C2",310,"D2",310,"Custom",0,260))</f>
        <v>0</v>
      </c>
      <c r="P165" s="51">
        <f>IFERROR(IF(OR(M165=0,N165=0),0,(M165+N165)*2+11),0)</f>
        <v>0</v>
      </c>
      <c r="Q165" s="51">
        <f>IFERROR(IF(OR(N165=0,O165=0),0,(N165+O165)-16),0)</f>
        <v>0</v>
      </c>
      <c r="R165" s="53">
        <f>P165*Q165/1000000</f>
        <v>0</v>
      </c>
      <c r="S165" s="123">
        <f>IFERROR(VLOOKUP(L165,'Carton Sizes Chart'!$A$4:$E$15,5,FALSE),0)</f>
        <v>0</v>
      </c>
      <c r="T165" s="124">
        <f>S165</f>
        <v>0</v>
      </c>
      <c r="U165" s="124">
        <f>I165*T165</f>
        <v>0</v>
      </c>
      <c r="V165" s="123">
        <f>((T165*I165)-W165)*4%</f>
        <v>0</v>
      </c>
      <c r="W165" s="124">
        <f>S165*I165*5%</f>
        <v>0</v>
      </c>
      <c r="X165" s="113"/>
    </row>
    <row r="166" spans="1:24">
      <c r="A166" s="118"/>
      <c r="B166" s="118"/>
      <c r="C166" s="119"/>
      <c r="D166" s="118"/>
      <c r="E166" s="118"/>
      <c r="F166" s="118"/>
      <c r="G166" s="119"/>
      <c r="H166" s="119"/>
      <c r="I166" s="121"/>
      <c r="J166" s="119" t="s">
        <v>95</v>
      </c>
      <c r="K166" s="119" t="s">
        <v>110</v>
      </c>
      <c r="L166" s="119" t="s">
        <v>123</v>
      </c>
      <c r="M166" s="51" cm="1">
        <f t="array" ref="M166">IF(L166="",0,_xlfn.SWITCH(L166,"A1",495,"A2",495,"A3",495,"Custom",0,595))</f>
        <v>0</v>
      </c>
      <c r="N166" s="51" cm="1">
        <f t="array" ref="N166">IF(L166="",0,_xlfn.SWITCH(L166,"C1",325,"C2",325,"C3",325,"D1",380,"D2",380,"D3",380,"Custom",0,285))</f>
        <v>0</v>
      </c>
      <c r="O166" s="51">
        <f>IF(L166="",0,_xlfn.SWITCH(L166,"A1",375,"B1",375,"C1",375,"D1",375,"A2",310,"B2",310,"C2",310,"D2",310,"Custom",0,260))</f>
        <v>0</v>
      </c>
      <c r="P166" s="51">
        <f>IFERROR(IF(OR(M166=0,N166=0),0,(M166+N166)*2+11),0)</f>
        <v>0</v>
      </c>
      <c r="Q166" s="51">
        <f>IFERROR(IF(OR(N166=0,O166=0),0,(N166+O166)-16),0)</f>
        <v>0</v>
      </c>
      <c r="R166" s="53">
        <f>P166*Q166/1000000</f>
        <v>0</v>
      </c>
      <c r="S166" s="123">
        <f>IFERROR(VLOOKUP(L166,'Carton Sizes Chart'!$A$4:$E$15,5,FALSE),0)</f>
        <v>0</v>
      </c>
      <c r="T166" s="124">
        <f>S166</f>
        <v>0</v>
      </c>
      <c r="U166" s="124">
        <f>I166*T166</f>
        <v>0</v>
      </c>
      <c r="V166" s="123">
        <f>((T166*I166)-W166)*4%</f>
        <v>0</v>
      </c>
      <c r="W166" s="124">
        <f>S166*I166*5%</f>
        <v>0</v>
      </c>
      <c r="X166" s="113"/>
    </row>
    <row r="167" spans="1:24">
      <c r="A167" s="118"/>
      <c r="B167" s="118"/>
      <c r="C167" s="119"/>
      <c r="D167" s="118"/>
      <c r="E167" s="118"/>
      <c r="F167" s="118"/>
      <c r="G167" s="119"/>
      <c r="H167" s="119"/>
      <c r="I167" s="121"/>
      <c r="J167" s="119" t="s">
        <v>95</v>
      </c>
      <c r="K167" s="119" t="s">
        <v>110</v>
      </c>
      <c r="L167" s="119" t="s">
        <v>123</v>
      </c>
      <c r="M167" s="51" cm="1">
        <f t="array" ref="M167">IF(L167="",0,_xlfn.SWITCH(L167,"A1",495,"A2",495,"A3",495,"Custom",0,595))</f>
        <v>0</v>
      </c>
      <c r="N167" s="51" cm="1">
        <f t="array" ref="N167">IF(L167="",0,_xlfn.SWITCH(L167,"C1",325,"C2",325,"C3",325,"D1",380,"D2",380,"D3",380,"Custom",0,285))</f>
        <v>0</v>
      </c>
      <c r="O167" s="51">
        <f>IF(L167="",0,_xlfn.SWITCH(L167,"A1",375,"B1",375,"C1",375,"D1",375,"A2",310,"B2",310,"C2",310,"D2",310,"Custom",0,260))</f>
        <v>0</v>
      </c>
      <c r="P167" s="51">
        <f>IFERROR(IF(OR(M167=0,N167=0),0,(M167+N167)*2+11),0)</f>
        <v>0</v>
      </c>
      <c r="Q167" s="51">
        <f>IFERROR(IF(OR(N167=0,O167=0),0,(N167+O167)-16),0)</f>
        <v>0</v>
      </c>
      <c r="R167" s="53">
        <f>P167*Q167/1000000</f>
        <v>0</v>
      </c>
      <c r="S167" s="123">
        <f>IFERROR(VLOOKUP(L167,'Carton Sizes Chart'!$A$4:$E$15,5,FALSE),0)</f>
        <v>0</v>
      </c>
      <c r="T167" s="124">
        <f>S167</f>
        <v>0</v>
      </c>
      <c r="U167" s="124">
        <f>I167*T167</f>
        <v>0</v>
      </c>
      <c r="V167" s="123">
        <f>((T167*I167)-W167)*4%</f>
        <v>0</v>
      </c>
      <c r="W167" s="124">
        <f>S167*I167*5%</f>
        <v>0</v>
      </c>
      <c r="X167" s="113"/>
    </row>
    <row r="168" spans="1:24">
      <c r="A168" s="118"/>
      <c r="B168" s="118"/>
      <c r="C168" s="119"/>
      <c r="D168" s="118"/>
      <c r="E168" s="118"/>
      <c r="F168" s="118"/>
      <c r="G168" s="119"/>
      <c r="H168" s="119"/>
      <c r="I168" s="121"/>
      <c r="J168" s="119" t="s">
        <v>95</v>
      </c>
      <c r="K168" s="119" t="s">
        <v>110</v>
      </c>
      <c r="L168" s="119" t="s">
        <v>123</v>
      </c>
      <c r="M168" s="51" cm="1">
        <f t="array" ref="M168">IF(L168="",0,_xlfn.SWITCH(L168,"A1",495,"A2",495,"A3",495,"Custom",0,595))</f>
        <v>0</v>
      </c>
      <c r="N168" s="51" cm="1">
        <f t="array" ref="N168">IF(L168="",0,_xlfn.SWITCH(L168,"C1",325,"C2",325,"C3",325,"D1",380,"D2",380,"D3",380,"Custom",0,285))</f>
        <v>0</v>
      </c>
      <c r="O168" s="51">
        <f>IF(L168="",0,_xlfn.SWITCH(L168,"A1",375,"B1",375,"C1",375,"D1",375,"A2",310,"B2",310,"C2",310,"D2",310,"Custom",0,260))</f>
        <v>0</v>
      </c>
      <c r="P168" s="51">
        <f>IFERROR(IF(OR(M168=0,N168=0),0,(M168+N168)*2+11),0)</f>
        <v>0</v>
      </c>
      <c r="Q168" s="51">
        <f>IFERROR(IF(OR(N168=0,O168=0),0,(N168+O168)-16),0)</f>
        <v>0</v>
      </c>
      <c r="R168" s="53">
        <f>P168*Q168/1000000</f>
        <v>0</v>
      </c>
      <c r="S168" s="123">
        <f>IFERROR(VLOOKUP(L168,'Carton Sizes Chart'!$A$4:$E$15,5,FALSE),0)</f>
        <v>0</v>
      </c>
      <c r="T168" s="124">
        <f>S168</f>
        <v>0</v>
      </c>
      <c r="U168" s="124">
        <f>I168*T168</f>
        <v>0</v>
      </c>
      <c r="V168" s="123">
        <f>((T168*I168)-W168)*4%</f>
        <v>0</v>
      </c>
      <c r="W168" s="124">
        <f>S168*I168*5%</f>
        <v>0</v>
      </c>
      <c r="X168" s="113"/>
    </row>
    <row r="169" spans="1:24">
      <c r="A169" s="118"/>
      <c r="B169" s="118"/>
      <c r="C169" s="119"/>
      <c r="D169" s="118"/>
      <c r="E169" s="118"/>
      <c r="F169" s="118"/>
      <c r="G169" s="119"/>
      <c r="H169" s="119"/>
      <c r="I169" s="121"/>
      <c r="J169" s="119" t="s">
        <v>95</v>
      </c>
      <c r="K169" s="119" t="s">
        <v>110</v>
      </c>
      <c r="L169" s="119" t="s">
        <v>123</v>
      </c>
      <c r="M169" s="51" cm="1">
        <f t="array" ref="M169">IF(L169="",0,_xlfn.SWITCH(L169,"A1",495,"A2",495,"A3",495,"Custom",0,595))</f>
        <v>0</v>
      </c>
      <c r="N169" s="51" cm="1">
        <f t="array" ref="N169">IF(L169="",0,_xlfn.SWITCH(L169,"C1",325,"C2",325,"C3",325,"D1",380,"D2",380,"D3",380,"Custom",0,285))</f>
        <v>0</v>
      </c>
      <c r="O169" s="51">
        <f>IF(L169="",0,_xlfn.SWITCH(L169,"A1",375,"B1",375,"C1",375,"D1",375,"A2",310,"B2",310,"C2",310,"D2",310,"Custom",0,260))</f>
        <v>0</v>
      </c>
      <c r="P169" s="51">
        <f>IFERROR(IF(OR(M169=0,N169=0),0,(M169+N169)*2+11),0)</f>
        <v>0</v>
      </c>
      <c r="Q169" s="51">
        <f>IFERROR(IF(OR(N169=0,O169=0),0,(N169+O169)-16),0)</f>
        <v>0</v>
      </c>
      <c r="R169" s="53">
        <f>P169*Q169/1000000</f>
        <v>0</v>
      </c>
      <c r="S169" s="123">
        <f>IFERROR(VLOOKUP(L169,'Carton Sizes Chart'!$A$4:$E$15,5,FALSE),0)</f>
        <v>0</v>
      </c>
      <c r="T169" s="124">
        <f>S169</f>
        <v>0</v>
      </c>
      <c r="U169" s="124">
        <f>I169*T169</f>
        <v>0</v>
      </c>
      <c r="V169" s="123">
        <f>((T169*I169)-W169)*4%</f>
        <v>0</v>
      </c>
      <c r="W169" s="124">
        <f>S169*I169*5%</f>
        <v>0</v>
      </c>
      <c r="X169" s="113"/>
    </row>
    <row r="170" spans="1:24">
      <c r="A170" s="118"/>
      <c r="B170" s="118"/>
      <c r="C170" s="119"/>
      <c r="D170" s="118"/>
      <c r="E170" s="118"/>
      <c r="F170" s="118"/>
      <c r="G170" s="119"/>
      <c r="H170" s="119"/>
      <c r="I170" s="121"/>
      <c r="J170" s="119" t="s">
        <v>95</v>
      </c>
      <c r="K170" s="119" t="s">
        <v>110</v>
      </c>
      <c r="L170" s="119" t="s">
        <v>123</v>
      </c>
      <c r="M170" s="51" cm="1">
        <f t="array" ref="M170">IF(L170="",0,_xlfn.SWITCH(L170,"A1",495,"A2",495,"A3",495,"Custom",0,595))</f>
        <v>0</v>
      </c>
      <c r="N170" s="51" cm="1">
        <f t="array" ref="N170">IF(L170="",0,_xlfn.SWITCH(L170,"C1",325,"C2",325,"C3",325,"D1",380,"D2",380,"D3",380,"Custom",0,285))</f>
        <v>0</v>
      </c>
      <c r="O170" s="51">
        <f>IF(L170="",0,_xlfn.SWITCH(L170,"A1",375,"B1",375,"C1",375,"D1",375,"A2",310,"B2",310,"C2",310,"D2",310,"Custom",0,260))</f>
        <v>0</v>
      </c>
      <c r="P170" s="51">
        <f>IFERROR(IF(OR(M170=0,N170=0),0,(M170+N170)*2+11),0)</f>
        <v>0</v>
      </c>
      <c r="Q170" s="51">
        <f>IFERROR(IF(OR(N170=0,O170=0),0,(N170+O170)-16),0)</f>
        <v>0</v>
      </c>
      <c r="R170" s="53">
        <f>P170*Q170/1000000</f>
        <v>0</v>
      </c>
      <c r="S170" s="123">
        <f>IFERROR(VLOOKUP(L170,'Carton Sizes Chart'!$A$4:$E$15,5,FALSE),0)</f>
        <v>0</v>
      </c>
      <c r="T170" s="124">
        <f>S170</f>
        <v>0</v>
      </c>
      <c r="U170" s="124">
        <f>I170*T170</f>
        <v>0</v>
      </c>
      <c r="V170" s="123">
        <f>((T170*I170)-W170)*4%</f>
        <v>0</v>
      </c>
      <c r="W170" s="124">
        <f>S170*I170*5%</f>
        <v>0</v>
      </c>
      <c r="X170" s="113"/>
    </row>
    <row r="171" spans="1:24">
      <c r="A171" s="118"/>
      <c r="B171" s="118"/>
      <c r="C171" s="119"/>
      <c r="D171" s="118"/>
      <c r="E171" s="118"/>
      <c r="F171" s="118"/>
      <c r="G171" s="119"/>
      <c r="H171" s="119"/>
      <c r="I171" s="121"/>
      <c r="J171" s="119" t="s">
        <v>95</v>
      </c>
      <c r="K171" s="119" t="s">
        <v>110</v>
      </c>
      <c r="L171" s="119" t="s">
        <v>123</v>
      </c>
      <c r="M171" s="51" cm="1">
        <f t="array" ref="M171">IF(L171="",0,_xlfn.SWITCH(L171,"A1",495,"A2",495,"A3",495,"Custom",0,595))</f>
        <v>0</v>
      </c>
      <c r="N171" s="51" cm="1">
        <f t="array" ref="N171">IF(L171="",0,_xlfn.SWITCH(L171,"C1",325,"C2",325,"C3",325,"D1",380,"D2",380,"D3",380,"Custom",0,285))</f>
        <v>0</v>
      </c>
      <c r="O171" s="51">
        <f>IF(L171="",0,_xlfn.SWITCH(L171,"A1",375,"B1",375,"C1",375,"D1",375,"A2",310,"B2",310,"C2",310,"D2",310,"Custom",0,260))</f>
        <v>0</v>
      </c>
      <c r="P171" s="51">
        <f>IFERROR(IF(OR(M171=0,N171=0),0,(M171+N171)*2+11),0)</f>
        <v>0</v>
      </c>
      <c r="Q171" s="51">
        <f>IFERROR(IF(OR(N171=0,O171=0),0,(N171+O171)-16),0)</f>
        <v>0</v>
      </c>
      <c r="R171" s="53">
        <f>P171*Q171/1000000</f>
        <v>0</v>
      </c>
      <c r="S171" s="123">
        <f>IFERROR(VLOOKUP(L171,'Carton Sizes Chart'!$A$4:$E$15,5,FALSE),0)</f>
        <v>0</v>
      </c>
      <c r="T171" s="124">
        <f>S171</f>
        <v>0</v>
      </c>
      <c r="U171" s="124">
        <f>I171*T171</f>
        <v>0</v>
      </c>
      <c r="V171" s="123">
        <f>((T171*I171)-W171)*4%</f>
        <v>0</v>
      </c>
      <c r="W171" s="124">
        <f>S171*I171*5%</f>
        <v>0</v>
      </c>
      <c r="X171" s="113"/>
    </row>
    <row r="172" spans="1:24">
      <c r="A172" s="118"/>
      <c r="B172" s="118"/>
      <c r="C172" s="119"/>
      <c r="D172" s="118"/>
      <c r="E172" s="118"/>
      <c r="F172" s="118"/>
      <c r="G172" s="119"/>
      <c r="H172" s="119"/>
      <c r="I172" s="119"/>
      <c r="J172" s="119" t="s">
        <v>95</v>
      </c>
      <c r="K172" s="119" t="s">
        <v>110</v>
      </c>
      <c r="L172" s="119" t="s">
        <v>123</v>
      </c>
      <c r="M172" s="51" cm="1">
        <f t="array" ref="M172">IF(L172="",0,_xlfn.SWITCH(L172,"A1",495,"A2",495,"A3",495,"Custom",0,595))</f>
        <v>0</v>
      </c>
      <c r="N172" s="51" cm="1">
        <f t="array" ref="N172">IF(L172="",0,_xlfn.SWITCH(L172,"C1",325,"C2",325,"C3",325,"D1",380,"D2",380,"D3",380,"Custom",0,285))</f>
        <v>0</v>
      </c>
      <c r="O172" s="51">
        <f>IF(L172="",0,_xlfn.SWITCH(L172,"A1",375,"B1",375,"C1",375,"D1",375,"A2",310,"B2",310,"C2",310,"D2",310,"Custom",0,260))</f>
        <v>0</v>
      </c>
      <c r="P172" s="51">
        <f>IFERROR(IF(OR(M172=0,N172=0),0,(M172+N172)*2+11),0)</f>
        <v>0</v>
      </c>
      <c r="Q172" s="51">
        <f>IFERROR(IF(OR(N172=0,O172=0),0,(N172+O172)-16),0)</f>
        <v>0</v>
      </c>
      <c r="R172" s="53">
        <f>P172*Q172/1000000</f>
        <v>0</v>
      </c>
      <c r="S172" s="123">
        <f>IFERROR(VLOOKUP(L172,'Carton Sizes Chart'!$A$4:$E$15,5,FALSE),0)</f>
        <v>0</v>
      </c>
      <c r="T172" s="124">
        <f>S172</f>
        <v>0</v>
      </c>
      <c r="U172" s="124">
        <f>I172*T172</f>
        <v>0</v>
      </c>
      <c r="V172" s="123">
        <f>((T172*I172)-W172)*4%</f>
        <v>0</v>
      </c>
      <c r="W172" s="124">
        <f>S172*I172*5%</f>
        <v>0</v>
      </c>
      <c r="X172" s="113"/>
    </row>
    <row r="173" spans="1:24">
      <c r="A173" s="118"/>
      <c r="B173" s="118"/>
      <c r="C173" s="119"/>
      <c r="D173" s="118"/>
      <c r="E173" s="118"/>
      <c r="F173" s="118"/>
      <c r="G173" s="119"/>
      <c r="H173" s="119"/>
      <c r="I173" s="119"/>
      <c r="J173" s="119" t="s">
        <v>95</v>
      </c>
      <c r="K173" s="119" t="s">
        <v>110</v>
      </c>
      <c r="L173" s="119" t="s">
        <v>123</v>
      </c>
      <c r="M173" s="51" cm="1">
        <f t="array" ref="M173">IF(L173="",0,_xlfn.SWITCH(L173,"A1",495,"A2",495,"A3",495,"Custom",0,595))</f>
        <v>0</v>
      </c>
      <c r="N173" s="51" cm="1">
        <f t="array" ref="N173">IF(L173="",0,_xlfn.SWITCH(L173,"C1",325,"C2",325,"C3",325,"D1",380,"D2",380,"D3",380,"Custom",0,285))</f>
        <v>0</v>
      </c>
      <c r="O173" s="51">
        <f>IF(L173="",0,_xlfn.SWITCH(L173,"A1",375,"B1",375,"C1",375,"D1",375,"A2",310,"B2",310,"C2",310,"D2",310,"Custom",0,260))</f>
        <v>0</v>
      </c>
      <c r="P173" s="51">
        <f>IFERROR(IF(OR(M173=0,N173=0),0,(M173+N173)*2+11),0)</f>
        <v>0</v>
      </c>
      <c r="Q173" s="51">
        <f>IFERROR(IF(OR(N173=0,O173=0),0,(N173+O173)-16),0)</f>
        <v>0</v>
      </c>
      <c r="R173" s="53">
        <f>P173*Q173/1000000</f>
        <v>0</v>
      </c>
      <c r="S173" s="123">
        <f>IFERROR(VLOOKUP(L173,'Carton Sizes Chart'!$A$4:$E$15,5,FALSE),0)</f>
        <v>0</v>
      </c>
      <c r="T173" s="124">
        <f>S173</f>
        <v>0</v>
      </c>
      <c r="U173" s="124">
        <f>I173*T173</f>
        <v>0</v>
      </c>
      <c r="V173" s="123">
        <f>((T173*I173)-W173)*4%</f>
        <v>0</v>
      </c>
      <c r="W173" s="124">
        <f>S173*I173*5%</f>
        <v>0</v>
      </c>
      <c r="X173" s="113"/>
    </row>
    <row r="174" spans="1:24">
      <c r="A174" s="118"/>
      <c r="B174" s="118"/>
      <c r="C174" s="119"/>
      <c r="D174" s="118"/>
      <c r="E174" s="118"/>
      <c r="F174" s="118"/>
      <c r="G174" s="119"/>
      <c r="H174" s="119"/>
      <c r="I174" s="119"/>
      <c r="J174" s="119" t="s">
        <v>95</v>
      </c>
      <c r="K174" s="119" t="s">
        <v>110</v>
      </c>
      <c r="L174" s="119" t="s">
        <v>123</v>
      </c>
      <c r="M174" s="51" cm="1">
        <f t="array" ref="M174">IF(L174="",0,_xlfn.SWITCH(L174,"A1",495,"A2",495,"A3",495,"Custom",0,595))</f>
        <v>0</v>
      </c>
      <c r="N174" s="51" cm="1">
        <f t="array" ref="N174">IF(L174="",0,_xlfn.SWITCH(L174,"C1",325,"C2",325,"C3",325,"D1",380,"D2",380,"D3",380,"Custom",0,285))</f>
        <v>0</v>
      </c>
      <c r="O174" s="51">
        <f>IF(L174="",0,_xlfn.SWITCH(L174,"A1",375,"B1",375,"C1",375,"D1",375,"A2",310,"B2",310,"C2",310,"D2",310,"Custom",0,260))</f>
        <v>0</v>
      </c>
      <c r="P174" s="51">
        <f>IFERROR(IF(OR(M174=0,N174=0),0,(M174+N174)*2+11),0)</f>
        <v>0</v>
      </c>
      <c r="Q174" s="51">
        <f>IFERROR(IF(OR(N174=0,O174=0),0,(N174+O174)-16),0)</f>
        <v>0</v>
      </c>
      <c r="R174" s="53">
        <f>P174*Q174/1000000</f>
        <v>0</v>
      </c>
      <c r="S174" s="123">
        <f>IFERROR(VLOOKUP(L174,'Carton Sizes Chart'!$A$4:$E$15,5,FALSE),0)</f>
        <v>0</v>
      </c>
      <c r="T174" s="124">
        <f>S174</f>
        <v>0</v>
      </c>
      <c r="U174" s="124">
        <f>I174*T174</f>
        <v>0</v>
      </c>
      <c r="V174" s="123">
        <f>((T174*I174)-W174)*4%</f>
        <v>0</v>
      </c>
      <c r="W174" s="124">
        <f>S174*I174*5%</f>
        <v>0</v>
      </c>
      <c r="X174" s="113"/>
    </row>
    <row r="175" spans="1:24">
      <c r="A175" s="118"/>
      <c r="B175" s="118"/>
      <c r="C175" s="119"/>
      <c r="D175" s="118"/>
      <c r="E175" s="118"/>
      <c r="F175" s="118"/>
      <c r="G175" s="119"/>
      <c r="H175" s="119"/>
      <c r="I175" s="119"/>
      <c r="J175" s="119" t="s">
        <v>95</v>
      </c>
      <c r="K175" s="119" t="s">
        <v>110</v>
      </c>
      <c r="L175" s="119" t="s">
        <v>123</v>
      </c>
      <c r="M175" s="51" cm="1">
        <f t="array" ref="M175">IF(L175="",0,_xlfn.SWITCH(L175,"A1",495,"A2",495,"A3",495,"Custom",0,595))</f>
        <v>0</v>
      </c>
      <c r="N175" s="51" cm="1">
        <f t="array" ref="N175">IF(L175="",0,_xlfn.SWITCH(L175,"C1",325,"C2",325,"C3",325,"D1",380,"D2",380,"D3",380,"Custom",0,285))</f>
        <v>0</v>
      </c>
      <c r="O175" s="51">
        <f>IF(L175="",0,_xlfn.SWITCH(L175,"A1",375,"B1",375,"C1",375,"D1",375,"A2",310,"B2",310,"C2",310,"D2",310,"Custom",0,260))</f>
        <v>0</v>
      </c>
      <c r="P175" s="51">
        <f>IFERROR(IF(OR(M175=0,N175=0),0,(M175+N175)*2+11),0)</f>
        <v>0</v>
      </c>
      <c r="Q175" s="51">
        <f>IFERROR(IF(OR(N175=0,O175=0),0,(N175+O175)-16),0)</f>
        <v>0</v>
      </c>
      <c r="R175" s="53">
        <f>P175*Q175/1000000</f>
        <v>0</v>
      </c>
      <c r="S175" s="123">
        <f>IFERROR(VLOOKUP(L175,'Carton Sizes Chart'!$A$4:$E$15,5,FALSE),0)</f>
        <v>0</v>
      </c>
      <c r="T175" s="124">
        <f>S175</f>
        <v>0</v>
      </c>
      <c r="U175" s="124">
        <f>I175*T175</f>
        <v>0</v>
      </c>
      <c r="V175" s="123">
        <f>((T175*I175)-W175)*4%</f>
        <v>0</v>
      </c>
      <c r="W175" s="124">
        <f>S175*I175*5%</f>
        <v>0</v>
      </c>
      <c r="X175" s="113"/>
    </row>
    <row r="176" spans="1:24">
      <c r="A176" s="118"/>
      <c r="B176" s="118"/>
      <c r="C176" s="119"/>
      <c r="D176" s="118"/>
      <c r="E176" s="118"/>
      <c r="F176" s="118"/>
      <c r="G176" s="119"/>
      <c r="H176" s="119"/>
      <c r="I176" s="119"/>
      <c r="J176" s="119" t="s">
        <v>95</v>
      </c>
      <c r="K176" s="119" t="s">
        <v>110</v>
      </c>
      <c r="L176" s="119" t="s">
        <v>123</v>
      </c>
      <c r="M176" s="51" cm="1">
        <f t="array" ref="M176">IF(L176="",0,_xlfn.SWITCH(L176,"A1",495,"A2",495,"A3",495,"Custom",0,595))</f>
        <v>0</v>
      </c>
      <c r="N176" s="51" cm="1">
        <f t="array" ref="N176">IF(L176="",0,_xlfn.SWITCH(L176,"C1",325,"C2",325,"C3",325,"D1",380,"D2",380,"D3",380,"Custom",0,285))</f>
        <v>0</v>
      </c>
      <c r="O176" s="51">
        <f>IF(L176="",0,_xlfn.SWITCH(L176,"A1",375,"B1",375,"C1",375,"D1",375,"A2",310,"B2",310,"C2",310,"D2",310,"Custom",0,260))</f>
        <v>0</v>
      </c>
      <c r="P176" s="51">
        <f>IFERROR(IF(OR(M176=0,N176=0),0,(M176+N176)*2+11),0)</f>
        <v>0</v>
      </c>
      <c r="Q176" s="51">
        <f>IFERROR(IF(OR(N176=0,O176=0),0,(N176+O176)-16),0)</f>
        <v>0</v>
      </c>
      <c r="R176" s="53">
        <f>P176*Q176/1000000</f>
        <v>0</v>
      </c>
      <c r="S176" s="123">
        <f>IFERROR(VLOOKUP(L176,'Carton Sizes Chart'!$A$4:$E$15,5,FALSE),0)</f>
        <v>0</v>
      </c>
      <c r="T176" s="124">
        <f>S176</f>
        <v>0</v>
      </c>
      <c r="U176" s="124">
        <f>I176*T176</f>
        <v>0</v>
      </c>
      <c r="V176" s="123">
        <f>((T176*I176)-W176)*4%</f>
        <v>0</v>
      </c>
      <c r="W176" s="124">
        <f>S176*I176*5%</f>
        <v>0</v>
      </c>
      <c r="X176" s="113"/>
    </row>
    <row r="177" spans="1:24">
      <c r="A177" s="118"/>
      <c r="B177" s="118"/>
      <c r="C177" s="119"/>
      <c r="D177" s="118"/>
      <c r="E177" s="118"/>
      <c r="F177" s="118"/>
      <c r="G177" s="119"/>
      <c r="H177" s="119"/>
      <c r="I177" s="119"/>
      <c r="J177" s="119" t="s">
        <v>95</v>
      </c>
      <c r="K177" s="119" t="s">
        <v>110</v>
      </c>
      <c r="L177" s="119" t="s">
        <v>123</v>
      </c>
      <c r="M177" s="51" cm="1">
        <f t="array" ref="M177">IF(L177="",0,_xlfn.SWITCH(L177,"A1",495,"A2",495,"A3",495,"Custom",0,595))</f>
        <v>0</v>
      </c>
      <c r="N177" s="51" cm="1">
        <f t="array" ref="N177">IF(L177="",0,_xlfn.SWITCH(L177,"C1",325,"C2",325,"C3",325,"D1",380,"D2",380,"D3",380,"Custom",0,285))</f>
        <v>0</v>
      </c>
      <c r="O177" s="51">
        <f>IF(L177="",0,_xlfn.SWITCH(L177,"A1",375,"B1",375,"C1",375,"D1",375,"A2",310,"B2",310,"C2",310,"D2",310,"Custom",0,260))</f>
        <v>0</v>
      </c>
      <c r="P177" s="51">
        <f>IFERROR(IF(OR(M177=0,N177=0),0,(M177+N177)*2+11),0)</f>
        <v>0</v>
      </c>
      <c r="Q177" s="51">
        <f>IFERROR(IF(OR(N177=0,O177=0),0,(N177+O177)-16),0)</f>
        <v>0</v>
      </c>
      <c r="R177" s="53">
        <f>P177*Q177/1000000</f>
        <v>0</v>
      </c>
      <c r="S177" s="123">
        <f>IFERROR(VLOOKUP(L177,'Carton Sizes Chart'!$A$4:$E$15,5,FALSE),0)</f>
        <v>0</v>
      </c>
      <c r="T177" s="124">
        <f>S177</f>
        <v>0</v>
      </c>
      <c r="U177" s="124">
        <f>I177*T177</f>
        <v>0</v>
      </c>
      <c r="V177" s="123">
        <f>((T177*I177)-W177)*4%</f>
        <v>0</v>
      </c>
      <c r="W177" s="124">
        <f>S177*I177*5%</f>
        <v>0</v>
      </c>
      <c r="X177" s="113"/>
    </row>
    <row r="178" spans="1:24">
      <c r="A178" s="118"/>
      <c r="B178" s="118"/>
      <c r="C178" s="119"/>
      <c r="D178" s="118"/>
      <c r="E178" s="118"/>
      <c r="F178" s="118"/>
      <c r="G178" s="119"/>
      <c r="H178" s="119"/>
      <c r="I178" s="119"/>
      <c r="J178" s="119" t="s">
        <v>95</v>
      </c>
      <c r="K178" s="119" t="s">
        <v>110</v>
      </c>
      <c r="L178" s="119" t="s">
        <v>123</v>
      </c>
      <c r="M178" s="51" cm="1">
        <f t="array" ref="M178">IF(L178="",0,_xlfn.SWITCH(L178,"A1",495,"A2",495,"A3",495,"Custom",0,595))</f>
        <v>0</v>
      </c>
      <c r="N178" s="51" cm="1">
        <f t="array" ref="N178">IF(L178="",0,_xlfn.SWITCH(L178,"C1",325,"C2",325,"C3",325,"D1",380,"D2",380,"D3",380,"Custom",0,285))</f>
        <v>0</v>
      </c>
      <c r="O178" s="51">
        <f>IF(L178="",0,_xlfn.SWITCH(L178,"A1",375,"B1",375,"C1",375,"D1",375,"A2",310,"B2",310,"C2",310,"D2",310,"Custom",0,260))</f>
        <v>0</v>
      </c>
      <c r="P178" s="51">
        <f>IFERROR(IF(OR(M178=0,N178=0),0,(M178+N178)*2+11),0)</f>
        <v>0</v>
      </c>
      <c r="Q178" s="51">
        <f>IFERROR(IF(OR(N178=0,O178=0),0,(N178+O178)-16),0)</f>
        <v>0</v>
      </c>
      <c r="R178" s="53">
        <f>P178*Q178/1000000</f>
        <v>0</v>
      </c>
      <c r="S178" s="123">
        <f>IFERROR(VLOOKUP(L178,'Carton Sizes Chart'!$A$4:$E$15,5,FALSE),0)</f>
        <v>0</v>
      </c>
      <c r="T178" s="124">
        <f>S178</f>
        <v>0</v>
      </c>
      <c r="U178" s="124">
        <f>I178*T178</f>
        <v>0</v>
      </c>
      <c r="V178" s="123">
        <f>((T178*I178)-W178)*4%</f>
        <v>0</v>
      </c>
      <c r="W178" s="124">
        <f>S178*I178*5%</f>
        <v>0</v>
      </c>
      <c r="X178" s="113"/>
    </row>
    <row r="179" spans="1:24">
      <c r="A179" s="118"/>
      <c r="B179" s="118"/>
      <c r="C179" s="119"/>
      <c r="D179" s="118"/>
      <c r="E179" s="118"/>
      <c r="F179" s="118"/>
      <c r="G179" s="119"/>
      <c r="H179" s="119"/>
      <c r="I179" s="119"/>
      <c r="J179" s="119" t="s">
        <v>95</v>
      </c>
      <c r="K179" s="119" t="s">
        <v>110</v>
      </c>
      <c r="L179" s="119" t="s">
        <v>123</v>
      </c>
      <c r="M179" s="51" cm="1">
        <f t="array" ref="M179">IF(L179="",0,_xlfn.SWITCH(L179,"A1",495,"A2",495,"A3",495,"Custom",0,595))</f>
        <v>0</v>
      </c>
      <c r="N179" s="51" cm="1">
        <f t="array" ref="N179">IF(L179="",0,_xlfn.SWITCH(L179,"C1",325,"C2",325,"C3",325,"D1",380,"D2",380,"D3",380,"Custom",0,285))</f>
        <v>0</v>
      </c>
      <c r="O179" s="51">
        <f>IF(L179="",0,_xlfn.SWITCH(L179,"A1",375,"B1",375,"C1",375,"D1",375,"A2",310,"B2",310,"C2",310,"D2",310,"Custom",0,260))</f>
        <v>0</v>
      </c>
      <c r="P179" s="51">
        <f>IFERROR(IF(OR(M179=0,N179=0),0,(M179+N179)*2+11),0)</f>
        <v>0</v>
      </c>
      <c r="Q179" s="51">
        <f>IFERROR(IF(OR(N179=0,O179=0),0,(N179+O179)-16),0)</f>
        <v>0</v>
      </c>
      <c r="R179" s="53">
        <f>P179*Q179/1000000</f>
        <v>0</v>
      </c>
      <c r="S179" s="123">
        <f>IFERROR(VLOOKUP(L179,'Carton Sizes Chart'!$A$4:$E$15,5,FALSE),0)</f>
        <v>0</v>
      </c>
      <c r="T179" s="124">
        <f>S179</f>
        <v>0</v>
      </c>
      <c r="U179" s="124">
        <f>I179*T179</f>
        <v>0</v>
      </c>
      <c r="V179" s="123">
        <f>((T179*I179)-W179)*4%</f>
        <v>0</v>
      </c>
      <c r="W179" s="124">
        <f>S179*I179*5%</f>
        <v>0</v>
      </c>
      <c r="X179" s="113"/>
    </row>
    <row r="180" spans="1:24">
      <c r="A180" s="118"/>
      <c r="B180" s="118"/>
      <c r="C180" s="119"/>
      <c r="D180" s="118"/>
      <c r="E180" s="118"/>
      <c r="F180" s="118"/>
      <c r="G180" s="119"/>
      <c r="H180" s="119"/>
      <c r="I180" s="119"/>
      <c r="J180" s="119" t="s">
        <v>95</v>
      </c>
      <c r="K180" s="119" t="s">
        <v>110</v>
      </c>
      <c r="L180" s="119" t="s">
        <v>123</v>
      </c>
      <c r="M180" s="51" cm="1">
        <f t="array" ref="M180">IF(L180="",0,_xlfn.SWITCH(L180,"A1",495,"A2",495,"A3",495,"Custom",0,595))</f>
        <v>0</v>
      </c>
      <c r="N180" s="51" cm="1">
        <f t="array" ref="N180">IF(L180="",0,_xlfn.SWITCH(L180,"C1",325,"C2",325,"C3",325,"D1",380,"D2",380,"D3",380,"Custom",0,285))</f>
        <v>0</v>
      </c>
      <c r="O180" s="51">
        <f>IF(L180="",0,_xlfn.SWITCH(L180,"A1",375,"B1",375,"C1",375,"D1",375,"A2",310,"B2",310,"C2",310,"D2",310,"Custom",0,260))</f>
        <v>0</v>
      </c>
      <c r="P180" s="51">
        <f>IFERROR(IF(OR(M180=0,N180=0),0,(M180+N180)*2+11),0)</f>
        <v>0</v>
      </c>
      <c r="Q180" s="51">
        <f>IFERROR(IF(OR(N180=0,O180=0),0,(N180+O180)-16),0)</f>
        <v>0</v>
      </c>
      <c r="R180" s="53">
        <f>P180*Q180/1000000</f>
        <v>0</v>
      </c>
      <c r="S180" s="123">
        <f>IFERROR(VLOOKUP(L180,'Carton Sizes Chart'!$A$4:$E$15,5,FALSE),0)</f>
        <v>0</v>
      </c>
      <c r="T180" s="124">
        <f>S180</f>
        <v>0</v>
      </c>
      <c r="U180" s="124">
        <f>I180*T180</f>
        <v>0</v>
      </c>
      <c r="V180" s="123">
        <f>((T180*I180)-W180)*4%</f>
        <v>0</v>
      </c>
      <c r="W180" s="124">
        <f>S180*I180*5%</f>
        <v>0</v>
      </c>
      <c r="X180" s="113"/>
    </row>
    <row r="181" spans="1:24">
      <c r="A181" s="118"/>
      <c r="B181" s="118"/>
      <c r="C181" s="119"/>
      <c r="D181" s="118"/>
      <c r="E181" s="118"/>
      <c r="F181" s="118"/>
      <c r="G181" s="119"/>
      <c r="H181" s="119"/>
      <c r="I181" s="119"/>
      <c r="J181" s="119" t="s">
        <v>95</v>
      </c>
      <c r="K181" s="119" t="s">
        <v>110</v>
      </c>
      <c r="L181" s="119" t="s">
        <v>123</v>
      </c>
      <c r="M181" s="51" cm="1">
        <f t="array" ref="M181">IF(L181="",0,_xlfn.SWITCH(L181,"A1",495,"A2",495,"A3",495,"Custom",0,595))</f>
        <v>0</v>
      </c>
      <c r="N181" s="51" cm="1">
        <f t="array" ref="N181">IF(L181="",0,_xlfn.SWITCH(L181,"C1",325,"C2",325,"C3",325,"D1",380,"D2",380,"D3",380,"Custom",0,285))</f>
        <v>0</v>
      </c>
      <c r="O181" s="51">
        <f>IF(L181="",0,_xlfn.SWITCH(L181,"A1",375,"B1",375,"C1",375,"D1",375,"A2",310,"B2",310,"C2",310,"D2",310,"Custom",0,260))</f>
        <v>0</v>
      </c>
      <c r="P181" s="51">
        <f>IFERROR(IF(OR(M181=0,N181=0),0,(M181+N181)*2+11),0)</f>
        <v>0</v>
      </c>
      <c r="Q181" s="51">
        <f>IFERROR(IF(OR(N181=0,O181=0),0,(N181+O181)-16),0)</f>
        <v>0</v>
      </c>
      <c r="R181" s="53">
        <f>P181*Q181/1000000</f>
        <v>0</v>
      </c>
      <c r="S181" s="123">
        <f>IFERROR(VLOOKUP(L181,'Carton Sizes Chart'!$A$4:$E$15,5,FALSE),0)</f>
        <v>0</v>
      </c>
      <c r="T181" s="124">
        <f>S181</f>
        <v>0</v>
      </c>
      <c r="U181" s="124">
        <f>I181*T181</f>
        <v>0</v>
      </c>
      <c r="V181" s="123">
        <f>((T181*I181)-W181)*4%</f>
        <v>0</v>
      </c>
      <c r="W181" s="124">
        <f>S181*I181*5%</f>
        <v>0</v>
      </c>
      <c r="X181" s="113"/>
    </row>
    <row r="182" spans="1:24">
      <c r="A182" s="118"/>
      <c r="B182" s="118"/>
      <c r="C182" s="119"/>
      <c r="D182" s="118"/>
      <c r="E182" s="118"/>
      <c r="F182" s="118"/>
      <c r="G182" s="119"/>
      <c r="H182" s="119"/>
      <c r="I182" s="119"/>
      <c r="J182" s="119" t="s">
        <v>95</v>
      </c>
      <c r="K182" s="119" t="s">
        <v>110</v>
      </c>
      <c r="L182" s="119" t="s">
        <v>123</v>
      </c>
      <c r="M182" s="51" cm="1">
        <f t="array" ref="M182">IF(L182="",0,_xlfn.SWITCH(L182,"A1",495,"A2",495,"A3",495,"Custom",0,595))</f>
        <v>0</v>
      </c>
      <c r="N182" s="51" cm="1">
        <f t="array" ref="N182">IF(L182="",0,_xlfn.SWITCH(L182,"C1",325,"C2",325,"C3",325,"D1",380,"D2",380,"D3",380,"Custom",0,285))</f>
        <v>0</v>
      </c>
      <c r="O182" s="51">
        <f>IF(L182="",0,_xlfn.SWITCH(L182,"A1",375,"B1",375,"C1",375,"D1",375,"A2",310,"B2",310,"C2",310,"D2",310,"Custom",0,260))</f>
        <v>0</v>
      </c>
      <c r="P182" s="51">
        <f>IFERROR(IF(OR(M182=0,N182=0),0,(M182+N182)*2+11),0)</f>
        <v>0</v>
      </c>
      <c r="Q182" s="51">
        <f>IFERROR(IF(OR(N182=0,O182=0),0,(N182+O182)-16),0)</f>
        <v>0</v>
      </c>
      <c r="R182" s="53">
        <f>P182*Q182/1000000</f>
        <v>0</v>
      </c>
      <c r="S182" s="123">
        <f>IFERROR(VLOOKUP(L182,'Carton Sizes Chart'!$A$4:$E$15,5,FALSE),0)</f>
        <v>0</v>
      </c>
      <c r="T182" s="124">
        <f>S182</f>
        <v>0</v>
      </c>
      <c r="U182" s="124">
        <f>I182*T182</f>
        <v>0</v>
      </c>
      <c r="V182" s="123">
        <f>((T182*I182)-W182)*4%</f>
        <v>0</v>
      </c>
      <c r="W182" s="124">
        <f>S182*I182*5%</f>
        <v>0</v>
      </c>
      <c r="X182" s="113"/>
    </row>
    <row r="183" spans="1:24">
      <c r="A183" s="118"/>
      <c r="B183" s="118"/>
      <c r="C183" s="119"/>
      <c r="D183" s="118"/>
      <c r="E183" s="118"/>
      <c r="F183" s="118"/>
      <c r="G183" s="119"/>
      <c r="H183" s="119"/>
      <c r="I183" s="119"/>
      <c r="J183" s="119" t="s">
        <v>95</v>
      </c>
      <c r="K183" s="119" t="s">
        <v>110</v>
      </c>
      <c r="L183" s="119" t="s">
        <v>123</v>
      </c>
      <c r="M183" s="51" cm="1">
        <f t="array" ref="M183">IF(L183="",0,_xlfn.SWITCH(L183,"A1",495,"A2",495,"A3",495,"Custom",0,595))</f>
        <v>0</v>
      </c>
      <c r="N183" s="51" cm="1">
        <f t="array" ref="N183">IF(L183="",0,_xlfn.SWITCH(L183,"C1",325,"C2",325,"C3",325,"D1",380,"D2",380,"D3",380,"Custom",0,285))</f>
        <v>0</v>
      </c>
      <c r="O183" s="51">
        <f>IF(L183="",0,_xlfn.SWITCH(L183,"A1",375,"B1",375,"C1",375,"D1",375,"A2",310,"B2",310,"C2",310,"D2",310,"Custom",0,260))</f>
        <v>0</v>
      </c>
      <c r="P183" s="51">
        <f>IFERROR(IF(OR(M183=0,N183=0),0,(M183+N183)*2+11),0)</f>
        <v>0</v>
      </c>
      <c r="Q183" s="51">
        <f>IFERROR(IF(OR(N183=0,O183=0),0,(N183+O183)-16),0)</f>
        <v>0</v>
      </c>
      <c r="R183" s="53">
        <f>P183*Q183/1000000</f>
        <v>0</v>
      </c>
      <c r="S183" s="123">
        <f>IFERROR(VLOOKUP(L183,'Carton Sizes Chart'!$A$4:$E$15,5,FALSE),0)</f>
        <v>0</v>
      </c>
      <c r="T183" s="124">
        <f>S183</f>
        <v>0</v>
      </c>
      <c r="U183" s="124">
        <f>I183*T183</f>
        <v>0</v>
      </c>
      <c r="V183" s="123">
        <f>((T183*I183)-W183)*4%</f>
        <v>0</v>
      </c>
      <c r="W183" s="124">
        <f>S183*I183*5%</f>
        <v>0</v>
      </c>
      <c r="X183" s="113"/>
    </row>
    <row r="184" spans="1:24">
      <c r="A184" s="118"/>
      <c r="B184" s="118"/>
      <c r="C184" s="119"/>
      <c r="D184" s="118"/>
      <c r="E184" s="118"/>
      <c r="F184" s="118"/>
      <c r="G184" s="119"/>
      <c r="H184" s="119"/>
      <c r="I184" s="119"/>
      <c r="J184" s="119" t="s">
        <v>95</v>
      </c>
      <c r="K184" s="119" t="s">
        <v>110</v>
      </c>
      <c r="L184" s="119" t="s">
        <v>123</v>
      </c>
      <c r="M184" s="51" cm="1">
        <f t="array" ref="M184">IF(L184="",0,_xlfn.SWITCH(L184,"A1",495,"A2",495,"A3",495,"Custom",0,595))</f>
        <v>0</v>
      </c>
      <c r="N184" s="51" cm="1">
        <f t="array" ref="N184">IF(L184="",0,_xlfn.SWITCH(L184,"C1",325,"C2",325,"C3",325,"D1",380,"D2",380,"D3",380,"Custom",0,285))</f>
        <v>0</v>
      </c>
      <c r="O184" s="51">
        <f>IF(L184="",0,_xlfn.SWITCH(L184,"A1",375,"B1",375,"C1",375,"D1",375,"A2",310,"B2",310,"C2",310,"D2",310,"Custom",0,260))</f>
        <v>0</v>
      </c>
      <c r="P184" s="51">
        <f>IFERROR(IF(OR(M184=0,N184=0),0,(M184+N184)*2+11),0)</f>
        <v>0</v>
      </c>
      <c r="Q184" s="51">
        <f>IFERROR(IF(OR(N184=0,O184=0),0,(N184+O184)-16),0)</f>
        <v>0</v>
      </c>
      <c r="R184" s="53">
        <f>P184*Q184/1000000</f>
        <v>0</v>
      </c>
      <c r="S184" s="123">
        <f>IFERROR(VLOOKUP(L184,'Carton Sizes Chart'!$A$4:$E$15,5,FALSE),0)</f>
        <v>0</v>
      </c>
      <c r="T184" s="124">
        <f>S184</f>
        <v>0</v>
      </c>
      <c r="U184" s="124">
        <f>I184*T184</f>
        <v>0</v>
      </c>
      <c r="V184" s="123">
        <f>((T184*I184)-W184)*4%</f>
        <v>0</v>
      </c>
      <c r="W184" s="124">
        <f>S184*I184*5%</f>
        <v>0</v>
      </c>
      <c r="X184" s="113"/>
    </row>
    <row r="185" spans="1:24">
      <c r="A185" s="118"/>
      <c r="B185" s="118"/>
      <c r="C185" s="119"/>
      <c r="D185" s="118"/>
      <c r="E185" s="118"/>
      <c r="F185" s="118"/>
      <c r="G185" s="119"/>
      <c r="H185" s="119"/>
      <c r="I185" s="119"/>
      <c r="J185" s="119" t="s">
        <v>95</v>
      </c>
      <c r="K185" s="119" t="s">
        <v>110</v>
      </c>
      <c r="L185" s="119" t="s">
        <v>123</v>
      </c>
      <c r="M185" s="51" cm="1">
        <f t="array" ref="M185">IF(L185="",0,_xlfn.SWITCH(L185,"A1",495,"A2",495,"A3",495,"Custom",0,595))</f>
        <v>0</v>
      </c>
      <c r="N185" s="51" cm="1">
        <f t="array" ref="N185">IF(L185="",0,_xlfn.SWITCH(L185,"C1",325,"C2",325,"C3",325,"D1",380,"D2",380,"D3",380,"Custom",0,285))</f>
        <v>0</v>
      </c>
      <c r="O185" s="51">
        <f>IF(L185="",0,_xlfn.SWITCH(L185,"A1",375,"B1",375,"C1",375,"D1",375,"A2",310,"B2",310,"C2",310,"D2",310,"Custom",0,260))</f>
        <v>0</v>
      </c>
      <c r="P185" s="51">
        <f>IFERROR(IF(OR(M185=0,N185=0),0,(M185+N185)*2+11),0)</f>
        <v>0</v>
      </c>
      <c r="Q185" s="51">
        <f>IFERROR(IF(OR(N185=0,O185=0),0,(N185+O185)-16),0)</f>
        <v>0</v>
      </c>
      <c r="R185" s="53">
        <f>P185*Q185/1000000</f>
        <v>0</v>
      </c>
      <c r="S185" s="123">
        <f>IFERROR(VLOOKUP(L185,'Carton Sizes Chart'!$A$4:$E$15,5,FALSE),0)</f>
        <v>0</v>
      </c>
      <c r="T185" s="124">
        <f>S185</f>
        <v>0</v>
      </c>
      <c r="U185" s="124">
        <f>I185*T185</f>
        <v>0</v>
      </c>
      <c r="V185" s="123">
        <f>((T185*I185)-W185)*4%</f>
        <v>0</v>
      </c>
      <c r="W185" s="124">
        <f>S185*I185*5%</f>
        <v>0</v>
      </c>
      <c r="X185" s="113"/>
    </row>
    <row r="186" spans="1:24">
      <c r="A186" s="118"/>
      <c r="B186" s="118"/>
      <c r="C186" s="119"/>
      <c r="D186" s="118"/>
      <c r="E186" s="118"/>
      <c r="F186" s="118"/>
      <c r="G186" s="119"/>
      <c r="H186" s="119"/>
      <c r="I186" s="119"/>
      <c r="J186" s="119" t="s">
        <v>95</v>
      </c>
      <c r="K186" s="119" t="s">
        <v>110</v>
      </c>
      <c r="L186" s="119" t="s">
        <v>123</v>
      </c>
      <c r="M186" s="51" cm="1">
        <f t="array" ref="M186">IF(L186="",0,_xlfn.SWITCH(L186,"A1",495,"A2",495,"A3",495,"Custom",0,595))</f>
        <v>0</v>
      </c>
      <c r="N186" s="51" cm="1">
        <f t="array" ref="N186">IF(L186="",0,_xlfn.SWITCH(L186,"C1",325,"C2",325,"C3",325,"D1",380,"D2",380,"D3",380,"Custom",0,285))</f>
        <v>0</v>
      </c>
      <c r="O186" s="51">
        <f>IF(L186="",0,_xlfn.SWITCH(L186,"A1",375,"B1",375,"C1",375,"D1",375,"A2",310,"B2",310,"C2",310,"D2",310,"Custom",0,260))</f>
        <v>0</v>
      </c>
      <c r="P186" s="51">
        <f>IFERROR(IF(OR(M186=0,N186=0),0,(M186+N186)*2+11),0)</f>
        <v>0</v>
      </c>
      <c r="Q186" s="51">
        <f>IFERROR(IF(OR(N186=0,O186=0),0,(N186+O186)-16),0)</f>
        <v>0</v>
      </c>
      <c r="R186" s="53">
        <f>P186*Q186/1000000</f>
        <v>0</v>
      </c>
      <c r="S186" s="123">
        <f>IFERROR(VLOOKUP(L186,'Carton Sizes Chart'!$A$4:$E$15,5,FALSE),0)</f>
        <v>0</v>
      </c>
      <c r="T186" s="124">
        <f>S186</f>
        <v>0</v>
      </c>
      <c r="U186" s="124">
        <f>I186*T186</f>
        <v>0</v>
      </c>
      <c r="V186" s="123">
        <f>((T186*I186)-W186)*4%</f>
        <v>0</v>
      </c>
      <c r="W186" s="124">
        <f>S186*I186*5%</f>
        <v>0</v>
      </c>
      <c r="X186" s="113"/>
    </row>
    <row r="187" spans="1:24">
      <c r="A187" s="118"/>
      <c r="B187" s="118"/>
      <c r="C187" s="119"/>
      <c r="D187" s="118"/>
      <c r="E187" s="118"/>
      <c r="F187" s="118"/>
      <c r="G187" s="119"/>
      <c r="H187" s="119"/>
      <c r="I187" s="119"/>
      <c r="J187" s="119" t="s">
        <v>95</v>
      </c>
      <c r="K187" s="119" t="s">
        <v>110</v>
      </c>
      <c r="L187" s="119" t="s">
        <v>123</v>
      </c>
      <c r="M187" s="51" cm="1">
        <f t="array" ref="M187">IF(L187="",0,_xlfn.SWITCH(L187,"A1",495,"A2",495,"A3",495,"Custom",0,595))</f>
        <v>0</v>
      </c>
      <c r="N187" s="51" cm="1">
        <f t="array" ref="N187">IF(L187="",0,_xlfn.SWITCH(L187,"C1",325,"C2",325,"C3",325,"D1",380,"D2",380,"D3",380,"Custom",0,285))</f>
        <v>0</v>
      </c>
      <c r="O187" s="51">
        <f>IF(L187="",0,_xlfn.SWITCH(L187,"A1",375,"B1",375,"C1",375,"D1",375,"A2",310,"B2",310,"C2",310,"D2",310,"Custom",0,260))</f>
        <v>0</v>
      </c>
      <c r="P187" s="51">
        <f>IFERROR(IF(OR(M187=0,N187=0),0,(M187+N187)*2+11),0)</f>
        <v>0</v>
      </c>
      <c r="Q187" s="51">
        <f>IFERROR(IF(OR(N187=0,O187=0),0,(N187+O187)-16),0)</f>
        <v>0</v>
      </c>
      <c r="R187" s="53">
        <f>P187*Q187/1000000</f>
        <v>0</v>
      </c>
      <c r="S187" s="123">
        <f>IFERROR(VLOOKUP(L187,'Carton Sizes Chart'!$A$4:$E$15,5,FALSE),0)</f>
        <v>0</v>
      </c>
      <c r="T187" s="124">
        <f>S187</f>
        <v>0</v>
      </c>
      <c r="U187" s="124">
        <f>I187*T187</f>
        <v>0</v>
      </c>
      <c r="V187" s="123">
        <f>((T187*I187)-W187)*4%</f>
        <v>0</v>
      </c>
      <c r="W187" s="124">
        <f>S187*I187*5%</f>
        <v>0</v>
      </c>
      <c r="X187" s="113"/>
    </row>
    <row r="188" spans="1:24">
      <c r="A188" s="118"/>
      <c r="B188" s="118"/>
      <c r="C188" s="119"/>
      <c r="D188" s="118"/>
      <c r="E188" s="118"/>
      <c r="F188" s="118"/>
      <c r="G188" s="119"/>
      <c r="H188" s="119"/>
      <c r="I188" s="119"/>
      <c r="J188" s="119" t="s">
        <v>95</v>
      </c>
      <c r="K188" s="119" t="s">
        <v>110</v>
      </c>
      <c r="L188" s="119" t="s">
        <v>123</v>
      </c>
      <c r="M188" s="51" cm="1">
        <f t="array" ref="M188">IF(L188="",0,_xlfn.SWITCH(L188,"A1",495,"A2",495,"A3",495,"Custom",0,595))</f>
        <v>0</v>
      </c>
      <c r="N188" s="51" cm="1">
        <f t="array" ref="N188">IF(L188="",0,_xlfn.SWITCH(L188,"C1",325,"C2",325,"C3",325,"D1",380,"D2",380,"D3",380,"Custom",0,285))</f>
        <v>0</v>
      </c>
      <c r="O188" s="51">
        <f>IF(L188="",0,_xlfn.SWITCH(L188,"A1",375,"B1",375,"C1",375,"D1",375,"A2",310,"B2",310,"C2",310,"D2",310,"Custom",0,260))</f>
        <v>0</v>
      </c>
      <c r="P188" s="51">
        <f>IFERROR(IF(OR(M188=0,N188=0),0,(M188+N188)*2+11),0)</f>
        <v>0</v>
      </c>
      <c r="Q188" s="51">
        <f>IFERROR(IF(OR(N188=0,O188=0),0,(N188+O188)-16),0)</f>
        <v>0</v>
      </c>
      <c r="R188" s="53">
        <f>P188*Q188/1000000</f>
        <v>0</v>
      </c>
      <c r="S188" s="123">
        <f>IFERROR(VLOOKUP(L188,'Carton Sizes Chart'!$A$4:$E$15,5,FALSE),0)</f>
        <v>0</v>
      </c>
      <c r="T188" s="124">
        <f>S188</f>
        <v>0</v>
      </c>
      <c r="U188" s="124">
        <f>I188*T188</f>
        <v>0</v>
      </c>
      <c r="V188" s="123">
        <f>((T188*I188)-W188)*4%</f>
        <v>0</v>
      </c>
      <c r="W188" s="124">
        <f>S188*I188*5%</f>
        <v>0</v>
      </c>
      <c r="X188" s="113"/>
    </row>
    <row r="189" spans="1:24">
      <c r="A189" s="118"/>
      <c r="B189" s="118"/>
      <c r="C189" s="119"/>
      <c r="D189" s="118"/>
      <c r="E189" s="118"/>
      <c r="F189" s="118"/>
      <c r="G189" s="119"/>
      <c r="H189" s="119"/>
      <c r="I189" s="119"/>
      <c r="J189" s="119" t="s">
        <v>95</v>
      </c>
      <c r="K189" s="119" t="s">
        <v>110</v>
      </c>
      <c r="L189" s="119" t="s">
        <v>123</v>
      </c>
      <c r="M189" s="51" cm="1">
        <f t="array" ref="M189">IF(L189="",0,_xlfn.SWITCH(L189,"A1",495,"A2",495,"A3",495,"Custom",0,595))</f>
        <v>0</v>
      </c>
      <c r="N189" s="51" cm="1">
        <f t="array" ref="N189">IF(L189="",0,_xlfn.SWITCH(L189,"C1",325,"C2",325,"C3",325,"D1",380,"D2",380,"D3",380,"Custom",0,285))</f>
        <v>0</v>
      </c>
      <c r="O189" s="51">
        <f>IF(L189="",0,_xlfn.SWITCH(L189,"A1",375,"B1",375,"C1",375,"D1",375,"A2",310,"B2",310,"C2",310,"D2",310,"Custom",0,260))</f>
        <v>0</v>
      </c>
      <c r="P189" s="51">
        <f>IFERROR(IF(OR(M189=0,N189=0),0,(M189+N189)*2+11),0)</f>
        <v>0</v>
      </c>
      <c r="Q189" s="51">
        <f>IFERROR(IF(OR(N189=0,O189=0),0,(N189+O189)-16),0)</f>
        <v>0</v>
      </c>
      <c r="R189" s="53">
        <f>P189*Q189/1000000</f>
        <v>0</v>
      </c>
      <c r="S189" s="123">
        <f>IFERROR(VLOOKUP(L189,'Carton Sizes Chart'!$A$4:$E$15,5,FALSE),0)</f>
        <v>0</v>
      </c>
      <c r="T189" s="124">
        <f>S189</f>
        <v>0</v>
      </c>
      <c r="U189" s="124">
        <f>I189*T189</f>
        <v>0</v>
      </c>
      <c r="V189" s="123">
        <f>((T189*I189)-W189)*4%</f>
        <v>0</v>
      </c>
      <c r="W189" s="124">
        <f>S189*I189*5%</f>
        <v>0</v>
      </c>
      <c r="X189" s="113"/>
    </row>
    <row r="190" spans="1:24">
      <c r="A190" s="118"/>
      <c r="B190" s="118"/>
      <c r="C190" s="119"/>
      <c r="D190" s="118"/>
      <c r="E190" s="118"/>
      <c r="F190" s="118"/>
      <c r="G190" s="119"/>
      <c r="H190" s="119"/>
      <c r="I190" s="119"/>
      <c r="J190" s="119" t="s">
        <v>95</v>
      </c>
      <c r="K190" s="119" t="s">
        <v>110</v>
      </c>
      <c r="L190" s="119" t="s">
        <v>123</v>
      </c>
      <c r="M190" s="51" cm="1">
        <f t="array" ref="M190">IF(L190="",0,_xlfn.SWITCH(L190,"A1",495,"A2",495,"A3",495,"Custom",0,595))</f>
        <v>0</v>
      </c>
      <c r="N190" s="51" cm="1">
        <f t="array" ref="N190">IF(L190="",0,_xlfn.SWITCH(L190,"C1",325,"C2",325,"C3",325,"D1",380,"D2",380,"D3",380,"Custom",0,285))</f>
        <v>0</v>
      </c>
      <c r="O190" s="51">
        <f>IF(L190="",0,_xlfn.SWITCH(L190,"A1",375,"B1",375,"C1",375,"D1",375,"A2",310,"B2",310,"C2",310,"D2",310,"Custom",0,260))</f>
        <v>0</v>
      </c>
      <c r="P190" s="51">
        <f>IFERROR(IF(OR(M190=0,N190=0),0,(M190+N190)*2+11),0)</f>
        <v>0</v>
      </c>
      <c r="Q190" s="51">
        <f>IFERROR(IF(OR(N190=0,O190=0),0,(N190+O190)-16),0)</f>
        <v>0</v>
      </c>
      <c r="R190" s="53">
        <f>P190*Q190/1000000</f>
        <v>0</v>
      </c>
      <c r="S190" s="129">
        <f>IF(L190="Custom", R190*'[1]RFQ_Matalan Carton'!$M$40, IFERROR(VLOOKUP(L190,'[1]Carton Sizes Chart'!$A$4:$E$15,5,FALSE),0))</f>
        <v>0</v>
      </c>
      <c r="T190" s="124">
        <f>S190</f>
        <v>0</v>
      </c>
      <c r="U190" s="124">
        <f>I190*T190</f>
        <v>0</v>
      </c>
      <c r="V190" s="123">
        <f>((T190*I190)-W190)*4%</f>
        <v>0</v>
      </c>
      <c r="W190" s="124">
        <f>S190*I190*5%</f>
        <v>0</v>
      </c>
      <c r="X190" s="113"/>
    </row>
    <row r="191" spans="1:24">
      <c r="A191" s="118"/>
      <c r="B191" s="118"/>
      <c r="C191" s="119"/>
      <c r="D191" s="118"/>
      <c r="E191" s="118"/>
      <c r="F191" s="118"/>
      <c r="G191" s="119"/>
      <c r="H191" s="119"/>
      <c r="I191" s="119"/>
      <c r="J191" s="119" t="s">
        <v>95</v>
      </c>
      <c r="K191" s="119" t="s">
        <v>110</v>
      </c>
      <c r="L191" s="119" t="s">
        <v>123</v>
      </c>
      <c r="M191" s="51" cm="1">
        <f t="array" ref="M191">IF(L191="",0,_xlfn.SWITCH(L191,"A1",495,"A2",495,"A3",495,"Custom",0,595))</f>
        <v>0</v>
      </c>
      <c r="N191" s="51" cm="1">
        <f t="array" ref="N191">IF(L191="",0,_xlfn.SWITCH(L191,"C1",325,"C2",325,"C3",325,"D1",380,"D2",380,"D3",380,"Custom",0,285))</f>
        <v>0</v>
      </c>
      <c r="O191" s="51">
        <f>IF(L191="",0,_xlfn.SWITCH(L191,"A1",375,"B1",375,"C1",375,"D1",375,"A2",310,"B2",310,"C2",310,"D2",310,"Custom",0,260))</f>
        <v>0</v>
      </c>
      <c r="P191" s="51">
        <f>IFERROR(IF(OR(M191=0,N191=0),0,(M191+N191)*2+11),0)</f>
        <v>0</v>
      </c>
      <c r="Q191" s="51">
        <f>IFERROR(IF(OR(N191=0,O191=0),0,(N191+O191)-16),0)</f>
        <v>0</v>
      </c>
      <c r="R191" s="53">
        <f>P191*Q191/1000000</f>
        <v>0</v>
      </c>
      <c r="S191" s="129">
        <f>IF(L191="Custom", R191*'[1]RFQ_Matalan Carton'!$M$40, IFERROR(VLOOKUP(L191,'[1]Carton Sizes Chart'!$A$4:$E$15,5,FALSE),0))</f>
        <v>0</v>
      </c>
      <c r="T191" s="124">
        <f>S191</f>
        <v>0</v>
      </c>
      <c r="U191" s="124">
        <f>I191*T191</f>
        <v>0</v>
      </c>
      <c r="V191" s="123">
        <f>((T191*I191)-W191)*4%</f>
        <v>0</v>
      </c>
      <c r="W191" s="124">
        <f>S191*I191*5%</f>
        <v>0</v>
      </c>
      <c r="X191" s="113"/>
    </row>
    <row r="192" spans="1:24">
      <c r="A192" s="118"/>
      <c r="B192" s="118"/>
      <c r="C192" s="119"/>
      <c r="D192" s="118"/>
      <c r="E192" s="118"/>
      <c r="F192" s="118"/>
      <c r="G192" s="119"/>
      <c r="H192" s="119"/>
      <c r="I192" s="119"/>
      <c r="J192" s="119" t="s">
        <v>95</v>
      </c>
      <c r="K192" s="119" t="s">
        <v>110</v>
      </c>
      <c r="L192" s="119" t="s">
        <v>123</v>
      </c>
      <c r="M192" s="51" cm="1">
        <f t="array" ref="M192">IF(L192="",0,_xlfn.SWITCH(L192,"A1",495,"A2",495,"A3",495,"Custom",0,595))</f>
        <v>0</v>
      </c>
      <c r="N192" s="51" cm="1">
        <f t="array" ref="N192">IF(L192="",0,_xlfn.SWITCH(L192,"C1",325,"C2",325,"C3",325,"D1",380,"D2",380,"D3",380,"Custom",0,285))</f>
        <v>0</v>
      </c>
      <c r="O192" s="51">
        <f>IF(L192="",0,_xlfn.SWITCH(L192,"A1",375,"B1",375,"C1",375,"D1",375,"A2",310,"B2",310,"C2",310,"D2",310,"Custom",0,260))</f>
        <v>0</v>
      </c>
      <c r="P192" s="51">
        <f>IFERROR(IF(OR(M192=0,N192=0),0,(M192+N192)*2+11),0)</f>
        <v>0</v>
      </c>
      <c r="Q192" s="51">
        <f>IFERROR(IF(OR(N192=0,O192=0),0,(N192+O192)-16),0)</f>
        <v>0</v>
      </c>
      <c r="R192" s="53">
        <f>P192*Q192/1000000</f>
        <v>0</v>
      </c>
      <c r="S192" s="129">
        <f>IF(L192="Custom", R192*'[1]RFQ_Matalan Carton'!$M$40, IFERROR(VLOOKUP(L192,'[1]Carton Sizes Chart'!$A$4:$E$15,5,FALSE),0))</f>
        <v>0</v>
      </c>
      <c r="T192" s="124">
        <f>S192</f>
        <v>0</v>
      </c>
      <c r="U192" s="124">
        <f>I192*T192</f>
        <v>0</v>
      </c>
      <c r="V192" s="123">
        <f>((T192*I192)-W192)*4%</f>
        <v>0</v>
      </c>
      <c r="W192" s="124">
        <f>S192*I192*5%</f>
        <v>0</v>
      </c>
      <c r="X192" s="113"/>
    </row>
    <row r="193" spans="1:24">
      <c r="A193" s="118"/>
      <c r="B193" s="118"/>
      <c r="C193" s="119"/>
      <c r="D193" s="118"/>
      <c r="E193" s="118"/>
      <c r="F193" s="118"/>
      <c r="G193" s="119"/>
      <c r="H193" s="119"/>
      <c r="I193" s="119"/>
      <c r="J193" s="119" t="s">
        <v>95</v>
      </c>
      <c r="K193" s="119" t="s">
        <v>110</v>
      </c>
      <c r="L193" s="119" t="s">
        <v>123</v>
      </c>
      <c r="M193" s="51" cm="1">
        <f t="array" ref="M193">IF(L193="",0,_xlfn.SWITCH(L193,"A1",495,"A2",495,"A3",495,"Custom",0,595))</f>
        <v>0</v>
      </c>
      <c r="N193" s="51" cm="1">
        <f t="array" ref="N193">IF(L193="",0,_xlfn.SWITCH(L193,"C1",325,"C2",325,"C3",325,"D1",380,"D2",380,"D3",380,"Custom",0,285))</f>
        <v>0</v>
      </c>
      <c r="O193" s="51">
        <f>IF(L193="",0,_xlfn.SWITCH(L193,"A1",375,"B1",375,"C1",375,"D1",375,"A2",310,"B2",310,"C2",310,"D2",310,"Custom",0,260))</f>
        <v>0</v>
      </c>
      <c r="P193" s="51">
        <f>IFERROR(IF(OR(M193=0,N193=0),0,(M193+N193)*2+11),0)</f>
        <v>0</v>
      </c>
      <c r="Q193" s="51">
        <f>IFERROR(IF(OR(N193=0,O193=0),0,(N193+O193)-16),0)</f>
        <v>0</v>
      </c>
      <c r="R193" s="53">
        <f>P193*Q193/1000000</f>
        <v>0</v>
      </c>
      <c r="S193" s="129">
        <f>IF(L193="Custom", R193*'[1]RFQ_Matalan Carton'!$M$40, IFERROR(VLOOKUP(L193,'[1]Carton Sizes Chart'!$A$4:$E$15,5,FALSE),0))</f>
        <v>0</v>
      </c>
      <c r="T193" s="124">
        <f>S193</f>
        <v>0</v>
      </c>
      <c r="U193" s="124">
        <f>I193*T193</f>
        <v>0</v>
      </c>
      <c r="V193" s="123">
        <f>((T193*I193)-W193)*4%</f>
        <v>0</v>
      </c>
      <c r="W193" s="124">
        <f>S193*I193*5%</f>
        <v>0</v>
      </c>
      <c r="X193" s="113"/>
    </row>
    <row r="194" spans="1:24">
      <c r="A194" s="118"/>
      <c r="B194" s="118"/>
      <c r="C194" s="119"/>
      <c r="D194" s="118"/>
      <c r="E194" s="118"/>
      <c r="F194" s="118"/>
      <c r="G194" s="119"/>
      <c r="H194" s="119"/>
      <c r="I194" s="119"/>
      <c r="J194" s="119" t="s">
        <v>95</v>
      </c>
      <c r="K194" s="119" t="s">
        <v>110</v>
      </c>
      <c r="L194" s="119" t="s">
        <v>123</v>
      </c>
      <c r="M194" s="51" cm="1">
        <f t="array" ref="M194">IF(L194="",0,_xlfn.SWITCH(L194,"A1",495,"A2",495,"A3",495,"Custom",0,595))</f>
        <v>0</v>
      </c>
      <c r="N194" s="51" cm="1">
        <f t="array" ref="N194">IF(L194="",0,_xlfn.SWITCH(L194,"C1",325,"C2",325,"C3",325,"D1",380,"D2",380,"D3",380,"Custom",0,285))</f>
        <v>0</v>
      </c>
      <c r="O194" s="51">
        <f>IF(L194="",0,_xlfn.SWITCH(L194,"A1",375,"B1",375,"C1",375,"D1",375,"A2",310,"B2",310,"C2",310,"D2",310,"Custom",0,260))</f>
        <v>0</v>
      </c>
      <c r="P194" s="51">
        <f>IFERROR(IF(OR(M194=0,N194=0),0,(M194+N194)*2+11),0)</f>
        <v>0</v>
      </c>
      <c r="Q194" s="51">
        <f>IFERROR(IF(OR(N194=0,O194=0),0,(N194+O194)-16),0)</f>
        <v>0</v>
      </c>
      <c r="R194" s="53">
        <f>P194*Q194/1000000</f>
        <v>0</v>
      </c>
      <c r="S194" s="129">
        <f>IF(L194="Custom", R194*'[1]RFQ_Matalan Carton'!$M$40, IFERROR(VLOOKUP(L194,'[1]Carton Sizes Chart'!$A$4:$E$15,5,FALSE),0))</f>
        <v>0</v>
      </c>
      <c r="T194" s="124">
        <f>S194</f>
        <v>0</v>
      </c>
      <c r="U194" s="124">
        <f>I194*T194</f>
        <v>0</v>
      </c>
      <c r="V194" s="123">
        <f>((T194*I194)-W194)*4%</f>
        <v>0</v>
      </c>
      <c r="W194" s="124">
        <f>S194*I194*5%</f>
        <v>0</v>
      </c>
      <c r="X194" s="113"/>
    </row>
    <row r="195" spans="1:24">
      <c r="A195" s="118"/>
      <c r="B195" s="118"/>
      <c r="C195" s="119"/>
      <c r="D195" s="118"/>
      <c r="E195" s="118"/>
      <c r="F195" s="118"/>
      <c r="G195" s="119"/>
      <c r="H195" s="119"/>
      <c r="I195" s="119"/>
      <c r="J195" s="119" t="s">
        <v>95</v>
      </c>
      <c r="K195" s="119" t="s">
        <v>110</v>
      </c>
      <c r="L195" s="119" t="s">
        <v>123</v>
      </c>
      <c r="M195" s="51" cm="1">
        <f t="array" ref="M195">IF(L195="",0,_xlfn.SWITCH(L195,"A1",495,"A2",495,"A3",495,"Custom",0,595))</f>
        <v>0</v>
      </c>
      <c r="N195" s="51" cm="1">
        <f t="array" ref="N195">IF(L195="",0,_xlfn.SWITCH(L195,"C1",325,"C2",325,"C3",325,"D1",380,"D2",380,"D3",380,"Custom",0,285))</f>
        <v>0</v>
      </c>
      <c r="O195" s="51">
        <f>IF(L195="",0,_xlfn.SWITCH(L195,"A1",375,"B1",375,"C1",375,"D1",375,"A2",310,"B2",310,"C2",310,"D2",310,"Custom",0,260))</f>
        <v>0</v>
      </c>
      <c r="P195" s="51">
        <f>IFERROR(IF(OR(M195=0,N195=0),0,(M195+N195)*2+11),0)</f>
        <v>0</v>
      </c>
      <c r="Q195" s="51">
        <f>IFERROR(IF(OR(N195=0,O195=0),0,(N195+O195)-16),0)</f>
        <v>0</v>
      </c>
      <c r="R195" s="53">
        <f>P195*Q195/1000000</f>
        <v>0</v>
      </c>
      <c r="S195" s="123">
        <f>IFERROR(VLOOKUP(L195,'Carton Sizes Chart'!$A$4:$E$15,5,FALSE),0)</f>
        <v>0</v>
      </c>
      <c r="T195" s="124">
        <f>S195</f>
        <v>0</v>
      </c>
      <c r="U195" s="124">
        <f>I195*T195</f>
        <v>0</v>
      </c>
      <c r="V195" s="123">
        <f>((T195*I195)-W195)*4%</f>
        <v>0</v>
      </c>
      <c r="W195" s="124">
        <f>S195*I195*5%</f>
        <v>0</v>
      </c>
      <c r="X195" s="113"/>
    </row>
    <row r="196" spans="1:24">
      <c r="A196" s="118"/>
      <c r="B196" s="118"/>
      <c r="C196" s="119"/>
      <c r="D196" s="118"/>
      <c r="E196" s="118"/>
      <c r="F196" s="118"/>
      <c r="G196" s="119"/>
      <c r="H196" s="119"/>
      <c r="I196" s="119"/>
      <c r="J196" s="119" t="s">
        <v>95</v>
      </c>
      <c r="K196" s="119" t="s">
        <v>110</v>
      </c>
      <c r="L196" s="119" t="s">
        <v>123</v>
      </c>
      <c r="M196" s="51" cm="1">
        <f t="array" ref="M196">IF(L196="",0,_xlfn.SWITCH(L196,"A1",495,"A2",495,"A3",495,"Custom",0,595))</f>
        <v>0</v>
      </c>
      <c r="N196" s="51" cm="1">
        <f t="array" ref="N196">IF(L196="",0,_xlfn.SWITCH(L196,"C1",325,"C2",325,"C3",325,"D1",380,"D2",380,"D3",380,"Custom",0,285))</f>
        <v>0</v>
      </c>
      <c r="O196" s="51">
        <f>IF(L196="",0,_xlfn.SWITCH(L196,"A1",375,"B1",375,"C1",375,"D1",375,"A2",310,"B2",310,"C2",310,"D2",310,"Custom",0,260))</f>
        <v>0</v>
      </c>
      <c r="P196" s="51">
        <f>IFERROR(IF(OR(M196=0,N196=0),0,(M196+N196)*2+11),0)</f>
        <v>0</v>
      </c>
      <c r="Q196" s="51">
        <f>IFERROR(IF(OR(N196=0,O196=0),0,(N196+O196)-16),0)</f>
        <v>0</v>
      </c>
      <c r="R196" s="53">
        <f>P196*Q196/1000000</f>
        <v>0</v>
      </c>
      <c r="S196" s="123">
        <f>IFERROR(VLOOKUP(L196,'Carton Sizes Chart'!$A$4:$E$15,5,FALSE),0)</f>
        <v>0</v>
      </c>
      <c r="T196" s="124">
        <f>S196</f>
        <v>0</v>
      </c>
      <c r="U196" s="124">
        <f>I196*T196</f>
        <v>0</v>
      </c>
      <c r="V196" s="123">
        <f>((T196*I196)-W196)*4%</f>
        <v>0</v>
      </c>
      <c r="W196" s="124">
        <f>S196*I196*5%</f>
        <v>0</v>
      </c>
      <c r="X196" s="113"/>
    </row>
    <row r="197" spans="1:24">
      <c r="A197" s="118"/>
      <c r="B197" s="118"/>
      <c r="C197" s="119"/>
      <c r="D197" s="118"/>
      <c r="E197" s="118"/>
      <c r="F197" s="118"/>
      <c r="G197" s="119"/>
      <c r="H197" s="119"/>
      <c r="I197" s="119"/>
      <c r="J197" s="119" t="s">
        <v>95</v>
      </c>
      <c r="K197" s="119" t="s">
        <v>110</v>
      </c>
      <c r="L197" s="119" t="s">
        <v>123</v>
      </c>
      <c r="M197" s="51" cm="1">
        <f t="array" ref="M197">IF(L197="",0,_xlfn.SWITCH(L197,"A1",495,"A2",495,"A3",495,"Custom",0,595))</f>
        <v>0</v>
      </c>
      <c r="N197" s="51" cm="1">
        <f t="array" ref="N197">IF(L197="",0,_xlfn.SWITCH(L197,"C1",325,"C2",325,"C3",325,"D1",380,"D2",380,"D3",380,"Custom",0,285))</f>
        <v>0</v>
      </c>
      <c r="O197" s="51">
        <f>IF(L197="",0,_xlfn.SWITCH(L197,"A1",375,"B1",375,"C1",375,"D1",375,"A2",310,"B2",310,"C2",310,"D2",310,"Custom",0,260))</f>
        <v>0</v>
      </c>
      <c r="P197" s="51">
        <f>IFERROR(IF(OR(M197=0,N197=0),0,(M197+N197)*2+11),0)</f>
        <v>0</v>
      </c>
      <c r="Q197" s="51">
        <f>IFERROR(IF(OR(N197=0,O197=0),0,(N197+O197)-16),0)</f>
        <v>0</v>
      </c>
      <c r="R197" s="53">
        <f>P197*Q197/1000000</f>
        <v>0</v>
      </c>
      <c r="S197" s="123">
        <f>IFERROR(VLOOKUP(L197,'Carton Sizes Chart'!$A$4:$E$15,5,FALSE),0)</f>
        <v>0</v>
      </c>
      <c r="T197" s="124">
        <f>S197</f>
        <v>0</v>
      </c>
      <c r="U197" s="124">
        <f>I197*T197</f>
        <v>0</v>
      </c>
      <c r="V197" s="123">
        <f>((T197*I197)-W197)*4%</f>
        <v>0</v>
      </c>
      <c r="W197" s="124">
        <f>S197*I197*5%</f>
        <v>0</v>
      </c>
      <c r="X197" s="113"/>
    </row>
    <row r="198" spans="1:24">
      <c r="A198" s="118"/>
      <c r="B198" s="118"/>
      <c r="C198" s="119"/>
      <c r="D198" s="118"/>
      <c r="E198" s="118"/>
      <c r="F198" s="118"/>
      <c r="G198" s="119"/>
      <c r="H198" s="119"/>
      <c r="I198" s="119"/>
      <c r="J198" s="119" t="s">
        <v>95</v>
      </c>
      <c r="K198" s="119" t="s">
        <v>110</v>
      </c>
      <c r="L198" s="119" t="s">
        <v>123</v>
      </c>
      <c r="M198" s="51" cm="1">
        <f t="array" ref="M198">IF(L198="",0,_xlfn.SWITCH(L198,"A1",495,"A2",495,"A3",495,"Custom",0,595))</f>
        <v>0</v>
      </c>
      <c r="N198" s="51" cm="1">
        <f t="array" ref="N198">IF(L198="",0,_xlfn.SWITCH(L198,"C1",325,"C2",325,"C3",325,"D1",380,"D2",380,"D3",380,"Custom",0,285))</f>
        <v>0</v>
      </c>
      <c r="O198" s="51">
        <f>IF(L198="",0,_xlfn.SWITCH(L198,"A1",375,"B1",375,"C1",375,"D1",375,"A2",310,"B2",310,"C2",310,"D2",310,"Custom",0,260))</f>
        <v>0</v>
      </c>
      <c r="P198" s="51">
        <f>IFERROR(IF(OR(M198=0,N198=0),0,(M198+N198)*2+11),0)</f>
        <v>0</v>
      </c>
      <c r="Q198" s="51">
        <f>IFERROR(IF(OR(N198=0,O198=0),0,(N198+O198)-16),0)</f>
        <v>0</v>
      </c>
      <c r="R198" s="53">
        <f>P198*Q198/1000000</f>
        <v>0</v>
      </c>
      <c r="S198" s="123">
        <f>IFERROR(VLOOKUP(L198,'Carton Sizes Chart'!$A$4:$E$15,5,FALSE),0)</f>
        <v>0</v>
      </c>
      <c r="T198" s="124">
        <f>S198</f>
        <v>0</v>
      </c>
      <c r="U198" s="124">
        <f>I198*T198</f>
        <v>0</v>
      </c>
      <c r="V198" s="123">
        <f>((T198*I198)-W198)*4%</f>
        <v>0</v>
      </c>
      <c r="W198" s="124">
        <f>S198*I198*5%</f>
        <v>0</v>
      </c>
      <c r="X198" s="113"/>
    </row>
    <row r="199" spans="1:24">
      <c r="A199" s="118"/>
      <c r="B199" s="118"/>
      <c r="C199" s="119"/>
      <c r="D199" s="118"/>
      <c r="E199" s="118"/>
      <c r="F199" s="118"/>
      <c r="G199" s="119"/>
      <c r="H199" s="119"/>
      <c r="I199" s="119"/>
      <c r="J199" s="119" t="s">
        <v>95</v>
      </c>
      <c r="K199" s="119" t="s">
        <v>110</v>
      </c>
      <c r="L199" s="119" t="s">
        <v>123</v>
      </c>
      <c r="M199" s="51" cm="1">
        <f t="array" ref="M199">IF(L199="",0,_xlfn.SWITCH(L199,"A1",495,"A2",495,"A3",495,"Custom",0,595))</f>
        <v>0</v>
      </c>
      <c r="N199" s="51" cm="1">
        <f t="array" ref="N199">IF(L199="",0,_xlfn.SWITCH(L199,"C1",325,"C2",325,"C3",325,"D1",380,"D2",380,"D3",380,"Custom",0,285))</f>
        <v>0</v>
      </c>
      <c r="O199" s="51">
        <f>IF(L199="",0,_xlfn.SWITCH(L199,"A1",375,"B1",375,"C1",375,"D1",375,"A2",310,"B2",310,"C2",310,"D2",310,"Custom",0,260))</f>
        <v>0</v>
      </c>
      <c r="P199" s="51">
        <f>IFERROR(IF(OR(M199=0,N199=0),0,(M199+N199)*2+11),0)</f>
        <v>0</v>
      </c>
      <c r="Q199" s="51">
        <f>IFERROR(IF(OR(N199=0,O199=0),0,(N199+O199)-16),0)</f>
        <v>0</v>
      </c>
      <c r="R199" s="53">
        <f>P199*Q199/1000000</f>
        <v>0</v>
      </c>
      <c r="S199" s="123">
        <f>IFERROR(VLOOKUP(L199,'Carton Sizes Chart'!$A$4:$E$15,5,FALSE),0)</f>
        <v>0</v>
      </c>
      <c r="T199" s="124">
        <f>S199</f>
        <v>0</v>
      </c>
      <c r="U199" s="124">
        <f>I199*T199</f>
        <v>0</v>
      </c>
      <c r="V199" s="123">
        <f>((T199*I199)-W199)*4%</f>
        <v>0</v>
      </c>
      <c r="W199" s="124">
        <f>S199*I199*5%</f>
        <v>0</v>
      </c>
      <c r="X199" s="113"/>
    </row>
    <row r="200" spans="1:24">
      <c r="A200" s="118"/>
      <c r="B200" s="118"/>
      <c r="C200" s="119"/>
      <c r="D200" s="118"/>
      <c r="E200" s="118"/>
      <c r="F200" s="118"/>
      <c r="G200" s="119"/>
      <c r="H200" s="119"/>
      <c r="I200" s="119"/>
      <c r="J200" s="119" t="s">
        <v>95</v>
      </c>
      <c r="K200" s="119" t="s">
        <v>110</v>
      </c>
      <c r="L200" s="119" t="s">
        <v>123</v>
      </c>
      <c r="M200" s="51" cm="1">
        <f t="array" ref="M200">IF(L200="",0,_xlfn.SWITCH(L200,"A1",495,"A2",495,"A3",495,"Custom",0,595))</f>
        <v>0</v>
      </c>
      <c r="N200" s="51" cm="1">
        <f t="array" ref="N200">IF(L200="",0,_xlfn.SWITCH(L200,"C1",325,"C2",325,"C3",325,"D1",380,"D2",380,"D3",380,"Custom",0,285))</f>
        <v>0</v>
      </c>
      <c r="O200" s="51">
        <f>IF(L200="",0,_xlfn.SWITCH(L200,"A1",375,"B1",375,"C1",375,"D1",375,"A2",310,"B2",310,"C2",310,"D2",310,"Custom",0,260))</f>
        <v>0</v>
      </c>
      <c r="P200" s="51">
        <f>IFERROR(IF(OR(M200=0,N200=0),0,(M200+N200)*2+11),0)</f>
        <v>0</v>
      </c>
      <c r="Q200" s="51">
        <f>IFERROR(IF(OR(N200=0,O200=0),0,(N200+O200)-16),0)</f>
        <v>0</v>
      </c>
      <c r="R200" s="53">
        <f>P200*Q200/1000000</f>
        <v>0</v>
      </c>
      <c r="S200" s="123">
        <f>IFERROR(VLOOKUP(L200,'Carton Sizes Chart'!$A$4:$E$15,5,FALSE),0)</f>
        <v>0</v>
      </c>
      <c r="T200" s="124">
        <f>S200</f>
        <v>0</v>
      </c>
      <c r="U200" s="124">
        <f>I200*T200</f>
        <v>0</v>
      </c>
      <c r="V200" s="123">
        <f>((T200*I200)-W200)*4%</f>
        <v>0</v>
      </c>
      <c r="W200" s="124">
        <f>S200*I200*5%</f>
        <v>0</v>
      </c>
      <c r="X200" s="113"/>
    </row>
    <row r="201" spans="1:24">
      <c r="A201" s="118"/>
      <c r="B201" s="118"/>
      <c r="C201" s="119"/>
      <c r="D201" s="118"/>
      <c r="E201" s="118"/>
      <c r="F201" s="118"/>
      <c r="G201" s="119"/>
      <c r="H201" s="119"/>
      <c r="I201" s="119"/>
      <c r="J201" s="119" t="s">
        <v>95</v>
      </c>
      <c r="K201" s="119" t="s">
        <v>110</v>
      </c>
      <c r="L201" s="119" t="s">
        <v>123</v>
      </c>
      <c r="M201" s="51" cm="1">
        <f t="array" ref="M201">IF(L201="",0,_xlfn.SWITCH(L201,"A1",495,"A2",495,"A3",495,"Custom",0,595))</f>
        <v>0</v>
      </c>
      <c r="N201" s="51" cm="1">
        <f t="array" ref="N201">IF(L201="",0,_xlfn.SWITCH(L201,"C1",325,"C2",325,"C3",325,"D1",380,"D2",380,"D3",380,"Custom",0,285))</f>
        <v>0</v>
      </c>
      <c r="O201" s="51">
        <f>IF(L201="",0,_xlfn.SWITCH(L201,"A1",375,"B1",375,"C1",375,"D1",375,"A2",310,"B2",310,"C2",310,"D2",310,"Custom",0,260))</f>
        <v>0</v>
      </c>
      <c r="P201" s="51">
        <f>IFERROR(IF(OR(M201=0,N201=0),0,(M201+N201)*2+11),0)</f>
        <v>0</v>
      </c>
      <c r="Q201" s="51">
        <f>IFERROR(IF(OR(N201=0,O201=0),0,(N201+O201)-16),0)</f>
        <v>0</v>
      </c>
      <c r="R201" s="53">
        <f>P201*Q201/1000000</f>
        <v>0</v>
      </c>
      <c r="S201" s="123">
        <f>IFERROR(VLOOKUP(L201,'[3]Carton Sizes Chart'!$A$4:$E$15,5,FALSE),0)</f>
        <v>0</v>
      </c>
      <c r="T201" s="124">
        <f>S201</f>
        <v>0</v>
      </c>
      <c r="U201" s="124">
        <f>I201*T201</f>
        <v>0</v>
      </c>
      <c r="V201" s="123">
        <f>((T201*I201)-W201)*4%</f>
        <v>0</v>
      </c>
      <c r="W201" s="124">
        <f>S201*I201*5%</f>
        <v>0</v>
      </c>
    </row>
    <row r="202" spans="1:24">
      <c r="A202" s="118"/>
      <c r="B202" s="118"/>
      <c r="C202" s="119"/>
      <c r="D202" s="118"/>
      <c r="E202" s="118"/>
      <c r="F202" s="118"/>
      <c r="G202" s="119"/>
      <c r="H202" s="119"/>
      <c r="I202" s="119"/>
      <c r="J202" s="119" t="s">
        <v>95</v>
      </c>
      <c r="K202" s="119" t="s">
        <v>110</v>
      </c>
      <c r="L202" s="119" t="s">
        <v>123</v>
      </c>
      <c r="M202" s="51" cm="1">
        <f t="array" ref="M202">IF(L202="",0,_xlfn.SWITCH(L202,"A1",495,"A2",495,"A3",495,"Custom",0,595))</f>
        <v>0</v>
      </c>
      <c r="N202" s="51" cm="1">
        <f t="array" ref="N202">IF(L202="",0,_xlfn.SWITCH(L202,"C1",325,"C2",325,"C3",325,"D1",380,"D2",380,"D3",380,"Custom",0,285))</f>
        <v>0</v>
      </c>
      <c r="O202" s="51">
        <f>IF(L202="",0,_xlfn.SWITCH(L202,"A1",375,"B1",375,"C1",375,"D1",375,"A2",310,"B2",310,"C2",310,"D2",310,"Custom",0,260))</f>
        <v>0</v>
      </c>
      <c r="P202" s="51">
        <f>IFERROR(IF(OR(M202=0,N202=0),0,(M202+N202)*2+11),0)</f>
        <v>0</v>
      </c>
      <c r="Q202" s="51">
        <f>IFERROR(IF(OR(N202=0,O202=0),0,(N202+O202)-16),0)</f>
        <v>0</v>
      </c>
      <c r="R202" s="53">
        <f>P202*Q202/1000000</f>
        <v>0</v>
      </c>
      <c r="S202" s="123">
        <f>IFERROR(VLOOKUP(L202,'[3]Carton Sizes Chart'!$A$4:$E$15,5,FALSE),0)</f>
        <v>0</v>
      </c>
      <c r="T202" s="124">
        <f>S202</f>
        <v>0</v>
      </c>
      <c r="U202" s="124">
        <f>I202*T202</f>
        <v>0</v>
      </c>
      <c r="V202" s="123">
        <f>((T202*I202)-W202)*4%</f>
        <v>0</v>
      </c>
      <c r="W202" s="124">
        <f>S202*I202*5%</f>
        <v>0</v>
      </c>
    </row>
    <row r="203" spans="1:24">
      <c r="A203" s="118"/>
      <c r="B203" s="118"/>
      <c r="C203" s="119"/>
      <c r="D203" s="118"/>
      <c r="E203" s="118"/>
      <c r="F203" s="118"/>
      <c r="G203" s="119"/>
      <c r="H203" s="119"/>
      <c r="I203" s="119"/>
      <c r="J203" s="119" t="s">
        <v>95</v>
      </c>
      <c r="K203" s="119" t="s">
        <v>110</v>
      </c>
      <c r="L203" s="119" t="s">
        <v>123</v>
      </c>
      <c r="M203" s="51" cm="1">
        <f t="array" ref="M203">IF(L203="",0,_xlfn.SWITCH(L203,"A1",495,"A2",495,"A3",495,"Custom",0,595))</f>
        <v>0</v>
      </c>
      <c r="N203" s="51" cm="1">
        <f t="array" ref="N203">IF(L203="",0,_xlfn.SWITCH(L203,"C1",325,"C2",325,"C3",325,"D1",380,"D2",380,"D3",380,"Custom",0,285))</f>
        <v>0</v>
      </c>
      <c r="O203" s="51">
        <f>IF(L203="",0,_xlfn.SWITCH(L203,"A1",375,"B1",375,"C1",375,"D1",375,"A2",310,"B2",310,"C2",310,"D2",310,"Custom",0,260))</f>
        <v>0</v>
      </c>
      <c r="P203" s="51">
        <f>IFERROR(IF(OR(M203=0,N203=0),0,(M203+N203)*2+11),0)</f>
        <v>0</v>
      </c>
      <c r="Q203" s="51">
        <f>IFERROR(IF(OR(N203=0,O203=0),0,(N203+O203)-16),0)</f>
        <v>0</v>
      </c>
      <c r="R203" s="53">
        <f>P203*Q203/1000000</f>
        <v>0</v>
      </c>
      <c r="S203" s="123">
        <f>IFERROR(VLOOKUP(L203,'[3]Carton Sizes Chart'!$A$4:$E$15,5,FALSE),0)</f>
        <v>0</v>
      </c>
      <c r="T203" s="124">
        <f>S203</f>
        <v>0</v>
      </c>
      <c r="U203" s="124">
        <f>I203*T203</f>
        <v>0</v>
      </c>
      <c r="V203" s="123">
        <f>((T203*I203)-W203)*4%</f>
        <v>0</v>
      </c>
      <c r="W203" s="124">
        <f>S203*I203*5%</f>
        <v>0</v>
      </c>
    </row>
    <row r="204" spans="1:24">
      <c r="A204" s="118"/>
      <c r="B204" s="118"/>
      <c r="C204" s="119"/>
      <c r="D204" s="118"/>
      <c r="E204" s="118"/>
      <c r="F204" s="118"/>
      <c r="G204" s="119"/>
      <c r="H204" s="119"/>
      <c r="I204" s="119"/>
      <c r="J204" s="119" t="s">
        <v>95</v>
      </c>
      <c r="K204" s="119" t="s">
        <v>110</v>
      </c>
      <c r="L204" s="119" t="s">
        <v>123</v>
      </c>
      <c r="M204" s="51" cm="1">
        <f t="array" ref="M204">IF(L204="",0,_xlfn.SWITCH(L204,"A1",495,"A2",495,"A3",495,"Custom",0,595))</f>
        <v>0</v>
      </c>
      <c r="N204" s="51" cm="1">
        <f t="array" ref="N204">IF(L204="",0,_xlfn.SWITCH(L204,"C1",325,"C2",325,"C3",325,"D1",380,"D2",380,"D3",380,"Custom",0,285))</f>
        <v>0</v>
      </c>
      <c r="O204" s="51">
        <f>IF(L204="",0,_xlfn.SWITCH(L204,"A1",375,"B1",375,"C1",375,"D1",375,"A2",310,"B2",310,"C2",310,"D2",310,"Custom",0,260))</f>
        <v>0</v>
      </c>
      <c r="P204" s="51">
        <f>IFERROR(IF(OR(M204=0,N204=0),0,(M204+N204)*2+11),0)</f>
        <v>0</v>
      </c>
      <c r="Q204" s="51">
        <f>IFERROR(IF(OR(N204=0,O204=0),0,(N204+O204)-16),0)</f>
        <v>0</v>
      </c>
      <c r="R204" s="53">
        <f>P204*Q204/1000000</f>
        <v>0</v>
      </c>
      <c r="S204" s="123">
        <f>IFERROR(VLOOKUP(L204,'[3]Carton Sizes Chart'!$A$4:$E$15,5,FALSE),0)</f>
        <v>0</v>
      </c>
      <c r="T204" s="124">
        <f>S204</f>
        <v>0</v>
      </c>
      <c r="U204" s="124">
        <f>I204*T204</f>
        <v>0</v>
      </c>
      <c r="V204" s="123">
        <f>((T204*I204)-W204)*4%</f>
        <v>0</v>
      </c>
      <c r="W204" s="124">
        <f>S204*I204*5%</f>
        <v>0</v>
      </c>
    </row>
    <row r="205" spans="1:24">
      <c r="A205" s="118"/>
      <c r="B205" s="118"/>
      <c r="C205" s="119"/>
      <c r="D205" s="118"/>
      <c r="E205" s="118"/>
      <c r="F205" s="118"/>
      <c r="G205" s="119"/>
      <c r="H205" s="119"/>
      <c r="I205" s="119"/>
      <c r="J205" s="119" t="s">
        <v>95</v>
      </c>
      <c r="K205" s="119" t="s">
        <v>110</v>
      </c>
      <c r="L205" s="119" t="s">
        <v>123</v>
      </c>
      <c r="M205" s="51" cm="1">
        <f t="array" ref="M205">IF(L205="",0,_xlfn.SWITCH(L205,"A1",495,"A2",495,"A3",495,"Custom",0,595))</f>
        <v>0</v>
      </c>
      <c r="N205" s="51" cm="1">
        <f t="array" ref="N205">IF(L205="",0,_xlfn.SWITCH(L205,"C1",325,"C2",325,"C3",325,"D1",380,"D2",380,"D3",380,"Custom",0,285))</f>
        <v>0</v>
      </c>
      <c r="O205" s="51">
        <f>IF(L205="",0,_xlfn.SWITCH(L205,"A1",375,"B1",375,"C1",375,"D1",375,"A2",310,"B2",310,"C2",310,"D2",310,"Custom",0,260))</f>
        <v>0</v>
      </c>
      <c r="P205" s="51">
        <f>IFERROR(IF(OR(M205=0,N205=0),0,(M205+N205)*2+11),0)</f>
        <v>0</v>
      </c>
      <c r="Q205" s="51">
        <f>IFERROR(IF(OR(N205=0,O205=0),0,(N205+O205)-16),0)</f>
        <v>0</v>
      </c>
      <c r="R205" s="53">
        <f>P205*Q205/1000000</f>
        <v>0</v>
      </c>
      <c r="S205" s="123">
        <f>IFERROR(VLOOKUP(L205,'[3]Carton Sizes Chart'!$A$4:$E$15,5,FALSE),0)</f>
        <v>0</v>
      </c>
      <c r="T205" s="124">
        <f>S205</f>
        <v>0</v>
      </c>
      <c r="U205" s="124">
        <f>I205*T205</f>
        <v>0</v>
      </c>
      <c r="V205" s="123">
        <f>((T205*I205)-W205)*4%</f>
        <v>0</v>
      </c>
      <c r="W205" s="124">
        <f>S205*I205*5%</f>
        <v>0</v>
      </c>
    </row>
    <row r="206" spans="1:24">
      <c r="A206" s="118"/>
      <c r="B206" s="122"/>
      <c r="C206" s="119"/>
      <c r="D206" s="118"/>
      <c r="E206" s="118"/>
      <c r="F206" s="118"/>
      <c r="G206" s="119"/>
      <c r="H206" s="119"/>
      <c r="I206" s="119"/>
      <c r="J206" s="119" t="s">
        <v>95</v>
      </c>
      <c r="K206" s="119" t="s">
        <v>110</v>
      </c>
      <c r="L206" s="119" t="s">
        <v>123</v>
      </c>
      <c r="M206" s="51" cm="1">
        <f t="array" ref="M206">IF(L206="",0,_xlfn.SWITCH(L206,"A1",495,"A2",495,"A3",495,"Custom",0,595))</f>
        <v>0</v>
      </c>
      <c r="N206" s="51" cm="1">
        <f t="array" ref="N206">IF(L206="",0,_xlfn.SWITCH(L206,"C1",325,"C2",325,"C3",325,"D1",380,"D2",380,"D3",380,"Custom",0,285))</f>
        <v>0</v>
      </c>
      <c r="O206" s="51">
        <f>IF(L206="",0,_xlfn.SWITCH(L206,"A1",375,"B1",375,"C1",375,"D1",375,"A2",310,"B2",310,"C2",310,"D2",310,"Custom",0,260))</f>
        <v>0</v>
      </c>
      <c r="P206" s="51">
        <f>IFERROR(IF(OR(M206=0,N206=0),0,(M206+N206)*2+11),0)</f>
        <v>0</v>
      </c>
      <c r="Q206" s="51">
        <f>IFERROR(IF(OR(N206=0,O206=0),0,(N206+O206)-16),0)</f>
        <v>0</v>
      </c>
      <c r="R206" s="53">
        <f>P206*Q206/1000000</f>
        <v>0</v>
      </c>
      <c r="S206" s="123">
        <f>IFERROR(VLOOKUP(L206,'[3]Carton Sizes Chart'!$A$4:$E$15,5,FALSE),0)</f>
        <v>0</v>
      </c>
      <c r="T206" s="124">
        <f>S206</f>
        <v>0</v>
      </c>
      <c r="U206" s="124">
        <f>I206*T206</f>
        <v>0</v>
      </c>
      <c r="V206" s="123">
        <f>((T206*I206)-W206)*4%</f>
        <v>0</v>
      </c>
      <c r="W206" s="124">
        <f>S206*I206*5%</f>
        <v>0</v>
      </c>
    </row>
    <row r="207" spans="1:24">
      <c r="A207" s="118"/>
      <c r="B207" s="118"/>
      <c r="C207" s="119"/>
      <c r="D207" s="118"/>
      <c r="E207" s="118"/>
      <c r="F207" s="118"/>
      <c r="G207" s="119"/>
      <c r="H207" s="119"/>
      <c r="I207" s="119"/>
      <c r="J207" s="119" t="s">
        <v>95</v>
      </c>
      <c r="K207" s="119" t="s">
        <v>110</v>
      </c>
      <c r="L207" s="119" t="s">
        <v>123</v>
      </c>
      <c r="M207" s="51" cm="1">
        <f t="array" ref="M207">IF(L207="",0,_xlfn.SWITCH(L207,"A1",495,"A2",495,"A3",495,"Custom",0,595))</f>
        <v>0</v>
      </c>
      <c r="N207" s="51" cm="1">
        <f t="array" ref="N207">IF(L207="",0,_xlfn.SWITCH(L207,"C1",325,"C2",325,"C3",325,"D1",380,"D2",380,"D3",380,"Custom",0,285))</f>
        <v>0</v>
      </c>
      <c r="O207" s="51">
        <f>IF(L207="",0,_xlfn.SWITCH(L207,"A1",375,"B1",375,"C1",375,"D1",375,"A2",310,"B2",310,"C2",310,"D2",310,"Custom",0,260))</f>
        <v>0</v>
      </c>
      <c r="P207" s="51">
        <f>IFERROR(IF(OR(M207=0,N207=0),0,(M207+N207)*2+11),0)</f>
        <v>0</v>
      </c>
      <c r="Q207" s="51">
        <f>IFERROR(IF(OR(N207=0,O207=0),0,(N207+O207)-16),0)</f>
        <v>0</v>
      </c>
      <c r="R207" s="53">
        <f>P207*Q207/1000000</f>
        <v>0</v>
      </c>
      <c r="S207" s="123">
        <f>IFERROR(VLOOKUP(L207,'[3]Carton Sizes Chart'!$A$4:$E$15,5,FALSE),0)</f>
        <v>0</v>
      </c>
      <c r="T207" s="124">
        <f>S207</f>
        <v>0</v>
      </c>
      <c r="U207" s="124">
        <f>I207*T207</f>
        <v>0</v>
      </c>
      <c r="V207" s="123">
        <f>((T207*I207)-W207)*4%</f>
        <v>0</v>
      </c>
      <c r="W207" s="124">
        <f>S207*I207*5%</f>
        <v>0</v>
      </c>
    </row>
    <row r="208" spans="1:24">
      <c r="A208" s="118"/>
      <c r="B208" s="118"/>
      <c r="C208" s="119"/>
      <c r="D208" s="118"/>
      <c r="E208" s="118"/>
      <c r="F208" s="118"/>
      <c r="G208" s="119"/>
      <c r="H208" s="119"/>
      <c r="I208" s="119"/>
      <c r="J208" s="119" t="s">
        <v>95</v>
      </c>
      <c r="K208" s="119" t="s">
        <v>110</v>
      </c>
      <c r="L208" s="119" t="s">
        <v>123</v>
      </c>
      <c r="M208" s="51" cm="1">
        <f t="array" ref="M208">IF(L208="",0,_xlfn.SWITCH(L208,"A1",495,"A2",495,"A3",495,"Custom",0,595))</f>
        <v>0</v>
      </c>
      <c r="N208" s="51" cm="1">
        <f t="array" ref="N208">IF(L208="",0,_xlfn.SWITCH(L208,"C1",325,"C2",325,"C3",325,"D1",380,"D2",380,"D3",380,"Custom",0,285))</f>
        <v>0</v>
      </c>
      <c r="O208" s="51">
        <f>IF(L208="",0,_xlfn.SWITCH(L208,"A1",375,"B1",375,"C1",375,"D1",375,"A2",310,"B2",310,"C2",310,"D2",310,"Custom",0,260))</f>
        <v>0</v>
      </c>
      <c r="P208" s="51">
        <f>IFERROR(IF(OR(M208=0,N208=0),0,(M208+N208)*2+11),0)</f>
        <v>0</v>
      </c>
      <c r="Q208" s="51">
        <f>IFERROR(IF(OR(N208=0,O208=0),0,(N208+O208)-16),0)</f>
        <v>0</v>
      </c>
      <c r="R208" s="53">
        <f>P208*Q208/1000000</f>
        <v>0</v>
      </c>
      <c r="S208" s="123">
        <f>IFERROR(VLOOKUP(L208,'[3]Carton Sizes Chart'!$A$4:$E$15,5,FALSE),0)</f>
        <v>0</v>
      </c>
      <c r="T208" s="124">
        <f>S208</f>
        <v>0</v>
      </c>
      <c r="U208" s="124">
        <f>I208*T208</f>
        <v>0</v>
      </c>
      <c r="V208" s="123">
        <f>((T208*I208)-W208)*4%</f>
        <v>0</v>
      </c>
      <c r="W208" s="124">
        <f>S208*I208*5%</f>
        <v>0</v>
      </c>
    </row>
    <row r="209" spans="1:23">
      <c r="A209" s="118"/>
      <c r="B209" s="118"/>
      <c r="C209" s="119"/>
      <c r="D209" s="118"/>
      <c r="E209" s="118"/>
      <c r="F209" s="118"/>
      <c r="G209" s="119"/>
      <c r="H209" s="119"/>
      <c r="I209" s="119"/>
      <c r="J209" s="119" t="s">
        <v>95</v>
      </c>
      <c r="K209" s="119" t="s">
        <v>110</v>
      </c>
      <c r="L209" s="119" t="s">
        <v>123</v>
      </c>
      <c r="M209" s="51" cm="1">
        <f t="array" ref="M209">IF(L209="",0,_xlfn.SWITCH(L209,"A1",495,"A2",495,"A3",495,"Custom",0,595))</f>
        <v>0</v>
      </c>
      <c r="N209" s="51" cm="1">
        <f t="array" ref="N209">IF(L209="",0,_xlfn.SWITCH(L209,"C1",325,"C2",325,"C3",325,"D1",380,"D2",380,"D3",380,"Custom",0,285))</f>
        <v>0</v>
      </c>
      <c r="O209" s="51">
        <f>IF(L209="",0,_xlfn.SWITCH(L209,"A1",375,"B1",375,"C1",375,"D1",375,"A2",310,"B2",310,"C2",310,"D2",310,"Custom",0,260))</f>
        <v>0</v>
      </c>
      <c r="P209" s="51">
        <f>IFERROR(IF(OR(M209=0,N209=0),0,(M209+N209)*2+11),0)</f>
        <v>0</v>
      </c>
      <c r="Q209" s="51">
        <f>IFERROR(IF(OR(N209=0,O209=0),0,(N209+O209)-16),0)</f>
        <v>0</v>
      </c>
      <c r="R209" s="53">
        <f>P209*Q209/1000000</f>
        <v>0</v>
      </c>
      <c r="S209" s="123">
        <f>IFERROR(VLOOKUP(L209,'[3]Carton Sizes Chart'!$A$4:$E$15,5,FALSE),0)</f>
        <v>0</v>
      </c>
      <c r="T209" s="124">
        <f>S209</f>
        <v>0</v>
      </c>
      <c r="U209" s="124">
        <f>I209*T209</f>
        <v>0</v>
      </c>
      <c r="V209" s="123">
        <f>((T209*I209)-W209)*4%</f>
        <v>0</v>
      </c>
      <c r="W209" s="124">
        <f>S209*I209*5%</f>
        <v>0</v>
      </c>
    </row>
    <row r="210" spans="1:23">
      <c r="A210" s="118"/>
      <c r="B210" s="118"/>
      <c r="C210" s="119"/>
      <c r="D210" s="118"/>
      <c r="E210" s="118"/>
      <c r="F210" s="118"/>
      <c r="G210" s="119"/>
      <c r="H210" s="119"/>
      <c r="I210" s="119"/>
      <c r="J210" s="119" t="s">
        <v>95</v>
      </c>
      <c r="K210" s="119" t="s">
        <v>110</v>
      </c>
      <c r="L210" s="119" t="s">
        <v>123</v>
      </c>
      <c r="M210" s="51" cm="1">
        <f t="array" ref="M210">IF(L210="",0,_xlfn.SWITCH(L210,"A1",495,"A2",495,"A3",495,"Custom",0,595))</f>
        <v>0</v>
      </c>
      <c r="N210" s="51" cm="1">
        <f t="array" ref="N210">IF(L210="",0,_xlfn.SWITCH(L210,"C1",325,"C2",325,"C3",325,"D1",380,"D2",380,"D3",380,"Custom",0,285))</f>
        <v>0</v>
      </c>
      <c r="O210" s="51">
        <f>IF(L210="",0,_xlfn.SWITCH(L210,"A1",375,"B1",375,"C1",375,"D1",375,"A2",310,"B2",310,"C2",310,"D2",310,"Custom",0,260))</f>
        <v>0</v>
      </c>
      <c r="P210" s="51">
        <f>IFERROR(IF(OR(M210=0,N210=0),0,(M210+N210)*2+11),0)</f>
        <v>0</v>
      </c>
      <c r="Q210" s="51">
        <f>IFERROR(IF(OR(N210=0,O210=0),0,(N210+O210)-16),0)</f>
        <v>0</v>
      </c>
      <c r="R210" s="53">
        <f>P210*Q210/1000000</f>
        <v>0</v>
      </c>
      <c r="S210" s="123">
        <f>IFERROR(VLOOKUP(L210,'[3]Carton Sizes Chart'!$A$4:$E$15,5,FALSE),0)</f>
        <v>0</v>
      </c>
      <c r="T210" s="124">
        <f>S210</f>
        <v>0</v>
      </c>
      <c r="U210" s="124">
        <f>I210*T210</f>
        <v>0</v>
      </c>
      <c r="V210" s="123">
        <f>((T210*I210)-W210)*4%</f>
        <v>0</v>
      </c>
      <c r="W210" s="124">
        <f>S210*I210*5%</f>
        <v>0</v>
      </c>
    </row>
    <row r="211" spans="1:23">
      <c r="A211" s="118"/>
      <c r="B211" s="118"/>
      <c r="C211" s="119"/>
      <c r="D211" s="118"/>
      <c r="E211" s="118"/>
      <c r="F211" s="118"/>
      <c r="G211" s="119"/>
      <c r="H211" s="119"/>
      <c r="I211" s="119"/>
      <c r="J211" s="119" t="s">
        <v>95</v>
      </c>
      <c r="K211" s="119" t="s">
        <v>110</v>
      </c>
      <c r="L211" s="119" t="s">
        <v>123</v>
      </c>
      <c r="M211" s="51" cm="1">
        <f t="array" ref="M211">IF(L211="",0,_xlfn.SWITCH(L211,"A1",495,"A2",495,"A3",495,"Custom",0,595))</f>
        <v>0</v>
      </c>
      <c r="N211" s="51" cm="1">
        <f t="array" ref="N211">IF(L211="",0,_xlfn.SWITCH(L211,"C1",325,"C2",325,"C3",325,"D1",380,"D2",380,"D3",380,"Custom",0,285))</f>
        <v>0</v>
      </c>
      <c r="O211" s="51">
        <f>IF(L211="",0,_xlfn.SWITCH(L211,"A1",375,"B1",375,"C1",375,"D1",375,"A2",310,"B2",310,"C2",310,"D2",310,"Custom",0,260))</f>
        <v>0</v>
      </c>
      <c r="P211" s="51">
        <f>IFERROR(IF(OR(M211=0,N211=0),0,(M211+N211)*2+11),0)</f>
        <v>0</v>
      </c>
      <c r="Q211" s="51">
        <f>IFERROR(IF(OR(N211=0,O211=0),0,(N211+O211)-16),0)</f>
        <v>0</v>
      </c>
      <c r="R211" s="53">
        <f>P211*Q211/1000000</f>
        <v>0</v>
      </c>
      <c r="S211" s="123">
        <f>IFERROR(VLOOKUP(L211,'[3]Carton Sizes Chart'!$A$4:$E$15,5,FALSE),0)</f>
        <v>0</v>
      </c>
      <c r="T211" s="124">
        <f>S211</f>
        <v>0</v>
      </c>
      <c r="U211" s="124">
        <f>I211*T211</f>
        <v>0</v>
      </c>
      <c r="V211" s="123">
        <f>((T211*I211)-W211)*4%</f>
        <v>0</v>
      </c>
      <c r="W211" s="124">
        <f>S211*I211*5%</f>
        <v>0</v>
      </c>
    </row>
    <row r="212" spans="1:23">
      <c r="A212" s="118"/>
      <c r="B212" s="118"/>
      <c r="C212" s="119"/>
      <c r="D212" s="118"/>
      <c r="E212" s="118"/>
      <c r="F212" s="118"/>
      <c r="G212" s="119"/>
      <c r="H212" s="119"/>
      <c r="I212" s="119"/>
      <c r="J212" s="119" t="s">
        <v>95</v>
      </c>
      <c r="K212" s="119" t="s">
        <v>110</v>
      </c>
      <c r="L212" s="119" t="s">
        <v>123</v>
      </c>
      <c r="M212" s="51" cm="1">
        <f t="array" ref="M212">IF(L212="",0,_xlfn.SWITCH(L212,"A1",495,"A2",495,"A3",495,"Custom",0,595))</f>
        <v>0</v>
      </c>
      <c r="N212" s="51" cm="1">
        <f t="array" ref="N212">IF(L212="",0,_xlfn.SWITCH(L212,"C1",325,"C2",325,"C3",325,"D1",380,"D2",380,"D3",380,"Custom",0,285))</f>
        <v>0</v>
      </c>
      <c r="O212" s="51">
        <f>IF(L212="",0,_xlfn.SWITCH(L212,"A1",375,"B1",375,"C1",375,"D1",375,"A2",310,"B2",310,"C2",310,"D2",310,"Custom",0,260))</f>
        <v>0</v>
      </c>
      <c r="P212" s="51">
        <f>IFERROR(IF(OR(M212=0,N212=0),0,(M212+N212)*2+11),0)</f>
        <v>0</v>
      </c>
      <c r="Q212" s="51">
        <f>IFERROR(IF(OR(N212=0,O212=0),0,(N212+O212)-16),0)</f>
        <v>0</v>
      </c>
      <c r="R212" s="53">
        <f>P212*Q212/1000000</f>
        <v>0</v>
      </c>
      <c r="S212" s="123">
        <f>IFERROR(VLOOKUP(L212,'[3]Carton Sizes Chart'!$A$4:$E$15,5,FALSE),0)</f>
        <v>0</v>
      </c>
      <c r="T212" s="124">
        <f>S212</f>
        <v>0</v>
      </c>
      <c r="U212" s="124">
        <f>I212*T212</f>
        <v>0</v>
      </c>
      <c r="V212" s="123">
        <f>((T212*I212)-W212)*4%</f>
        <v>0</v>
      </c>
      <c r="W212" s="124">
        <f>S212*I212*5%</f>
        <v>0</v>
      </c>
    </row>
    <row r="213" spans="1:23">
      <c r="A213" s="118"/>
      <c r="B213" s="118"/>
      <c r="C213" s="119"/>
      <c r="D213" s="118"/>
      <c r="E213" s="118"/>
      <c r="F213" s="118"/>
      <c r="G213" s="119"/>
      <c r="H213" s="119"/>
      <c r="I213" s="119"/>
      <c r="J213" s="119" t="s">
        <v>95</v>
      </c>
      <c r="K213" s="119" t="s">
        <v>110</v>
      </c>
      <c r="L213" s="119" t="s">
        <v>123</v>
      </c>
      <c r="M213" s="51" cm="1">
        <f t="array" ref="M213">IF(L213="",0,_xlfn.SWITCH(L213,"A1",495,"A2",495,"A3",495,"Custom",0,595))</f>
        <v>0</v>
      </c>
      <c r="N213" s="51" cm="1">
        <f t="array" ref="N213">IF(L213="",0,_xlfn.SWITCH(L213,"C1",325,"C2",325,"C3",325,"D1",380,"D2",380,"D3",380,"Custom",0,285))</f>
        <v>0</v>
      </c>
      <c r="O213" s="51">
        <f>IF(L213="",0,_xlfn.SWITCH(L213,"A1",375,"B1",375,"C1",375,"D1",375,"A2",310,"B2",310,"C2",310,"D2",310,"Custom",0,260))</f>
        <v>0</v>
      </c>
      <c r="P213" s="51">
        <f>IFERROR(IF(OR(M213=0,N213=0),0,(M213+N213)*2+11),0)</f>
        <v>0</v>
      </c>
      <c r="Q213" s="51">
        <f>IFERROR(IF(OR(N213=0,O213=0),0,(N213+O213)-16),0)</f>
        <v>0</v>
      </c>
      <c r="R213" s="53">
        <f>P213*Q213/1000000</f>
        <v>0</v>
      </c>
      <c r="S213" s="123">
        <f>IFERROR(VLOOKUP(L213,'[3]Carton Sizes Chart'!$A$4:$E$15,5,FALSE),0)</f>
        <v>0</v>
      </c>
      <c r="T213" s="124">
        <f>S213</f>
        <v>0</v>
      </c>
      <c r="U213" s="124">
        <f>I213*T213</f>
        <v>0</v>
      </c>
      <c r="V213" s="123">
        <f>((T213*I213)-W213)*4%</f>
        <v>0</v>
      </c>
      <c r="W213" s="124">
        <f>S213*I213*5%</f>
        <v>0</v>
      </c>
    </row>
    <row r="214" spans="1:23">
      <c r="A214" s="118"/>
      <c r="B214" s="118"/>
      <c r="C214" s="119"/>
      <c r="D214" s="118"/>
      <c r="E214" s="118"/>
      <c r="F214" s="118"/>
      <c r="G214" s="119"/>
      <c r="H214" s="121"/>
      <c r="I214" s="121"/>
      <c r="J214" s="119" t="s">
        <v>95</v>
      </c>
      <c r="K214" s="119" t="s">
        <v>110</v>
      </c>
      <c r="L214" s="119" t="s">
        <v>123</v>
      </c>
      <c r="M214" s="51" cm="1">
        <f t="array" ref="M214">IF(L214="",0,_xlfn.SWITCH(L214,"A1",495,"A2",495,"A3",495,"Custom",0,595))</f>
        <v>0</v>
      </c>
      <c r="N214" s="51" cm="1">
        <f t="array" ref="N214">IF(L214="",0,_xlfn.SWITCH(L214,"C1",325,"C2",325,"C3",325,"D1",380,"D2",380,"D3",380,"Custom",0,285))</f>
        <v>0</v>
      </c>
      <c r="O214" s="51">
        <f>IF(L214="",0,_xlfn.SWITCH(L214,"A1",375,"B1",375,"C1",375,"D1",375,"A2",310,"B2",310,"C2",310,"D2",310,"Custom",0,260))</f>
        <v>0</v>
      </c>
      <c r="P214" s="51">
        <f>IFERROR(IF(OR(M214=0,N214=0),0,(M214+N214)*2+11),0)</f>
        <v>0</v>
      </c>
      <c r="Q214" s="51">
        <f>IFERROR(IF(OR(N214=0,O214=0),0,(N214+O214)-16),0)</f>
        <v>0</v>
      </c>
      <c r="R214" s="53">
        <f>P214*Q214/1000000</f>
        <v>0</v>
      </c>
      <c r="S214" s="123">
        <f>IFERROR(VLOOKUP(L214,'[3]Carton Sizes Chart'!$A$4:$E$15,5,FALSE),0)</f>
        <v>0</v>
      </c>
      <c r="T214" s="124">
        <f>S214</f>
        <v>0</v>
      </c>
      <c r="U214" s="124">
        <f>I214*T214</f>
        <v>0</v>
      </c>
      <c r="V214" s="123">
        <f>((T214*I214)-W214)*4%</f>
        <v>0</v>
      </c>
      <c r="W214" s="124">
        <f>S214*I214*5%</f>
        <v>0</v>
      </c>
    </row>
    <row r="215" spans="1:23">
      <c r="A215" s="118"/>
      <c r="B215" s="118"/>
      <c r="C215" s="119"/>
      <c r="D215" s="118"/>
      <c r="E215" s="118"/>
      <c r="F215" s="118"/>
      <c r="G215" s="119"/>
      <c r="H215" s="119"/>
      <c r="I215" s="119"/>
      <c r="J215" s="119" t="s">
        <v>95</v>
      </c>
      <c r="K215" s="119" t="s">
        <v>110</v>
      </c>
      <c r="L215" s="119" t="s">
        <v>123</v>
      </c>
      <c r="M215" s="51" cm="1">
        <f t="array" ref="M215">IF(L215="",0,_xlfn.SWITCH(L215,"A1",495,"A2",495,"A3",495,"Custom",0,595))</f>
        <v>0</v>
      </c>
      <c r="N215" s="51" cm="1">
        <f t="array" ref="N215">IF(L215="",0,_xlfn.SWITCH(L215,"C1",325,"C2",325,"C3",325,"D1",380,"D2",380,"D3",380,"Custom",0,285))</f>
        <v>0</v>
      </c>
      <c r="O215" s="51">
        <f>IF(L215="",0,_xlfn.SWITCH(L215,"A1",375,"B1",375,"C1",375,"D1",375,"A2",310,"B2",310,"C2",310,"D2",310,"Custom",0,260))</f>
        <v>0</v>
      </c>
      <c r="P215" s="51">
        <f>IFERROR(IF(OR(M215=0,N215=0),0,(M215+N215)*2+11),0)</f>
        <v>0</v>
      </c>
      <c r="Q215" s="51">
        <f>IFERROR(IF(OR(N215=0,O215=0),0,(N215+O215)-16),0)</f>
        <v>0</v>
      </c>
      <c r="R215" s="53">
        <f>P215*Q215/1000000</f>
        <v>0</v>
      </c>
      <c r="S215" s="123">
        <f>IFERROR(VLOOKUP(L215,'[3]Carton Sizes Chart'!$A$4:$E$15,5,FALSE),0)</f>
        <v>0</v>
      </c>
      <c r="T215" s="124">
        <f>S215</f>
        <v>0</v>
      </c>
      <c r="U215" s="124">
        <f>I215*T215</f>
        <v>0</v>
      </c>
      <c r="V215" s="123">
        <f>((T215*I215)-W215)*4%</f>
        <v>0</v>
      </c>
      <c r="W215" s="124">
        <f>S215*I215*5%</f>
        <v>0</v>
      </c>
    </row>
    <row r="216" spans="1:23">
      <c r="A216" s="118"/>
      <c r="B216" s="118"/>
      <c r="C216" s="119"/>
      <c r="D216" s="118"/>
      <c r="E216" s="118"/>
      <c r="F216" s="118"/>
      <c r="G216" s="119"/>
      <c r="H216" s="119"/>
      <c r="I216" s="119"/>
      <c r="J216" s="119" t="s">
        <v>95</v>
      </c>
      <c r="K216" s="119" t="s">
        <v>110</v>
      </c>
      <c r="L216" s="119" t="s">
        <v>123</v>
      </c>
      <c r="M216" s="51" cm="1">
        <f t="array" ref="M216">IF(L216="",0,_xlfn.SWITCH(L216,"A1",495,"A2",495,"A3",495,"Custom",0,595))</f>
        <v>0</v>
      </c>
      <c r="N216" s="51" cm="1">
        <f t="array" ref="N216">IF(L216="",0,_xlfn.SWITCH(L216,"C1",325,"C2",325,"C3",325,"D1",380,"D2",380,"D3",380,"Custom",0,285))</f>
        <v>0</v>
      </c>
      <c r="O216" s="51">
        <f>IF(L216="",0,_xlfn.SWITCH(L216,"A1",375,"B1",375,"C1",375,"D1",375,"A2",310,"B2",310,"C2",310,"D2",310,"Custom",0,260))</f>
        <v>0</v>
      </c>
      <c r="P216" s="51">
        <f>IFERROR(IF(OR(M216=0,N216=0),0,(M216+N216)*2+11),0)</f>
        <v>0</v>
      </c>
      <c r="Q216" s="51">
        <f>IFERROR(IF(OR(N216=0,O216=0),0,(N216+O216)-16),0)</f>
        <v>0</v>
      </c>
      <c r="R216" s="53">
        <f>P216*Q216/1000000</f>
        <v>0</v>
      </c>
      <c r="S216" s="123">
        <f>IFERROR(VLOOKUP(L216,'[3]Carton Sizes Chart'!$A$4:$E$15,5,FALSE),0)</f>
        <v>0</v>
      </c>
      <c r="T216" s="124">
        <f>S216</f>
        <v>0</v>
      </c>
      <c r="U216" s="124">
        <f>I216*T216</f>
        <v>0</v>
      </c>
      <c r="V216" s="123">
        <f>((T216*I216)-W216)*4%</f>
        <v>0</v>
      </c>
      <c r="W216" s="124">
        <f>S216*I216*5%</f>
        <v>0</v>
      </c>
    </row>
    <row r="217" spans="1:23">
      <c r="A217" s="118"/>
      <c r="B217" s="118"/>
      <c r="C217" s="119"/>
      <c r="D217" s="118"/>
      <c r="E217" s="118"/>
      <c r="F217" s="118"/>
      <c r="G217" s="119"/>
      <c r="H217" s="119"/>
      <c r="I217" s="119"/>
      <c r="J217" s="119" t="s">
        <v>95</v>
      </c>
      <c r="K217" s="119" t="s">
        <v>110</v>
      </c>
      <c r="L217" s="119" t="s">
        <v>123</v>
      </c>
      <c r="M217" s="51" cm="1">
        <f t="array" ref="M217">IF(L217="",0,_xlfn.SWITCH(L217,"A1",495,"A2",495,"A3",495,"Custom",0,595))</f>
        <v>0</v>
      </c>
      <c r="N217" s="51" cm="1">
        <f t="array" ref="N217">IF(L217="",0,_xlfn.SWITCH(L217,"C1",325,"C2",325,"C3",325,"D1",380,"D2",380,"D3",380,"Custom",0,285))</f>
        <v>0</v>
      </c>
      <c r="O217" s="51">
        <f>IF(L217="",0,_xlfn.SWITCH(L217,"A1",375,"B1",375,"C1",375,"D1",375,"A2",310,"B2",310,"C2",310,"D2",310,"Custom",0,260))</f>
        <v>0</v>
      </c>
      <c r="P217" s="51">
        <f>IFERROR(IF(OR(M217=0,N217=0),0,(M217+N217)*2+11),0)</f>
        <v>0</v>
      </c>
      <c r="Q217" s="51">
        <f>IFERROR(IF(OR(N217=0,O217=0),0,(N217+O217)-16),0)</f>
        <v>0</v>
      </c>
      <c r="R217" s="53">
        <f>P217*Q217/1000000</f>
        <v>0</v>
      </c>
      <c r="S217" s="123">
        <f>IFERROR(VLOOKUP(L217,'[3]Carton Sizes Chart'!$A$4:$E$15,5,FALSE),0)</f>
        <v>0</v>
      </c>
      <c r="T217" s="124">
        <f>S217</f>
        <v>0</v>
      </c>
      <c r="U217" s="124">
        <f>I217*T217</f>
        <v>0</v>
      </c>
      <c r="V217" s="123">
        <f>((T217*I217)-W217)*4%</f>
        <v>0</v>
      </c>
      <c r="W217" s="124">
        <f>S217*I217*5%</f>
        <v>0</v>
      </c>
    </row>
    <row r="218" spans="1:23">
      <c r="A218" s="118"/>
      <c r="B218" s="118"/>
      <c r="C218" s="119"/>
      <c r="D218" s="118"/>
      <c r="E218" s="118"/>
      <c r="F218" s="118"/>
      <c r="G218" s="119"/>
      <c r="H218" s="119"/>
      <c r="I218" s="119"/>
      <c r="J218" s="119" t="s">
        <v>95</v>
      </c>
      <c r="K218" s="119" t="s">
        <v>110</v>
      </c>
      <c r="L218" s="119" t="s">
        <v>123</v>
      </c>
      <c r="M218" s="51" cm="1">
        <f t="array" ref="M218">IF(L218="",0,_xlfn.SWITCH(L218,"A1",495,"A2",495,"A3",495,"Custom",0,595))</f>
        <v>0</v>
      </c>
      <c r="N218" s="51" cm="1">
        <f t="array" ref="N218">IF(L218="",0,_xlfn.SWITCH(L218,"C1",325,"C2",325,"C3",325,"D1",380,"D2",380,"D3",380,"Custom",0,285))</f>
        <v>0</v>
      </c>
      <c r="O218" s="51">
        <f>IF(L218="",0,_xlfn.SWITCH(L218,"A1",375,"B1",375,"C1",375,"D1",375,"A2",310,"B2",310,"C2",310,"D2",310,"Custom",0,260))</f>
        <v>0</v>
      </c>
      <c r="P218" s="51">
        <f>IFERROR(IF(OR(M218=0,N218=0),0,(M218+N218)*2+11),0)</f>
        <v>0</v>
      </c>
      <c r="Q218" s="51">
        <f>IFERROR(IF(OR(N218=0,O218=0),0,(N218+O218)-16),0)</f>
        <v>0</v>
      </c>
      <c r="R218" s="53">
        <f>P218*Q218/1000000</f>
        <v>0</v>
      </c>
      <c r="S218" s="123">
        <f>IFERROR(VLOOKUP(L218,'[3]Carton Sizes Chart'!$A$4:$E$15,5,FALSE),0)</f>
        <v>0</v>
      </c>
      <c r="T218" s="124">
        <f>S218</f>
        <v>0</v>
      </c>
      <c r="U218" s="124">
        <f>I218*T218</f>
        <v>0</v>
      </c>
      <c r="V218" s="123">
        <f>((T218*I218)-W218)*4%</f>
        <v>0</v>
      </c>
      <c r="W218" s="124">
        <f>S218*I218*5%</f>
        <v>0</v>
      </c>
    </row>
    <row r="219" spans="1:23">
      <c r="A219" s="118"/>
      <c r="B219" s="118"/>
      <c r="C219" s="119"/>
      <c r="D219" s="118"/>
      <c r="E219" s="118"/>
      <c r="F219" s="118"/>
      <c r="G219" s="119"/>
      <c r="H219" s="121"/>
      <c r="I219" s="121"/>
      <c r="J219" s="119" t="s">
        <v>95</v>
      </c>
      <c r="K219" s="119" t="s">
        <v>110</v>
      </c>
      <c r="L219" s="119" t="s">
        <v>123</v>
      </c>
      <c r="M219" s="51" cm="1">
        <f t="array" ref="M219">IF(L219="",0,_xlfn.SWITCH(L219,"A1",495,"A2",495,"A3",495,"Custom",0,595))</f>
        <v>0</v>
      </c>
      <c r="N219" s="51" cm="1">
        <f t="array" ref="N219">IF(L219="",0,_xlfn.SWITCH(L219,"C1",325,"C2",325,"C3",325,"D1",380,"D2",380,"D3",380,"Custom",0,285))</f>
        <v>0</v>
      </c>
      <c r="O219" s="51">
        <f>IF(L219="",0,_xlfn.SWITCH(L219,"A1",375,"B1",375,"C1",375,"D1",375,"A2",310,"B2",310,"C2",310,"D2",310,"Custom",0,260))</f>
        <v>0</v>
      </c>
      <c r="P219" s="51">
        <f>IFERROR(IF(OR(M219=0,N219=0),0,(M219+N219)*2+11),0)</f>
        <v>0</v>
      </c>
      <c r="Q219" s="51">
        <f>IFERROR(IF(OR(N219=0,O219=0),0,(N219+O219)-16),0)</f>
        <v>0</v>
      </c>
      <c r="R219" s="53">
        <f>P219*Q219/1000000</f>
        <v>0</v>
      </c>
      <c r="S219" s="123">
        <f>IFERROR(VLOOKUP(L219,'[3]Carton Sizes Chart'!$A$4:$E$15,5,FALSE),0)</f>
        <v>0</v>
      </c>
      <c r="T219" s="124">
        <f>S219</f>
        <v>0</v>
      </c>
      <c r="U219" s="124">
        <f>I219*T219</f>
        <v>0</v>
      </c>
      <c r="V219" s="123">
        <f>((T219*I219)-W219)*4%</f>
        <v>0</v>
      </c>
      <c r="W219" s="124">
        <f>S219*I219*5%</f>
        <v>0</v>
      </c>
    </row>
    <row r="220" spans="1:23">
      <c r="A220" s="118"/>
      <c r="B220" s="118"/>
      <c r="C220" s="119"/>
      <c r="D220" s="118"/>
      <c r="E220" s="118"/>
      <c r="F220" s="118"/>
      <c r="G220" s="119"/>
      <c r="H220" s="119"/>
      <c r="I220" s="119"/>
      <c r="J220" s="119" t="s">
        <v>95</v>
      </c>
      <c r="K220" s="119" t="s">
        <v>110</v>
      </c>
      <c r="L220" s="119" t="s">
        <v>123</v>
      </c>
      <c r="M220" s="51" cm="1">
        <f t="array" ref="M220">IF(L220="",0,_xlfn.SWITCH(L220,"A1",495,"A2",495,"A3",495,"Custom",0,595))</f>
        <v>0</v>
      </c>
      <c r="N220" s="51" cm="1">
        <f t="array" ref="N220">IF(L220="",0,_xlfn.SWITCH(L220,"C1",325,"C2",325,"C3",325,"D1",380,"D2",380,"D3",380,"Custom",0,285))</f>
        <v>0</v>
      </c>
      <c r="O220" s="51">
        <f>IF(L220="",0,_xlfn.SWITCH(L220,"A1",375,"B1",375,"C1",375,"D1",375,"A2",310,"B2",310,"C2",310,"D2",310,"Custom",0,260))</f>
        <v>0</v>
      </c>
      <c r="P220" s="51">
        <f>IFERROR(IF(OR(M220=0,N220=0),0,(M220+N220)*2+11),0)</f>
        <v>0</v>
      </c>
      <c r="Q220" s="51">
        <f>IFERROR(IF(OR(N220=0,O220=0),0,(N220+O220)-16),0)</f>
        <v>0</v>
      </c>
      <c r="R220" s="53">
        <f>P220*Q220/1000000</f>
        <v>0</v>
      </c>
      <c r="S220" s="123">
        <f>IFERROR(VLOOKUP(L220,'[3]Carton Sizes Chart'!$A$4:$E$15,5,FALSE),0)</f>
        <v>0</v>
      </c>
      <c r="T220" s="124">
        <f>S220</f>
        <v>0</v>
      </c>
      <c r="U220" s="124">
        <f>I220*T220</f>
        <v>0</v>
      </c>
      <c r="V220" s="123">
        <f>((T220*I220)-W220)*4%</f>
        <v>0</v>
      </c>
      <c r="W220" s="124">
        <f>S220*I220*5%</f>
        <v>0</v>
      </c>
    </row>
    <row r="221" spans="1:23">
      <c r="A221" s="118"/>
      <c r="B221" s="118"/>
      <c r="C221" s="119"/>
      <c r="D221" s="118"/>
      <c r="E221" s="118"/>
      <c r="F221" s="118"/>
      <c r="G221" s="119"/>
      <c r="H221" s="119"/>
      <c r="I221" s="119"/>
      <c r="J221" s="119" t="s">
        <v>95</v>
      </c>
      <c r="K221" s="119" t="s">
        <v>110</v>
      </c>
      <c r="L221" s="119" t="s">
        <v>123</v>
      </c>
      <c r="M221" s="51" cm="1">
        <f t="array" ref="M221">IF(L221="",0,_xlfn.SWITCH(L221,"A1",495,"A2",495,"A3",495,"Custom",0,595))</f>
        <v>0</v>
      </c>
      <c r="N221" s="51" cm="1">
        <f t="array" ref="N221">IF(L221="",0,_xlfn.SWITCH(L221,"C1",325,"C2",325,"C3",325,"D1",380,"D2",380,"D3",380,"Custom",0,285))</f>
        <v>0</v>
      </c>
      <c r="O221" s="51">
        <f>IF(L221="",0,_xlfn.SWITCH(L221,"A1",375,"B1",375,"C1",375,"D1",375,"A2",310,"B2",310,"C2",310,"D2",310,"Custom",0,260))</f>
        <v>0</v>
      </c>
      <c r="P221" s="51">
        <f>IFERROR(IF(OR(M221=0,N221=0),0,(M221+N221)*2+11),0)</f>
        <v>0</v>
      </c>
      <c r="Q221" s="51">
        <f>IFERROR(IF(OR(N221=0,O221=0),0,(N221+O221)-16),0)</f>
        <v>0</v>
      </c>
      <c r="R221" s="53">
        <f>P221*Q221/1000000</f>
        <v>0</v>
      </c>
      <c r="S221" s="123">
        <f>IFERROR(VLOOKUP(L221,'[3]Carton Sizes Chart'!$A$4:$E$15,5,FALSE),0)</f>
        <v>0</v>
      </c>
      <c r="T221" s="124">
        <f>S221</f>
        <v>0</v>
      </c>
      <c r="U221" s="124">
        <f>I221*T221</f>
        <v>0</v>
      </c>
      <c r="V221" s="123">
        <f>((T221*I221)-W221)*4%</f>
        <v>0</v>
      </c>
      <c r="W221" s="124">
        <f>S221*I221*5%</f>
        <v>0</v>
      </c>
    </row>
    <row r="222" spans="1:23">
      <c r="A222" s="118"/>
      <c r="B222" s="118"/>
      <c r="C222" s="119"/>
      <c r="D222" s="118"/>
      <c r="E222" s="118"/>
      <c r="F222" s="118"/>
      <c r="G222" s="119"/>
      <c r="H222" s="119"/>
      <c r="I222" s="119"/>
      <c r="J222" s="119" t="s">
        <v>95</v>
      </c>
      <c r="K222" s="119" t="s">
        <v>110</v>
      </c>
      <c r="L222" s="119" t="s">
        <v>123</v>
      </c>
      <c r="M222" s="51" cm="1">
        <f t="array" ref="M222">IF(L222="",0,_xlfn.SWITCH(L222,"A1",495,"A2",495,"A3",495,"Custom",0,595))</f>
        <v>0</v>
      </c>
      <c r="N222" s="51" cm="1">
        <f t="array" ref="N222">IF(L222="",0,_xlfn.SWITCH(L222,"C1",325,"C2",325,"C3",325,"D1",380,"D2",380,"D3",380,"Custom",0,285))</f>
        <v>0</v>
      </c>
      <c r="O222" s="51">
        <f>IF(L222="",0,_xlfn.SWITCH(L222,"A1",375,"B1",375,"C1",375,"D1",375,"A2",310,"B2",310,"C2",310,"D2",310,"Custom",0,260))</f>
        <v>0</v>
      </c>
      <c r="P222" s="51">
        <f>IFERROR(IF(OR(M222=0,N222=0),0,(M222+N222)*2+11),0)</f>
        <v>0</v>
      </c>
      <c r="Q222" s="51">
        <f>IFERROR(IF(OR(N222=0,O222=0),0,(N222+O222)-16),0)</f>
        <v>0</v>
      </c>
      <c r="R222" s="53">
        <f>P222*Q222/1000000</f>
        <v>0</v>
      </c>
      <c r="S222" s="123">
        <f>IFERROR(VLOOKUP(L222,'[3]Carton Sizes Chart'!$A$4:$E$15,5,FALSE),0)</f>
        <v>0</v>
      </c>
      <c r="T222" s="124">
        <f>S222</f>
        <v>0</v>
      </c>
      <c r="U222" s="124">
        <f>I222*T222</f>
        <v>0</v>
      </c>
      <c r="V222" s="123">
        <f>((T222*I222)-W222)*4%</f>
        <v>0</v>
      </c>
      <c r="W222" s="124">
        <f>S222*I222*5%</f>
        <v>0</v>
      </c>
    </row>
    <row r="223" spans="1:23">
      <c r="A223" s="118"/>
      <c r="B223" s="118"/>
      <c r="C223" s="119"/>
      <c r="D223" s="118"/>
      <c r="E223" s="118"/>
      <c r="F223" s="118"/>
      <c r="G223" s="119"/>
      <c r="H223" s="119"/>
      <c r="I223" s="119"/>
      <c r="J223" s="119" t="s">
        <v>95</v>
      </c>
      <c r="K223" s="119" t="s">
        <v>110</v>
      </c>
      <c r="L223" s="119" t="s">
        <v>123</v>
      </c>
      <c r="M223" s="51" cm="1">
        <f t="array" ref="M223">IF(L223="",0,_xlfn.SWITCH(L223,"A1",495,"A2",495,"A3",495,"Custom",0,595))</f>
        <v>0</v>
      </c>
      <c r="N223" s="51" cm="1">
        <f t="array" ref="N223">IF(L223="",0,_xlfn.SWITCH(L223,"C1",325,"C2",325,"C3",325,"D1",380,"D2",380,"D3",380,"Custom",0,285))</f>
        <v>0</v>
      </c>
      <c r="O223" s="51">
        <f>IF(L223="",0,_xlfn.SWITCH(L223,"A1",375,"B1",375,"C1",375,"D1",375,"A2",310,"B2",310,"C2",310,"D2",310,"Custom",0,260))</f>
        <v>0</v>
      </c>
      <c r="P223" s="51">
        <f>IFERROR(IF(OR(M223=0,N223=0),0,(M223+N223)*2+11),0)</f>
        <v>0</v>
      </c>
      <c r="Q223" s="51">
        <f>IFERROR(IF(OR(N223=0,O223=0),0,(N223+O223)-16),0)</f>
        <v>0</v>
      </c>
      <c r="R223" s="53">
        <f>P223*Q223/1000000</f>
        <v>0</v>
      </c>
      <c r="S223" s="123">
        <f>IFERROR(VLOOKUP(L223,'[3]Carton Sizes Chart'!$A$4:$E$15,5,FALSE),0)</f>
        <v>0</v>
      </c>
      <c r="T223" s="124">
        <f>S223</f>
        <v>0</v>
      </c>
      <c r="U223" s="124">
        <f>I223*T223</f>
        <v>0</v>
      </c>
      <c r="V223" s="123">
        <f>((T223*I223)-W223)*4%</f>
        <v>0</v>
      </c>
      <c r="W223" s="124">
        <f>S223*I223*5%</f>
        <v>0</v>
      </c>
    </row>
    <row r="224" spans="1:23">
      <c r="A224" s="118"/>
      <c r="B224" s="118"/>
      <c r="C224" s="119"/>
      <c r="D224" s="118"/>
      <c r="E224" s="118"/>
      <c r="F224" s="118"/>
      <c r="G224" s="119"/>
      <c r="H224" s="119"/>
      <c r="I224" s="119"/>
      <c r="J224" s="119" t="s">
        <v>95</v>
      </c>
      <c r="K224" s="119" t="s">
        <v>110</v>
      </c>
      <c r="L224" s="119" t="s">
        <v>123</v>
      </c>
      <c r="M224" s="51" cm="1">
        <f t="array" ref="M224">IF(L224="",0,_xlfn.SWITCH(L224,"A1",495,"A2",495,"A3",495,"Custom",0,595))</f>
        <v>0</v>
      </c>
      <c r="N224" s="51" cm="1">
        <f t="array" ref="N224">IF(L224="",0,_xlfn.SWITCH(L224,"C1",325,"C2",325,"C3",325,"D1",380,"D2",380,"D3",380,"Custom",0,285))</f>
        <v>0</v>
      </c>
      <c r="O224" s="51">
        <f>IF(L224="",0,_xlfn.SWITCH(L224,"A1",375,"B1",375,"C1",375,"D1",375,"A2",310,"B2",310,"C2",310,"D2",310,"Custom",0,260))</f>
        <v>0</v>
      </c>
      <c r="P224" s="51">
        <f>IFERROR(IF(OR(M224=0,N224=0),0,(M224+N224)*2+11),0)</f>
        <v>0</v>
      </c>
      <c r="Q224" s="51">
        <f>IFERROR(IF(OR(N224=0,O224=0),0,(N224+O224)-16),0)</f>
        <v>0</v>
      </c>
      <c r="R224" s="53">
        <f>P224*Q224/1000000</f>
        <v>0</v>
      </c>
      <c r="S224" s="123">
        <f>IFERROR(VLOOKUP(L224,'[3]Carton Sizes Chart'!$A$4:$E$15,5,FALSE),0)</f>
        <v>0</v>
      </c>
      <c r="T224" s="124">
        <f>S224</f>
        <v>0</v>
      </c>
      <c r="U224" s="124">
        <f>I224*T224</f>
        <v>0</v>
      </c>
      <c r="V224" s="123">
        <f>((T224*I224)-W224)*4%</f>
        <v>0</v>
      </c>
      <c r="W224" s="124">
        <f>S224*I224*5%</f>
        <v>0</v>
      </c>
    </row>
    <row r="225" spans="1:23">
      <c r="A225" s="118"/>
      <c r="B225" s="118"/>
      <c r="C225" s="119"/>
      <c r="D225" s="118"/>
      <c r="E225" s="118"/>
      <c r="F225" s="118"/>
      <c r="G225" s="119"/>
      <c r="H225" s="119"/>
      <c r="I225" s="119"/>
      <c r="J225" s="119" t="s">
        <v>95</v>
      </c>
      <c r="K225" s="119" t="s">
        <v>110</v>
      </c>
      <c r="L225" s="119" t="s">
        <v>123</v>
      </c>
      <c r="M225" s="51" cm="1">
        <f t="array" ref="M225">IF(L225="",0,_xlfn.SWITCH(L225,"A1",495,"A2",495,"A3",495,"Custom",0,595))</f>
        <v>0</v>
      </c>
      <c r="N225" s="51" cm="1">
        <f t="array" ref="N225">IF(L225="",0,_xlfn.SWITCH(L225,"C1",325,"C2",325,"C3",325,"D1",380,"D2",380,"D3",380,"Custom",0,285))</f>
        <v>0</v>
      </c>
      <c r="O225" s="51">
        <f>IF(L225="",0,_xlfn.SWITCH(L225,"A1",375,"B1",375,"C1",375,"D1",375,"A2",310,"B2",310,"C2",310,"D2",310,"Custom",0,260))</f>
        <v>0</v>
      </c>
      <c r="P225" s="51">
        <f>IFERROR(IF(OR(M225=0,N225=0),0,(M225+N225)*2+11),0)</f>
        <v>0</v>
      </c>
      <c r="Q225" s="51">
        <f>IFERROR(IF(OR(N225=0,O225=0),0,(N225+O225)-16),0)</f>
        <v>0</v>
      </c>
      <c r="R225" s="53">
        <f>P225*Q225/1000000</f>
        <v>0</v>
      </c>
      <c r="S225" s="123">
        <f>IFERROR(VLOOKUP(L225,'[3]Carton Sizes Chart'!$A$4:$E$15,5,FALSE),0)</f>
        <v>0</v>
      </c>
      <c r="T225" s="124">
        <f>S225</f>
        <v>0</v>
      </c>
      <c r="U225" s="124">
        <f>I225*T225</f>
        <v>0</v>
      </c>
      <c r="V225" s="123">
        <f>((T225*I225)-W225)*4%</f>
        <v>0</v>
      </c>
      <c r="W225" s="124">
        <f>S225*I225*5%</f>
        <v>0</v>
      </c>
    </row>
    <row r="226" spans="1:23">
      <c r="A226" s="118"/>
      <c r="B226" s="118"/>
      <c r="C226" s="119"/>
      <c r="D226" s="118"/>
      <c r="E226" s="118"/>
      <c r="F226" s="118"/>
      <c r="G226" s="119"/>
      <c r="H226" s="119"/>
      <c r="I226" s="119"/>
      <c r="J226" s="119" t="s">
        <v>95</v>
      </c>
      <c r="K226" s="119" t="s">
        <v>110</v>
      </c>
      <c r="L226" s="119" t="s">
        <v>123</v>
      </c>
      <c r="M226" s="51" cm="1">
        <f t="array" ref="M226">IF(L226="",0,_xlfn.SWITCH(L226,"A1",495,"A2",495,"A3",495,"Custom",0,595))</f>
        <v>0</v>
      </c>
      <c r="N226" s="51" cm="1">
        <f t="array" ref="N226">IF(L226="",0,_xlfn.SWITCH(L226,"C1",325,"C2",325,"C3",325,"D1",380,"D2",380,"D3",380,"Custom",0,285))</f>
        <v>0</v>
      </c>
      <c r="O226" s="51">
        <f>IF(L226="",0,_xlfn.SWITCH(L226,"A1",375,"B1",375,"C1",375,"D1",375,"A2",310,"B2",310,"C2",310,"D2",310,"Custom",0,260))</f>
        <v>0</v>
      </c>
      <c r="P226" s="51">
        <f>IFERROR(IF(OR(M226=0,N226=0),0,(M226+N226)*2+11),0)</f>
        <v>0</v>
      </c>
      <c r="Q226" s="51">
        <f>IFERROR(IF(OR(N226=0,O226=0),0,(N226+O226)-16),0)</f>
        <v>0</v>
      </c>
      <c r="R226" s="53">
        <f>P226*Q226/1000000</f>
        <v>0</v>
      </c>
      <c r="S226" s="123">
        <f>IFERROR(VLOOKUP(L226,'[3]Carton Sizes Chart'!$A$4:$E$15,5,FALSE),0)</f>
        <v>0</v>
      </c>
      <c r="T226" s="124">
        <f>S226</f>
        <v>0</v>
      </c>
      <c r="U226" s="124">
        <f>I226*T226</f>
        <v>0</v>
      </c>
      <c r="V226" s="123">
        <f>((T226*I226)-W226)*4%</f>
        <v>0</v>
      </c>
      <c r="W226" s="124">
        <f>S226*I226*5%</f>
        <v>0</v>
      </c>
    </row>
    <row r="227" spans="1:23">
      <c r="A227" s="118"/>
      <c r="B227" s="118"/>
      <c r="C227" s="119"/>
      <c r="D227" s="118"/>
      <c r="E227" s="118"/>
      <c r="F227" s="118"/>
      <c r="G227" s="119"/>
      <c r="H227" s="119"/>
      <c r="I227" s="119"/>
      <c r="J227" s="119" t="s">
        <v>95</v>
      </c>
      <c r="K227" s="119" t="s">
        <v>110</v>
      </c>
      <c r="L227" s="119" t="s">
        <v>123</v>
      </c>
      <c r="M227" s="51" cm="1">
        <f t="array" ref="M227">IF(L227="",0,_xlfn.SWITCH(L227,"A1",495,"A2",495,"A3",495,"Custom",0,595))</f>
        <v>0</v>
      </c>
      <c r="N227" s="51" cm="1">
        <f t="array" ref="N227">IF(L227="",0,_xlfn.SWITCH(L227,"C1",325,"C2",325,"C3",325,"D1",380,"D2",380,"D3",380,"Custom",0,285))</f>
        <v>0</v>
      </c>
      <c r="O227" s="51">
        <f>IF(L227="",0,_xlfn.SWITCH(L227,"A1",375,"B1",375,"C1",375,"D1",375,"A2",310,"B2",310,"C2",310,"D2",310,"Custom",0,260))</f>
        <v>0</v>
      </c>
      <c r="P227" s="51">
        <f>IFERROR(IF(OR(M227=0,N227=0),0,(M227+N227)*2+11),0)</f>
        <v>0</v>
      </c>
      <c r="Q227" s="51">
        <f>IFERROR(IF(OR(N227=0,O227=0),0,(N227+O227)-16),0)</f>
        <v>0</v>
      </c>
      <c r="R227" s="53">
        <f>P227*Q227/1000000</f>
        <v>0</v>
      </c>
      <c r="S227" s="123">
        <f>IFERROR(VLOOKUP(L227,'[3]Carton Sizes Chart'!$A$4:$E$15,5,FALSE),0)</f>
        <v>0</v>
      </c>
      <c r="T227" s="124">
        <f>S227</f>
        <v>0</v>
      </c>
      <c r="U227" s="124">
        <f>I227*T227</f>
        <v>0</v>
      </c>
      <c r="V227" s="123">
        <f>((T227*I227)-W227)*4%</f>
        <v>0</v>
      </c>
      <c r="W227" s="124">
        <f>S227*I227*5%</f>
        <v>0</v>
      </c>
    </row>
    <row r="228" spans="1:23">
      <c r="A228" s="118"/>
      <c r="B228" s="118"/>
      <c r="C228" s="119"/>
      <c r="D228" s="118"/>
      <c r="E228" s="118"/>
      <c r="F228" s="118"/>
      <c r="G228" s="119"/>
      <c r="H228" s="119"/>
      <c r="I228" s="119"/>
      <c r="J228" s="119" t="s">
        <v>95</v>
      </c>
      <c r="K228" s="119" t="s">
        <v>110</v>
      </c>
      <c r="L228" s="119" t="s">
        <v>123</v>
      </c>
      <c r="M228" s="51" cm="1">
        <f t="array" ref="M228">IF(L228="",0,_xlfn.SWITCH(L228,"A1",495,"A2",495,"A3",495,"Custom",0,595))</f>
        <v>0</v>
      </c>
      <c r="N228" s="51" cm="1">
        <f t="array" ref="N228">IF(L228="",0,_xlfn.SWITCH(L228,"C1",325,"C2",325,"C3",325,"D1",380,"D2",380,"D3",380,"Custom",0,285))</f>
        <v>0</v>
      </c>
      <c r="O228" s="51">
        <f>IF(L228="",0,_xlfn.SWITCH(L228,"A1",375,"B1",375,"C1",375,"D1",375,"A2",310,"B2",310,"C2",310,"D2",310,"Custom",0,260))</f>
        <v>0</v>
      </c>
      <c r="P228" s="51">
        <f>IFERROR(IF(OR(M228=0,N228=0),0,(M228+N228)*2+11),0)</f>
        <v>0</v>
      </c>
      <c r="Q228" s="51">
        <f>IFERROR(IF(OR(N228=0,O228=0),0,(N228+O228)-16),0)</f>
        <v>0</v>
      </c>
      <c r="R228" s="53">
        <f>P228*Q228/1000000</f>
        <v>0</v>
      </c>
      <c r="S228" s="123">
        <f>IFERROR(VLOOKUP(L228,'[3]Carton Sizes Chart'!$A$4:$E$15,5,FALSE),0)</f>
        <v>0</v>
      </c>
      <c r="T228" s="124">
        <f>S228</f>
        <v>0</v>
      </c>
      <c r="U228" s="124">
        <f>I228*T228</f>
        <v>0</v>
      </c>
      <c r="V228" s="123">
        <f>((T228*I228)-W228)*4%</f>
        <v>0</v>
      </c>
      <c r="W228" s="124">
        <f>S228*I228*5%</f>
        <v>0</v>
      </c>
    </row>
    <row r="229" spans="1:23">
      <c r="A229" s="118"/>
      <c r="B229" s="118"/>
      <c r="C229" s="119"/>
      <c r="D229" s="118"/>
      <c r="E229" s="118"/>
      <c r="F229" s="118"/>
      <c r="G229" s="119"/>
      <c r="H229" s="119"/>
      <c r="I229" s="119"/>
      <c r="J229" s="119" t="s">
        <v>95</v>
      </c>
      <c r="K229" s="119" t="s">
        <v>110</v>
      </c>
      <c r="L229" s="119" t="s">
        <v>123</v>
      </c>
      <c r="M229" s="51" cm="1">
        <f t="array" ref="M229">IF(L229="",0,_xlfn.SWITCH(L229,"A1",495,"A2",495,"A3",495,"Custom",0,595))</f>
        <v>0</v>
      </c>
      <c r="N229" s="51" cm="1">
        <f t="array" ref="N229">IF(L229="",0,_xlfn.SWITCH(L229,"C1",325,"C2",325,"C3",325,"D1",380,"D2",380,"D3",380,"Custom",0,285))</f>
        <v>0</v>
      </c>
      <c r="O229" s="51">
        <f>IF(L229="",0,_xlfn.SWITCH(L229,"A1",375,"B1",375,"C1",375,"D1",375,"A2",310,"B2",310,"C2",310,"D2",310,"Custom",0,260))</f>
        <v>0</v>
      </c>
      <c r="P229" s="51">
        <f>IFERROR(IF(OR(M229=0,N229=0),0,(M229+N229)*2+11),0)</f>
        <v>0</v>
      </c>
      <c r="Q229" s="51">
        <f>IFERROR(IF(OR(N229=0,O229=0),0,(N229+O229)-16),0)</f>
        <v>0</v>
      </c>
      <c r="R229" s="53">
        <f>P229*Q229/1000000</f>
        <v>0</v>
      </c>
      <c r="S229" s="123">
        <f>IFERROR(VLOOKUP(L229,'[3]Carton Sizes Chart'!$A$4:$E$15,5,FALSE),0)</f>
        <v>0</v>
      </c>
      <c r="T229" s="124">
        <f>S229</f>
        <v>0</v>
      </c>
      <c r="U229" s="124">
        <f>I229*T229</f>
        <v>0</v>
      </c>
      <c r="V229" s="123">
        <f>((T229*I229)-W229)*4%</f>
        <v>0</v>
      </c>
      <c r="W229" s="124">
        <f>S229*I229*5%</f>
        <v>0</v>
      </c>
    </row>
    <row r="230" spans="1:23">
      <c r="A230" s="118"/>
      <c r="B230" s="120"/>
      <c r="C230" s="119"/>
      <c r="D230" s="118"/>
      <c r="E230" s="118"/>
      <c r="F230" s="118"/>
      <c r="G230" s="119"/>
      <c r="H230" s="119"/>
      <c r="I230" s="119"/>
      <c r="J230" s="119" t="s">
        <v>95</v>
      </c>
      <c r="K230" s="119" t="s">
        <v>110</v>
      </c>
      <c r="L230" s="119" t="s">
        <v>123</v>
      </c>
      <c r="M230" s="51" cm="1">
        <f t="array" ref="M230">IF(L230="",0,_xlfn.SWITCH(L230,"A1",495,"A2",495,"A3",495,"Custom",0,595))</f>
        <v>0</v>
      </c>
      <c r="N230" s="51" cm="1">
        <f t="array" ref="N230">IF(L230="",0,_xlfn.SWITCH(L230,"C1",325,"C2",325,"C3",325,"D1",380,"D2",380,"D3",380,"Custom",0,285))</f>
        <v>0</v>
      </c>
      <c r="O230" s="51">
        <f>IF(L230="",0,_xlfn.SWITCH(L230,"A1",375,"B1",375,"C1",375,"D1",375,"A2",310,"B2",310,"C2",310,"D2",310,"Custom",0,260))</f>
        <v>0</v>
      </c>
      <c r="P230" s="51">
        <f>IFERROR(IF(OR(M230=0,N230=0),0,(M230+N230)*2+11),0)</f>
        <v>0</v>
      </c>
      <c r="Q230" s="51">
        <f>IFERROR(IF(OR(N230=0,O230=0),0,(N230+O230)-16),0)</f>
        <v>0</v>
      </c>
      <c r="R230" s="53">
        <f>P230*Q230/1000000</f>
        <v>0</v>
      </c>
      <c r="S230" s="123">
        <f>IFERROR(VLOOKUP(L230,'[3]Carton Sizes Chart'!$A$4:$E$15,5,FALSE),0)</f>
        <v>0</v>
      </c>
      <c r="T230" s="124">
        <f>S230</f>
        <v>0</v>
      </c>
      <c r="U230" s="124">
        <f>I230*T230</f>
        <v>0</v>
      </c>
      <c r="V230" s="123">
        <f>((T230*I230)-W230)*4%</f>
        <v>0</v>
      </c>
      <c r="W230" s="124">
        <f>S230*I230*5%</f>
        <v>0</v>
      </c>
    </row>
    <row r="231" spans="1:23">
      <c r="A231" s="118"/>
      <c r="B231" s="118"/>
      <c r="C231" s="119"/>
      <c r="D231" s="118"/>
      <c r="E231" s="118"/>
      <c r="F231" s="118"/>
      <c r="G231" s="119"/>
      <c r="H231" s="119"/>
      <c r="I231" s="119"/>
      <c r="J231" s="119" t="s">
        <v>95</v>
      </c>
      <c r="K231" s="119" t="s">
        <v>110</v>
      </c>
      <c r="L231" s="119" t="s">
        <v>123</v>
      </c>
      <c r="M231" s="51" cm="1">
        <f t="array" ref="M231">IF(L231="",0,_xlfn.SWITCH(L231,"A1",495,"A2",495,"A3",495,"Custom",0,595))</f>
        <v>0</v>
      </c>
      <c r="N231" s="51" cm="1">
        <f t="array" ref="N231">IF(L231="",0,_xlfn.SWITCH(L231,"C1",325,"C2",325,"C3",325,"D1",380,"D2",380,"D3",380,"Custom",0,285))</f>
        <v>0</v>
      </c>
      <c r="O231" s="51">
        <f>IF(L231="",0,_xlfn.SWITCH(L231,"A1",375,"B1",375,"C1",375,"D1",375,"A2",310,"B2",310,"C2",310,"D2",310,"Custom",0,260))</f>
        <v>0</v>
      </c>
      <c r="P231" s="51">
        <f>IFERROR(IF(OR(M231=0,N231=0),0,(M231+N231)*2+11),0)</f>
        <v>0</v>
      </c>
      <c r="Q231" s="51">
        <f>IFERROR(IF(OR(N231=0,O231=0),0,(N231+O231)-16),0)</f>
        <v>0</v>
      </c>
      <c r="R231" s="53">
        <f>P231*Q231/1000000</f>
        <v>0</v>
      </c>
      <c r="S231" s="123">
        <f>IFERROR(VLOOKUP(L231,'[3]Carton Sizes Chart'!$A$4:$E$15,5,FALSE),0)</f>
        <v>0</v>
      </c>
      <c r="T231" s="124">
        <f>S231</f>
        <v>0</v>
      </c>
      <c r="U231" s="124">
        <f>I231*T231</f>
        <v>0</v>
      </c>
      <c r="V231" s="123">
        <f>((T231*I231)-W231)*4%</f>
        <v>0</v>
      </c>
      <c r="W231" s="124">
        <f>S231*I231*5%</f>
        <v>0</v>
      </c>
    </row>
    <row r="232" spans="1:23">
      <c r="A232" s="118"/>
      <c r="B232" s="118"/>
      <c r="C232" s="119"/>
      <c r="D232" s="118"/>
      <c r="E232" s="118"/>
      <c r="F232" s="118"/>
      <c r="G232" s="119"/>
      <c r="H232" s="119"/>
      <c r="I232" s="119"/>
      <c r="J232" s="119" t="s">
        <v>95</v>
      </c>
      <c r="K232" s="119" t="s">
        <v>110</v>
      </c>
      <c r="L232" s="119" t="s">
        <v>123</v>
      </c>
      <c r="M232" s="51" cm="1">
        <f t="array" ref="M232">IF(L232="",0,_xlfn.SWITCH(L232,"A1",495,"A2",495,"A3",495,"Custom",0,595))</f>
        <v>0</v>
      </c>
      <c r="N232" s="51" cm="1">
        <f t="array" ref="N232">IF(L232="",0,_xlfn.SWITCH(L232,"C1",325,"C2",325,"C3",325,"D1",380,"D2",380,"D3",380,"Custom",0,285))</f>
        <v>0</v>
      </c>
      <c r="O232" s="51">
        <f>IF(L232="",0,_xlfn.SWITCH(L232,"A1",375,"B1",375,"C1",375,"D1",375,"A2",310,"B2",310,"C2",310,"D2",310,"Custom",0,260))</f>
        <v>0</v>
      </c>
      <c r="P232" s="51">
        <f>IFERROR(IF(OR(M232=0,N232=0),0,(M232+N232)*2+11),0)</f>
        <v>0</v>
      </c>
      <c r="Q232" s="51">
        <f>IFERROR(IF(OR(N232=0,O232=0),0,(N232+O232)-16),0)</f>
        <v>0</v>
      </c>
      <c r="R232" s="53">
        <f>P232*Q232/1000000</f>
        <v>0</v>
      </c>
      <c r="S232" s="123">
        <f>IFERROR(VLOOKUP(L232,'[3]Carton Sizes Chart'!$A$4:$E$15,5,FALSE),0)</f>
        <v>0</v>
      </c>
      <c r="T232" s="124">
        <f>S232</f>
        <v>0</v>
      </c>
      <c r="U232" s="124">
        <f>I232*T232</f>
        <v>0</v>
      </c>
      <c r="V232" s="123">
        <f>((T232*I232)-W232)*4%</f>
        <v>0</v>
      </c>
      <c r="W232" s="124">
        <f>S232*I232*5%</f>
        <v>0</v>
      </c>
    </row>
    <row r="233" spans="1:23">
      <c r="A233" s="118"/>
      <c r="B233" s="118"/>
      <c r="C233" s="119"/>
      <c r="D233" s="118"/>
      <c r="E233" s="118"/>
      <c r="F233" s="118"/>
      <c r="G233" s="119"/>
      <c r="H233" s="119"/>
      <c r="I233" s="119"/>
      <c r="J233" s="119" t="s">
        <v>95</v>
      </c>
      <c r="K233" s="119" t="s">
        <v>110</v>
      </c>
      <c r="L233" s="119" t="s">
        <v>123</v>
      </c>
      <c r="M233" s="51" cm="1">
        <f t="array" ref="M233">IF(L233="",0,_xlfn.SWITCH(L233,"A1",495,"A2",495,"A3",495,"Custom",0,595))</f>
        <v>0</v>
      </c>
      <c r="N233" s="51" cm="1">
        <f t="array" ref="N233">IF(L233="",0,_xlfn.SWITCH(L233,"C1",325,"C2",325,"C3",325,"D1",380,"D2",380,"D3",380,"Custom",0,285))</f>
        <v>0</v>
      </c>
      <c r="O233" s="51">
        <f>IF(L233="",0,_xlfn.SWITCH(L233,"A1",375,"B1",375,"C1",375,"D1",375,"A2",310,"B2",310,"C2",310,"D2",310,"Custom",0,260))</f>
        <v>0</v>
      </c>
      <c r="P233" s="51">
        <f>IFERROR(IF(OR(M233=0,N233=0),0,(M233+N233)*2+11),0)</f>
        <v>0</v>
      </c>
      <c r="Q233" s="51">
        <f>IFERROR(IF(OR(N233=0,O233=0),0,(N233+O233)-16),0)</f>
        <v>0</v>
      </c>
      <c r="R233" s="53">
        <f>P233*Q233/1000000</f>
        <v>0</v>
      </c>
      <c r="S233" s="123">
        <f>IFERROR(VLOOKUP(L233,'[3]Carton Sizes Chart'!$A$4:$E$15,5,FALSE),0)</f>
        <v>0</v>
      </c>
      <c r="T233" s="124">
        <f>S233</f>
        <v>0</v>
      </c>
      <c r="U233" s="124">
        <f>I233*T233</f>
        <v>0</v>
      </c>
      <c r="V233" s="123">
        <f>((T233*I233)-W233)*4%</f>
        <v>0</v>
      </c>
      <c r="W233" s="124">
        <f>S233*I233*5%</f>
        <v>0</v>
      </c>
    </row>
    <row r="234" spans="1:23">
      <c r="A234" s="118"/>
      <c r="B234" s="118"/>
      <c r="C234" s="119"/>
      <c r="D234" s="118"/>
      <c r="E234" s="118"/>
      <c r="F234" s="118"/>
      <c r="G234" s="119"/>
      <c r="H234" s="119"/>
      <c r="I234" s="119"/>
      <c r="J234" s="119" t="s">
        <v>95</v>
      </c>
      <c r="K234" s="119" t="s">
        <v>110</v>
      </c>
      <c r="L234" s="119" t="s">
        <v>123</v>
      </c>
      <c r="M234" s="51" cm="1">
        <f t="array" ref="M234">IF(L234="",0,_xlfn.SWITCH(L234,"A1",495,"A2",495,"A3",495,"Custom",0,595))</f>
        <v>0</v>
      </c>
      <c r="N234" s="51" cm="1">
        <f t="array" ref="N234">IF(L234="",0,_xlfn.SWITCH(L234,"C1",325,"C2",325,"C3",325,"D1",380,"D2",380,"D3",380,"Custom",0,285))</f>
        <v>0</v>
      </c>
      <c r="O234" s="51">
        <f>IF(L234="",0,_xlfn.SWITCH(L234,"A1",375,"B1",375,"C1",375,"D1",375,"A2",310,"B2",310,"C2",310,"D2",310,"Custom",0,260))</f>
        <v>0</v>
      </c>
      <c r="P234" s="51">
        <f>IFERROR(IF(OR(M234=0,N234=0),0,(M234+N234)*2+11),0)</f>
        <v>0</v>
      </c>
      <c r="Q234" s="51">
        <f>IFERROR(IF(OR(N234=0,O234=0),0,(N234+O234)-16),0)</f>
        <v>0</v>
      </c>
      <c r="R234" s="53">
        <f>P234*Q234/1000000</f>
        <v>0</v>
      </c>
      <c r="S234" s="123">
        <f>IFERROR(VLOOKUP(L234,'[3]Carton Sizes Chart'!$A$4:$E$15,5,FALSE),0)</f>
        <v>0</v>
      </c>
      <c r="T234" s="124">
        <f>S234</f>
        <v>0</v>
      </c>
      <c r="U234" s="124">
        <f>I234*T234</f>
        <v>0</v>
      </c>
      <c r="V234" s="123">
        <f>((T234*I234)-W234)*4%</f>
        <v>0</v>
      </c>
      <c r="W234" s="124">
        <f>S234*I234*5%</f>
        <v>0</v>
      </c>
    </row>
    <row r="235" spans="1:23">
      <c r="A235" s="118"/>
      <c r="B235" s="118"/>
      <c r="C235" s="119"/>
      <c r="D235" s="118"/>
      <c r="E235" s="118"/>
      <c r="F235" s="118"/>
      <c r="G235" s="119"/>
      <c r="H235" s="119"/>
      <c r="I235" s="119"/>
      <c r="J235" s="119" t="s">
        <v>95</v>
      </c>
      <c r="K235" s="119" t="s">
        <v>110</v>
      </c>
      <c r="L235" s="119" t="s">
        <v>123</v>
      </c>
      <c r="M235" s="51" cm="1">
        <f t="array" ref="M235">IF(L235="",0,_xlfn.SWITCH(L235,"A1",495,"A2",495,"A3",495,"Custom",0,595))</f>
        <v>0</v>
      </c>
      <c r="N235" s="51" cm="1">
        <f t="array" ref="N235">IF(L235="",0,_xlfn.SWITCH(L235,"C1",325,"C2",325,"C3",325,"D1",380,"D2",380,"D3",380,"Custom",0,285))</f>
        <v>0</v>
      </c>
      <c r="O235" s="51">
        <f>IF(L235="",0,_xlfn.SWITCH(L235,"A1",375,"B1",375,"C1",375,"D1",375,"A2",310,"B2",310,"C2",310,"D2",310,"Custom",0,260))</f>
        <v>0</v>
      </c>
      <c r="P235" s="51">
        <f>IFERROR(IF(OR(M235=0,N235=0),0,(M235+N235)*2+11),0)</f>
        <v>0</v>
      </c>
      <c r="Q235" s="51">
        <f>IFERROR(IF(OR(N235=0,O235=0),0,(N235+O235)-16),0)</f>
        <v>0</v>
      </c>
      <c r="R235" s="53">
        <f>P235*Q235/1000000</f>
        <v>0</v>
      </c>
      <c r="S235" s="123">
        <f>IFERROR(VLOOKUP(L235,'[3]Carton Sizes Chart'!$A$4:$E$15,5,FALSE),0)</f>
        <v>0</v>
      </c>
      <c r="T235" s="124">
        <f>S235</f>
        <v>0</v>
      </c>
      <c r="U235" s="124">
        <f>I235*T235</f>
        <v>0</v>
      </c>
      <c r="V235" s="123">
        <f>((T235*I235)-W235)*4%</f>
        <v>0</v>
      </c>
      <c r="W235" s="124">
        <f>S235*I235*5%</f>
        <v>0</v>
      </c>
    </row>
    <row r="236" spans="1:23">
      <c r="A236" s="118"/>
      <c r="B236" s="118"/>
      <c r="C236" s="119"/>
      <c r="D236" s="118"/>
      <c r="E236" s="118"/>
      <c r="F236" s="118"/>
      <c r="G236" s="119"/>
      <c r="H236" s="119"/>
      <c r="I236" s="119"/>
      <c r="J236" s="119" t="s">
        <v>95</v>
      </c>
      <c r="K236" s="119" t="s">
        <v>110</v>
      </c>
      <c r="L236" s="119" t="s">
        <v>123</v>
      </c>
      <c r="M236" s="51" cm="1">
        <f t="array" ref="M236">IF(L236="",0,_xlfn.SWITCH(L236,"A1",495,"A2",495,"A3",495,"Custom",0,595))</f>
        <v>0</v>
      </c>
      <c r="N236" s="51" cm="1">
        <f t="array" ref="N236">IF(L236="",0,_xlfn.SWITCH(L236,"C1",325,"C2",325,"C3",325,"D1",380,"D2",380,"D3",380,"Custom",0,285))</f>
        <v>0</v>
      </c>
      <c r="O236" s="51">
        <f>IF(L236="",0,_xlfn.SWITCH(L236,"A1",375,"B1",375,"C1",375,"D1",375,"A2",310,"B2",310,"C2",310,"D2",310,"Custom",0,260))</f>
        <v>0</v>
      </c>
      <c r="P236" s="51">
        <f>IFERROR(IF(OR(M236=0,N236=0),0,(M236+N236)*2+11),0)</f>
        <v>0</v>
      </c>
      <c r="Q236" s="51">
        <f>IFERROR(IF(OR(N236=0,O236=0),0,(N236+O236)-16),0)</f>
        <v>0</v>
      </c>
      <c r="R236" s="53">
        <f>P236*Q236/1000000</f>
        <v>0</v>
      </c>
      <c r="S236" s="123">
        <f>IFERROR(VLOOKUP(L236,'[3]Carton Sizes Chart'!$A$4:$E$15,5,FALSE),0)</f>
        <v>0</v>
      </c>
      <c r="T236" s="124">
        <f>S236</f>
        <v>0</v>
      </c>
      <c r="U236" s="124">
        <f>I236*T236</f>
        <v>0</v>
      </c>
      <c r="V236" s="123">
        <f>((T236*I236)-W236)*4%</f>
        <v>0</v>
      </c>
      <c r="W236" s="124">
        <f>S236*I236*5%</f>
        <v>0</v>
      </c>
    </row>
    <row r="237" spans="1:23">
      <c r="A237" s="118"/>
      <c r="B237" s="118"/>
      <c r="C237" s="119"/>
      <c r="D237" s="118"/>
      <c r="E237" s="118"/>
      <c r="F237" s="118"/>
      <c r="G237" s="119"/>
      <c r="H237" s="119"/>
      <c r="I237" s="121"/>
      <c r="J237" s="119" t="s">
        <v>95</v>
      </c>
      <c r="K237" s="119" t="s">
        <v>110</v>
      </c>
      <c r="L237" s="119" t="s">
        <v>123</v>
      </c>
      <c r="M237" s="51" cm="1">
        <f t="array" ref="M237">IF(L237="",0,_xlfn.SWITCH(L237,"A1",495,"A2",495,"A3",495,"Custom",0,595))</f>
        <v>0</v>
      </c>
      <c r="N237" s="51" cm="1">
        <f t="array" ref="N237">IF(L237="",0,_xlfn.SWITCH(L237,"C1",325,"C2",325,"C3",325,"D1",380,"D2",380,"D3",380,"Custom",0,285))</f>
        <v>0</v>
      </c>
      <c r="O237" s="51">
        <f>IF(L237="",0,_xlfn.SWITCH(L237,"A1",375,"B1",375,"C1",375,"D1",375,"A2",310,"B2",310,"C2",310,"D2",310,"Custom",0,260))</f>
        <v>0</v>
      </c>
      <c r="P237" s="51">
        <f>IFERROR(IF(OR(M237=0,N237=0),0,(M237+N237)*2+11),0)</f>
        <v>0</v>
      </c>
      <c r="Q237" s="51">
        <f>IFERROR(IF(OR(N237=0,O237=0),0,(N237+O237)-16),0)</f>
        <v>0</v>
      </c>
      <c r="R237" s="53">
        <f>P237*Q237/1000000</f>
        <v>0</v>
      </c>
      <c r="S237" s="123">
        <f>IFERROR(VLOOKUP(L237,'[3]Carton Sizes Chart'!$A$4:$E$15,5,FALSE),0)</f>
        <v>0</v>
      </c>
      <c r="T237" s="124">
        <f>S237</f>
        <v>0</v>
      </c>
      <c r="U237" s="124">
        <f>I237*T237</f>
        <v>0</v>
      </c>
      <c r="V237" s="123">
        <f>((T237*I237)-W237)*4%</f>
        <v>0</v>
      </c>
      <c r="W237" s="124">
        <f>S237*I237*5%</f>
        <v>0</v>
      </c>
    </row>
    <row r="238" spans="1:23">
      <c r="A238" s="118"/>
      <c r="B238" s="118"/>
      <c r="C238" s="119"/>
      <c r="D238" s="118"/>
      <c r="E238" s="118"/>
      <c r="F238" s="118"/>
      <c r="G238" s="119"/>
      <c r="H238" s="119"/>
      <c r="I238" s="119"/>
      <c r="J238" s="119" t="s">
        <v>95</v>
      </c>
      <c r="K238" s="119" t="s">
        <v>110</v>
      </c>
      <c r="L238" s="119" t="s">
        <v>123</v>
      </c>
      <c r="M238" s="51" cm="1">
        <f t="array" ref="M238">IF(L238="",0,_xlfn.SWITCH(L238,"A1",495,"A2",495,"A3",495,"Custom",0,595))</f>
        <v>0</v>
      </c>
      <c r="N238" s="51" cm="1">
        <f t="array" ref="N238">IF(L238="",0,_xlfn.SWITCH(L238,"C1",325,"C2",325,"C3",325,"D1",380,"D2",380,"D3",380,"Custom",0,285))</f>
        <v>0</v>
      </c>
      <c r="O238" s="51">
        <f>IF(L238="",0,_xlfn.SWITCH(L238,"A1",375,"B1",375,"C1",375,"D1",375,"A2",310,"B2",310,"C2",310,"D2",310,"Custom",0,260))</f>
        <v>0</v>
      </c>
      <c r="P238" s="51">
        <f>IFERROR(IF(OR(M238=0,N238=0),0,(M238+N238)*2+11),0)</f>
        <v>0</v>
      </c>
      <c r="Q238" s="51">
        <f>IFERROR(IF(OR(N238=0,O238=0),0,(N238+O238)-16),0)</f>
        <v>0</v>
      </c>
      <c r="R238" s="53">
        <f>P238*Q238/1000000</f>
        <v>0</v>
      </c>
      <c r="S238" s="123">
        <f>IFERROR(VLOOKUP(L238,'[3]Carton Sizes Chart'!$A$4:$E$15,5,FALSE),0)</f>
        <v>0</v>
      </c>
      <c r="T238" s="124">
        <f>S238</f>
        <v>0</v>
      </c>
      <c r="U238" s="124">
        <f>I238*T238</f>
        <v>0</v>
      </c>
      <c r="V238" s="123">
        <f>((T238*I238)-W238)*4%</f>
        <v>0</v>
      </c>
      <c r="W238" s="124">
        <f>S238*I238*5%</f>
        <v>0</v>
      </c>
    </row>
    <row r="239" spans="1:23">
      <c r="A239" s="118"/>
      <c r="B239" s="118"/>
      <c r="C239" s="119"/>
      <c r="D239" s="118"/>
      <c r="E239" s="118"/>
      <c r="F239" s="118"/>
      <c r="G239" s="119"/>
      <c r="H239" s="119"/>
      <c r="I239" s="119"/>
      <c r="J239" s="119" t="s">
        <v>95</v>
      </c>
      <c r="K239" s="119" t="s">
        <v>110</v>
      </c>
      <c r="L239" s="119" t="s">
        <v>123</v>
      </c>
      <c r="M239" s="51" cm="1">
        <f t="array" ref="M239">IF(L239="",0,_xlfn.SWITCH(L239,"A1",495,"A2",495,"A3",495,"Custom",0,595))</f>
        <v>0</v>
      </c>
      <c r="N239" s="51" cm="1">
        <f t="array" ref="N239">IF(L239="",0,_xlfn.SWITCH(L239,"C1",325,"C2",325,"C3",325,"D1",380,"D2",380,"D3",380,"Custom",0,285))</f>
        <v>0</v>
      </c>
      <c r="O239" s="51">
        <f>IF(L239="",0,_xlfn.SWITCH(L239,"A1",375,"B1",375,"C1",375,"D1",375,"A2",310,"B2",310,"C2",310,"D2",310,"Custom",0,260))</f>
        <v>0</v>
      </c>
      <c r="P239" s="51">
        <f>IFERROR(IF(OR(M239=0,N239=0),0,(M239+N239)*2+11),0)</f>
        <v>0</v>
      </c>
      <c r="Q239" s="51">
        <f>IFERROR(IF(OR(N239=0,O239=0),0,(N239+O239)-16),0)</f>
        <v>0</v>
      </c>
      <c r="R239" s="53">
        <f>P239*Q239/1000000</f>
        <v>0</v>
      </c>
      <c r="S239" s="123">
        <f>IFERROR(VLOOKUP(L239,'[3]Carton Sizes Chart'!$A$4:$E$15,5,FALSE),0)</f>
        <v>0</v>
      </c>
      <c r="T239" s="124">
        <f>S239</f>
        <v>0</v>
      </c>
      <c r="U239" s="124">
        <f>I239*T239</f>
        <v>0</v>
      </c>
      <c r="V239" s="123">
        <f>((T239*I239)-W239)*4%</f>
        <v>0</v>
      </c>
      <c r="W239" s="124">
        <f>S239*I239*5%</f>
        <v>0</v>
      </c>
    </row>
    <row r="240" spans="1:23">
      <c r="A240" s="118"/>
      <c r="B240" s="118"/>
      <c r="C240" s="119"/>
      <c r="D240" s="118"/>
      <c r="E240" s="118"/>
      <c r="F240" s="118"/>
      <c r="G240" s="119"/>
      <c r="H240" s="119"/>
      <c r="I240" s="119"/>
      <c r="J240" s="119" t="s">
        <v>95</v>
      </c>
      <c r="K240" s="119" t="s">
        <v>110</v>
      </c>
      <c r="L240" s="119" t="s">
        <v>123</v>
      </c>
      <c r="M240" s="51" cm="1">
        <f t="array" ref="M240">IF(L240="",0,_xlfn.SWITCH(L240,"A1",495,"A2",495,"A3",495,"Custom",0,595))</f>
        <v>0</v>
      </c>
      <c r="N240" s="51" cm="1">
        <f t="array" ref="N240">IF(L240="",0,_xlfn.SWITCH(L240,"C1",325,"C2",325,"C3",325,"D1",380,"D2",380,"D3",380,"Custom",0,285))</f>
        <v>0</v>
      </c>
      <c r="O240" s="51">
        <f>IF(L240="",0,_xlfn.SWITCH(L240,"A1",375,"B1",375,"C1",375,"D1",375,"A2",310,"B2",310,"C2",310,"D2",310,"Custom",0,260))</f>
        <v>0</v>
      </c>
      <c r="P240" s="51">
        <f>IFERROR(IF(OR(M240=0,N240=0),0,(M240+N240)*2+11),0)</f>
        <v>0</v>
      </c>
      <c r="Q240" s="51">
        <f>IFERROR(IF(OR(N240=0,O240=0),0,(N240+O240)-16),0)</f>
        <v>0</v>
      </c>
      <c r="R240" s="53">
        <f>P240*Q240/1000000</f>
        <v>0</v>
      </c>
      <c r="S240" s="123">
        <f>IFERROR(VLOOKUP(L240,'[3]Carton Sizes Chart'!$A$4:$E$15,5,FALSE),0)</f>
        <v>0</v>
      </c>
      <c r="T240" s="124">
        <f>S240</f>
        <v>0</v>
      </c>
      <c r="U240" s="124">
        <f>I240*T240</f>
        <v>0</v>
      </c>
      <c r="V240" s="123">
        <f>((T240*I240)-W240)*4%</f>
        <v>0</v>
      </c>
      <c r="W240" s="124">
        <f>S240*I240*5%</f>
        <v>0</v>
      </c>
    </row>
    <row r="241" spans="1:23">
      <c r="A241" s="120"/>
      <c r="B241" s="120"/>
      <c r="C241" s="119"/>
      <c r="D241" s="118"/>
      <c r="E241" s="118"/>
      <c r="F241" s="118"/>
      <c r="G241" s="119"/>
      <c r="H241" s="119"/>
      <c r="I241" s="119"/>
      <c r="J241" s="119" t="s">
        <v>95</v>
      </c>
      <c r="K241" s="119" t="s">
        <v>110</v>
      </c>
      <c r="L241" s="119" t="s">
        <v>123</v>
      </c>
      <c r="M241" s="51" cm="1">
        <f t="array" ref="M241">IF(L241="",0,_xlfn.SWITCH(L241,"A1",495,"A2",495,"A3",495,"Custom",0,595))</f>
        <v>0</v>
      </c>
      <c r="N241" s="51" cm="1">
        <f t="array" ref="N241">IF(L241="",0,_xlfn.SWITCH(L241,"C1",325,"C2",325,"C3",325,"D1",380,"D2",380,"D3",380,"Custom",0,285))</f>
        <v>0</v>
      </c>
      <c r="O241" s="51">
        <f>IF(L241="",0,_xlfn.SWITCH(L241,"A1",375,"B1",375,"C1",375,"D1",375,"A2",310,"B2",310,"C2",310,"D2",310,"Custom",0,260))</f>
        <v>0</v>
      </c>
      <c r="P241" s="51">
        <f>IFERROR(IF(OR(M241=0,N241=0),0,(M241+N241)*2+11),0)</f>
        <v>0</v>
      </c>
      <c r="Q241" s="51">
        <f>IFERROR(IF(OR(N241=0,O241=0),0,(N241+O241)-16),0)</f>
        <v>0</v>
      </c>
      <c r="R241" s="53">
        <f>P241*Q241/1000000</f>
        <v>0</v>
      </c>
      <c r="S241" s="123">
        <f>IFERROR(VLOOKUP(L241,'[3]Carton Sizes Chart'!$A$4:$E$15,5,FALSE),0)</f>
        <v>0</v>
      </c>
      <c r="T241" s="124">
        <f>S241</f>
        <v>0</v>
      </c>
      <c r="U241" s="124">
        <f>I241*T241</f>
        <v>0</v>
      </c>
      <c r="V241" s="123">
        <f>((T241*I241)-W241)*4%</f>
        <v>0</v>
      </c>
      <c r="W241" s="124">
        <f>S241*I241*5%</f>
        <v>0</v>
      </c>
    </row>
    <row r="242" spans="1:23">
      <c r="A242" s="118"/>
      <c r="B242" s="118"/>
      <c r="C242" s="119"/>
      <c r="D242" s="118"/>
      <c r="E242" s="118"/>
      <c r="F242" s="118"/>
      <c r="G242" s="119"/>
      <c r="H242" s="119"/>
      <c r="I242" s="119"/>
      <c r="J242" s="119" t="s">
        <v>95</v>
      </c>
      <c r="K242" s="119" t="s">
        <v>110</v>
      </c>
      <c r="L242" s="119" t="s">
        <v>123</v>
      </c>
      <c r="M242" s="51" cm="1">
        <f t="array" ref="M242">IF(L242="",0,_xlfn.SWITCH(L242,"A1",495,"A2",495,"A3",495,"Custom",0,595))</f>
        <v>0</v>
      </c>
      <c r="N242" s="51" cm="1">
        <f t="array" ref="N242">IF(L242="",0,_xlfn.SWITCH(L242,"C1",325,"C2",325,"C3",325,"D1",380,"D2",380,"D3",380,"Custom",0,285))</f>
        <v>0</v>
      </c>
      <c r="O242" s="51">
        <f>IF(L242="",0,_xlfn.SWITCH(L242,"A1",375,"B1",375,"C1",375,"D1",375,"A2",310,"B2",310,"C2",310,"D2",310,"Custom",0,260))</f>
        <v>0</v>
      </c>
      <c r="P242" s="51">
        <f>IFERROR(IF(OR(M242=0,N242=0),0,(M242+N242)*2+11),0)</f>
        <v>0</v>
      </c>
      <c r="Q242" s="51">
        <f>IFERROR(IF(OR(N242=0,O242=0),0,(N242+O242)-16),0)</f>
        <v>0</v>
      </c>
      <c r="R242" s="53">
        <f>P242*Q242/1000000</f>
        <v>0</v>
      </c>
      <c r="S242" s="123">
        <f>IFERROR(VLOOKUP(L242,'[3]Carton Sizes Chart'!$A$4:$E$15,5,FALSE),0)</f>
        <v>0</v>
      </c>
      <c r="T242" s="124">
        <f>S242</f>
        <v>0</v>
      </c>
      <c r="U242" s="124">
        <f>I242*T242</f>
        <v>0</v>
      </c>
      <c r="V242" s="123">
        <f>((T242*I242)-W242)*4%</f>
        <v>0</v>
      </c>
      <c r="W242" s="124">
        <f>S242*I242*5%</f>
        <v>0</v>
      </c>
    </row>
    <row r="243" spans="1:23">
      <c r="A243" s="118"/>
      <c r="B243" s="118"/>
      <c r="C243" s="119"/>
      <c r="D243" s="118"/>
      <c r="E243" s="118"/>
      <c r="F243" s="118"/>
      <c r="G243" s="119"/>
      <c r="H243" s="119"/>
      <c r="I243" s="119"/>
      <c r="J243" s="119" t="s">
        <v>95</v>
      </c>
      <c r="K243" s="119" t="s">
        <v>110</v>
      </c>
      <c r="L243" s="119" t="s">
        <v>123</v>
      </c>
      <c r="M243" s="51" cm="1">
        <f t="array" ref="M243">IF(L243="",0,_xlfn.SWITCH(L243,"A1",495,"A2",495,"A3",495,"Custom",0,595))</f>
        <v>0</v>
      </c>
      <c r="N243" s="51" cm="1">
        <f t="array" ref="N243">IF(L243="",0,_xlfn.SWITCH(L243,"C1",325,"C2",325,"C3",325,"D1",380,"D2",380,"D3",380,"Custom",0,285))</f>
        <v>0</v>
      </c>
      <c r="O243" s="51">
        <f>IF(L243="",0,_xlfn.SWITCH(L243,"A1",375,"B1",375,"C1",375,"D1",375,"A2",310,"B2",310,"C2",310,"D2",310,"Custom",0,260))</f>
        <v>0</v>
      </c>
      <c r="P243" s="51">
        <f>IFERROR(IF(OR(M243=0,N243=0),0,(M243+N243)*2+11),0)</f>
        <v>0</v>
      </c>
      <c r="Q243" s="51">
        <f>IFERROR(IF(OR(N243=0,O243=0),0,(N243+O243)-16),0)</f>
        <v>0</v>
      </c>
      <c r="R243" s="53">
        <f>P243*Q243/1000000</f>
        <v>0</v>
      </c>
      <c r="S243" s="123">
        <f>IFERROR(VLOOKUP(L243,'[3]Carton Sizes Chart'!$A$4:$E$15,5,FALSE),0)</f>
        <v>0</v>
      </c>
      <c r="T243" s="124">
        <f>S243</f>
        <v>0</v>
      </c>
      <c r="U243" s="124">
        <f>I243*T243</f>
        <v>0</v>
      </c>
      <c r="V243" s="123">
        <f>((T243*I243)-W243)*4%</f>
        <v>0</v>
      </c>
      <c r="W243" s="124">
        <f>S243*I243*5%</f>
        <v>0</v>
      </c>
    </row>
    <row r="244" spans="1:23">
      <c r="A244" s="120"/>
      <c r="B244" s="120"/>
      <c r="C244" s="119"/>
      <c r="D244" s="118"/>
      <c r="E244" s="118"/>
      <c r="F244" s="118"/>
      <c r="G244" s="119"/>
      <c r="H244" s="119"/>
      <c r="I244" s="119"/>
      <c r="J244" s="119" t="s">
        <v>95</v>
      </c>
      <c r="K244" s="119" t="s">
        <v>110</v>
      </c>
      <c r="L244" s="119" t="s">
        <v>123</v>
      </c>
      <c r="M244" s="51" cm="1">
        <f t="array" ref="M244">IF(L244="",0,_xlfn.SWITCH(L244,"A1",495,"A2",495,"A3",495,"Custom",0,595))</f>
        <v>0</v>
      </c>
      <c r="N244" s="51" cm="1">
        <f t="array" ref="N244">IF(L244="",0,_xlfn.SWITCH(L244,"C1",325,"C2",325,"C3",325,"D1",380,"D2",380,"D3",380,"Custom",0,285))</f>
        <v>0</v>
      </c>
      <c r="O244" s="51">
        <f>IF(L244="",0,_xlfn.SWITCH(L244,"A1",375,"B1",375,"C1",375,"D1",375,"A2",310,"B2",310,"C2",310,"D2",310,"Custom",0,260))</f>
        <v>0</v>
      </c>
      <c r="P244" s="51">
        <f>IFERROR(IF(OR(M244=0,N244=0),0,(M244+N244)*2+11),0)</f>
        <v>0</v>
      </c>
      <c r="Q244" s="51">
        <f>IFERROR(IF(OR(N244=0,O244=0),0,(N244+O244)-16),0)</f>
        <v>0</v>
      </c>
      <c r="R244" s="53">
        <f>P244*Q244/1000000</f>
        <v>0</v>
      </c>
      <c r="S244" s="123">
        <f>IFERROR(VLOOKUP(L244,'[3]Carton Sizes Chart'!$A$4:$E$15,5,FALSE),0)</f>
        <v>0</v>
      </c>
      <c r="T244" s="124">
        <f>S244</f>
        <v>0</v>
      </c>
      <c r="U244" s="124">
        <f>I244*T244</f>
        <v>0</v>
      </c>
      <c r="V244" s="123">
        <f>((T244*I244)-W244)*4%</f>
        <v>0</v>
      </c>
      <c r="W244" s="124">
        <f>S244*I244*5%</f>
        <v>0</v>
      </c>
    </row>
    <row r="245" spans="1:23">
      <c r="A245" s="118"/>
      <c r="B245" s="118"/>
      <c r="C245" s="119"/>
      <c r="D245" s="118"/>
      <c r="E245" s="118"/>
      <c r="F245" s="118"/>
      <c r="G245" s="119"/>
      <c r="H245" s="119"/>
      <c r="I245" s="119"/>
      <c r="J245" s="119" t="s">
        <v>95</v>
      </c>
      <c r="K245" s="119" t="s">
        <v>110</v>
      </c>
      <c r="L245" s="119" t="s">
        <v>123</v>
      </c>
      <c r="M245" s="51" cm="1">
        <f t="array" ref="M245">IF(L245="",0,_xlfn.SWITCH(L245,"A1",495,"A2",495,"A3",495,"Custom",0,595))</f>
        <v>0</v>
      </c>
      <c r="N245" s="51" cm="1">
        <f t="array" ref="N245">IF(L245="",0,_xlfn.SWITCH(L245,"C1",325,"C2",325,"C3",325,"D1",380,"D2",380,"D3",380,"Custom",0,285))</f>
        <v>0</v>
      </c>
      <c r="O245" s="51">
        <f>IF(L245="",0,_xlfn.SWITCH(L245,"A1",375,"B1",375,"C1",375,"D1",375,"A2",310,"B2",310,"C2",310,"D2",310,"Custom",0,260))</f>
        <v>0</v>
      </c>
      <c r="P245" s="51">
        <f>IFERROR(IF(OR(M245=0,N245=0),0,(M245+N245)*2+11),0)</f>
        <v>0</v>
      </c>
      <c r="Q245" s="51">
        <f>IFERROR(IF(OR(N245=0,O245=0),0,(N245+O245)-16),0)</f>
        <v>0</v>
      </c>
      <c r="R245" s="53">
        <f>P245*Q245/1000000</f>
        <v>0</v>
      </c>
      <c r="S245" s="123">
        <f>IFERROR(VLOOKUP(L245,'[3]Carton Sizes Chart'!$A$4:$E$15,5,FALSE),0)</f>
        <v>0</v>
      </c>
      <c r="T245" s="124">
        <f>S245</f>
        <v>0</v>
      </c>
      <c r="U245" s="124">
        <f>I245*T245</f>
        <v>0</v>
      </c>
      <c r="V245" s="123">
        <f>((T245*I245)-W245)*4%</f>
        <v>0</v>
      </c>
      <c r="W245" s="124">
        <f>S245*I245*5%</f>
        <v>0</v>
      </c>
    </row>
    <row r="246" spans="1:23">
      <c r="A246" s="118"/>
      <c r="B246" s="118"/>
      <c r="C246" s="119"/>
      <c r="D246" s="118"/>
      <c r="E246" s="118"/>
      <c r="F246" s="118"/>
      <c r="G246" s="119"/>
      <c r="H246" s="119"/>
      <c r="I246" s="119"/>
      <c r="J246" s="119" t="s">
        <v>95</v>
      </c>
      <c r="K246" s="119" t="s">
        <v>110</v>
      </c>
      <c r="L246" s="119" t="s">
        <v>123</v>
      </c>
      <c r="M246" s="51" cm="1">
        <f t="array" ref="M246">IF(L246="",0,_xlfn.SWITCH(L246,"A1",495,"A2",495,"A3",495,"Custom",0,595))</f>
        <v>0</v>
      </c>
      <c r="N246" s="51" cm="1">
        <f t="array" ref="N246">IF(L246="",0,_xlfn.SWITCH(L246,"C1",325,"C2",325,"C3",325,"D1",380,"D2",380,"D3",380,"Custom",0,285))</f>
        <v>0</v>
      </c>
      <c r="O246" s="51">
        <f>IF(L246="",0,_xlfn.SWITCH(L246,"A1",375,"B1",375,"C1",375,"D1",375,"A2",310,"B2",310,"C2",310,"D2",310,"Custom",0,260))</f>
        <v>0</v>
      </c>
      <c r="P246" s="51">
        <f>IFERROR(IF(OR(M246=0,N246=0),0,(M246+N246)*2+11),0)</f>
        <v>0</v>
      </c>
      <c r="Q246" s="51">
        <f>IFERROR(IF(OR(N246=0,O246=0),0,(N246+O246)-16),0)</f>
        <v>0</v>
      </c>
      <c r="R246" s="53">
        <f>P246*Q246/1000000</f>
        <v>0</v>
      </c>
      <c r="S246" s="123">
        <f>IFERROR(VLOOKUP(L246,'[3]Carton Sizes Chart'!$A$4:$E$15,5,FALSE),0)</f>
        <v>0</v>
      </c>
      <c r="T246" s="124">
        <f>S246</f>
        <v>0</v>
      </c>
      <c r="U246" s="124">
        <f>I246*T246</f>
        <v>0</v>
      </c>
      <c r="V246" s="123">
        <f>((T246*I246)-W246)*4%</f>
        <v>0</v>
      </c>
      <c r="W246" s="124">
        <f>S246*I246*5%</f>
        <v>0</v>
      </c>
    </row>
    <row r="247" spans="1:23">
      <c r="A247" s="118"/>
      <c r="B247" s="118"/>
      <c r="C247" s="119"/>
      <c r="D247" s="118"/>
      <c r="E247" s="118"/>
      <c r="F247" s="118"/>
      <c r="G247" s="119"/>
      <c r="H247" s="119"/>
      <c r="I247" s="119"/>
      <c r="J247" s="119" t="s">
        <v>95</v>
      </c>
      <c r="K247" s="119" t="s">
        <v>110</v>
      </c>
      <c r="L247" s="119" t="s">
        <v>123</v>
      </c>
      <c r="M247" s="51" cm="1">
        <f t="array" ref="M247">IF(L247="",0,_xlfn.SWITCH(L247,"A1",495,"A2",495,"A3",495,"Custom",0,595))</f>
        <v>0</v>
      </c>
      <c r="N247" s="51" cm="1">
        <f t="array" ref="N247">IF(L247="",0,_xlfn.SWITCH(L247,"C1",325,"C2",325,"C3",325,"D1",380,"D2",380,"D3",380,"Custom",0,285))</f>
        <v>0</v>
      </c>
      <c r="O247" s="51">
        <f>IF(L247="",0,_xlfn.SWITCH(L247,"A1",375,"B1",375,"C1",375,"D1",375,"A2",310,"B2",310,"C2",310,"D2",310,"Custom",0,260))</f>
        <v>0</v>
      </c>
      <c r="P247" s="51">
        <f>IFERROR(IF(OR(M247=0,N247=0),0,(M247+N247)*2+11),0)</f>
        <v>0</v>
      </c>
      <c r="Q247" s="51">
        <f>IFERROR(IF(OR(N247=0,O247=0),0,(N247+O247)-16),0)</f>
        <v>0</v>
      </c>
      <c r="R247" s="53">
        <f>P247*Q247/1000000</f>
        <v>0</v>
      </c>
      <c r="S247" s="123">
        <f>IFERROR(VLOOKUP(L247,'[3]Carton Sizes Chart'!$A$4:$E$15,5,FALSE),0)</f>
        <v>0</v>
      </c>
      <c r="T247" s="124">
        <f>S247</f>
        <v>0</v>
      </c>
      <c r="U247" s="124">
        <f>I247*T247</f>
        <v>0</v>
      </c>
      <c r="V247" s="123">
        <f>((T247*I247)-W247)*4%</f>
        <v>0</v>
      </c>
      <c r="W247" s="124">
        <f>S247*I247*5%</f>
        <v>0</v>
      </c>
    </row>
    <row r="248" spans="1:23">
      <c r="A248" s="118"/>
      <c r="B248" s="118"/>
      <c r="C248" s="119"/>
      <c r="D248" s="118"/>
      <c r="E248" s="118"/>
      <c r="F248" s="118"/>
      <c r="G248" s="119"/>
      <c r="H248" s="119"/>
      <c r="I248" s="119"/>
      <c r="J248" s="119" t="s">
        <v>95</v>
      </c>
      <c r="K248" s="119" t="s">
        <v>110</v>
      </c>
      <c r="L248" s="119" t="s">
        <v>123</v>
      </c>
      <c r="M248" s="51" cm="1">
        <f t="array" ref="M248">IF(L248="",0,_xlfn.SWITCH(L248,"A1",495,"A2",495,"A3",495,"Custom",0,595))</f>
        <v>0</v>
      </c>
      <c r="N248" s="51" cm="1">
        <f t="array" ref="N248">IF(L248="",0,_xlfn.SWITCH(L248,"C1",325,"C2",325,"C3",325,"D1",380,"D2",380,"D3",380,"Custom",0,285))</f>
        <v>0</v>
      </c>
      <c r="O248" s="51">
        <f>IF(L248="",0,_xlfn.SWITCH(L248,"A1",375,"B1",375,"C1",375,"D1",375,"A2",310,"B2",310,"C2",310,"D2",310,"Custom",0,260))</f>
        <v>0</v>
      </c>
      <c r="P248" s="51">
        <f>IFERROR(IF(OR(M248=0,N248=0),0,(M248+N248)*2+11),0)</f>
        <v>0</v>
      </c>
      <c r="Q248" s="51">
        <f>IFERROR(IF(OR(N248=0,O248=0),0,(N248+O248)-16),0)</f>
        <v>0</v>
      </c>
      <c r="R248" s="53">
        <f>P248*Q248/1000000</f>
        <v>0</v>
      </c>
      <c r="S248" s="123">
        <f>IFERROR(VLOOKUP(L248,'[3]Carton Sizes Chart'!$A$4:$E$15,5,FALSE),0)</f>
        <v>0</v>
      </c>
      <c r="T248" s="124">
        <f>S248</f>
        <v>0</v>
      </c>
      <c r="U248" s="124">
        <f>I248*T248</f>
        <v>0</v>
      </c>
      <c r="V248" s="123">
        <f>((T248*I248)-W248)*4%</f>
        <v>0</v>
      </c>
      <c r="W248" s="124">
        <f>S248*I248*5%</f>
        <v>0</v>
      </c>
    </row>
    <row r="249" spans="1:23">
      <c r="A249" s="118"/>
      <c r="B249" s="118"/>
      <c r="C249" s="119"/>
      <c r="D249" s="118"/>
      <c r="E249" s="118"/>
      <c r="F249" s="118"/>
      <c r="G249" s="119"/>
      <c r="H249" s="121"/>
      <c r="I249" s="121"/>
      <c r="J249" s="119" t="s">
        <v>95</v>
      </c>
      <c r="K249" s="119" t="s">
        <v>110</v>
      </c>
      <c r="L249" s="119" t="s">
        <v>123</v>
      </c>
      <c r="M249" s="51" cm="1">
        <f t="array" ref="M249">IF(L249="",0,_xlfn.SWITCH(L249,"A1",495,"A2",495,"A3",495,"Custom",0,595))</f>
        <v>0</v>
      </c>
      <c r="N249" s="51" cm="1">
        <f t="array" ref="N249">IF(L249="",0,_xlfn.SWITCH(L249,"C1",325,"C2",325,"C3",325,"D1",380,"D2",380,"D3",380,"Custom",0,285))</f>
        <v>0</v>
      </c>
      <c r="O249" s="51">
        <f>IF(L249="",0,_xlfn.SWITCH(L249,"A1",375,"B1",375,"C1",375,"D1",375,"A2",310,"B2",310,"C2",310,"D2",310,"Custom",0,260))</f>
        <v>0</v>
      </c>
      <c r="P249" s="51">
        <f>IFERROR(IF(OR(M249=0,N249=0),0,(M249+N249)*2+11),0)</f>
        <v>0</v>
      </c>
      <c r="Q249" s="51">
        <f>IFERROR(IF(OR(N249=0,O249=0),0,(N249+O249)-16),0)</f>
        <v>0</v>
      </c>
      <c r="R249" s="53">
        <f>P249*Q249/1000000</f>
        <v>0</v>
      </c>
      <c r="S249" s="123">
        <f>IFERROR(VLOOKUP(L249,'[3]Carton Sizes Chart'!$A$4:$E$15,5,FALSE),0)</f>
        <v>0</v>
      </c>
      <c r="T249" s="124">
        <f>S249</f>
        <v>0</v>
      </c>
      <c r="U249" s="124">
        <f>I249*T249</f>
        <v>0</v>
      </c>
      <c r="V249" s="123">
        <f>((T249*I249)-W249)*4%</f>
        <v>0</v>
      </c>
      <c r="W249" s="124">
        <f>S249*I249*5%</f>
        <v>0</v>
      </c>
    </row>
    <row r="250" spans="1:23">
      <c r="A250" s="118"/>
      <c r="B250" s="118"/>
      <c r="C250" s="119"/>
      <c r="D250" s="118"/>
      <c r="E250" s="118"/>
      <c r="F250" s="118"/>
      <c r="G250" s="119"/>
      <c r="H250" s="121"/>
      <c r="I250" s="121"/>
      <c r="J250" s="119" t="s">
        <v>95</v>
      </c>
      <c r="K250" s="119" t="s">
        <v>110</v>
      </c>
      <c r="L250" s="119" t="s">
        <v>123</v>
      </c>
      <c r="M250" s="51" cm="1">
        <f t="array" ref="M250">IF(L250="",0,_xlfn.SWITCH(L250,"A1",495,"A2",495,"A3",495,"Custom",0,595))</f>
        <v>0</v>
      </c>
      <c r="N250" s="51" cm="1">
        <f t="array" ref="N250">IF(L250="",0,_xlfn.SWITCH(L250,"C1",325,"C2",325,"C3",325,"D1",380,"D2",380,"D3",380,"Custom",0,285))</f>
        <v>0</v>
      </c>
      <c r="O250" s="51">
        <f>IF(L250="",0,_xlfn.SWITCH(L250,"A1",375,"B1",375,"C1",375,"D1",375,"A2",310,"B2",310,"C2",310,"D2",310,"Custom",0,260))</f>
        <v>0</v>
      </c>
      <c r="P250" s="51">
        <f>IFERROR(IF(OR(M250=0,N250=0),0,(M250+N250)*2+11),0)</f>
        <v>0</v>
      </c>
      <c r="Q250" s="51">
        <f>IFERROR(IF(OR(N250=0,O250=0),0,(N250+O250)-16),0)</f>
        <v>0</v>
      </c>
      <c r="R250" s="53">
        <f>P250*Q250/1000000</f>
        <v>0</v>
      </c>
      <c r="S250" s="123">
        <f>IFERROR(VLOOKUP(L250,'[3]Carton Sizes Chart'!$A$4:$E$15,5,FALSE),0)</f>
        <v>0</v>
      </c>
      <c r="T250" s="124">
        <f>S250</f>
        <v>0</v>
      </c>
      <c r="U250" s="124">
        <f>I250*T250</f>
        <v>0</v>
      </c>
      <c r="V250" s="123">
        <f>((T250*I250)-W250)*4%</f>
        <v>0</v>
      </c>
      <c r="W250" s="124">
        <f>S250*I250*5%</f>
        <v>0</v>
      </c>
    </row>
    <row r="251" spans="1:23">
      <c r="A251" s="118"/>
      <c r="B251" s="118"/>
      <c r="C251" s="119"/>
      <c r="D251" s="118"/>
      <c r="E251" s="118"/>
      <c r="F251" s="118"/>
      <c r="G251" s="119"/>
      <c r="H251" s="119"/>
      <c r="I251" s="119"/>
      <c r="J251" s="119" t="s">
        <v>95</v>
      </c>
      <c r="K251" s="119" t="s">
        <v>110</v>
      </c>
      <c r="L251" s="119" t="s">
        <v>123</v>
      </c>
      <c r="M251" s="51" cm="1">
        <f t="array" ref="M251">IF(L251="",0,_xlfn.SWITCH(L251,"A1",495,"A2",495,"A3",495,"Custom",0,595))</f>
        <v>0</v>
      </c>
      <c r="N251" s="51" cm="1">
        <f t="array" ref="N251">IF(L251="",0,_xlfn.SWITCH(L251,"C1",325,"C2",325,"C3",325,"D1",380,"D2",380,"D3",380,"Custom",0,285))</f>
        <v>0</v>
      </c>
      <c r="O251" s="51">
        <f>IF(L251="",0,_xlfn.SWITCH(L251,"A1",375,"B1",375,"C1",375,"D1",375,"A2",310,"B2",310,"C2",310,"D2",310,"Custom",0,260))</f>
        <v>0</v>
      </c>
      <c r="P251" s="51">
        <f>IFERROR(IF(OR(M251=0,N251=0),0,(M251+N251)*2+11),0)</f>
        <v>0</v>
      </c>
      <c r="Q251" s="51">
        <f>IFERROR(IF(OR(N251=0,O251=0),0,(N251+O251)-16),0)</f>
        <v>0</v>
      </c>
      <c r="R251" s="53">
        <f>P251*Q251/1000000</f>
        <v>0</v>
      </c>
      <c r="S251" s="123">
        <f>IFERROR(VLOOKUP(L251,'[3]Carton Sizes Chart'!$A$4:$E$15,5,FALSE),0)</f>
        <v>0</v>
      </c>
      <c r="T251" s="124">
        <f>S251</f>
        <v>0</v>
      </c>
      <c r="U251" s="124">
        <f>I251*T251</f>
        <v>0</v>
      </c>
      <c r="V251" s="123">
        <f>((T251*I251)-W251)*4%</f>
        <v>0</v>
      </c>
      <c r="W251" s="124">
        <f>S251*I251*5%</f>
        <v>0</v>
      </c>
    </row>
    <row r="252" spans="1:23">
      <c r="A252" s="118"/>
      <c r="B252" s="118"/>
      <c r="C252" s="119"/>
      <c r="D252" s="118"/>
      <c r="E252" s="118"/>
      <c r="F252" s="118"/>
      <c r="G252" s="119"/>
      <c r="H252" s="119"/>
      <c r="I252" s="119"/>
      <c r="J252" s="119" t="s">
        <v>95</v>
      </c>
      <c r="K252" s="119" t="s">
        <v>110</v>
      </c>
      <c r="L252" s="119" t="s">
        <v>123</v>
      </c>
      <c r="M252" s="51" cm="1">
        <f t="array" ref="M252">IF(L252="",0,_xlfn.SWITCH(L252,"A1",495,"A2",495,"A3",495,"Custom",0,595))</f>
        <v>0</v>
      </c>
      <c r="N252" s="51" cm="1">
        <f t="array" ref="N252">IF(L252="",0,_xlfn.SWITCH(L252,"C1",325,"C2",325,"C3",325,"D1",380,"D2",380,"D3",380,"Custom",0,285))</f>
        <v>0</v>
      </c>
      <c r="O252" s="51">
        <f>IF(L252="",0,_xlfn.SWITCH(L252,"A1",375,"B1",375,"C1",375,"D1",375,"A2",310,"B2",310,"C2",310,"D2",310,"Custom",0,260))</f>
        <v>0</v>
      </c>
      <c r="P252" s="51">
        <f>IFERROR(IF(OR(M252=0,N252=0),0,(M252+N252)*2+11),0)</f>
        <v>0</v>
      </c>
      <c r="Q252" s="51">
        <f>IFERROR(IF(OR(N252=0,O252=0),0,(N252+O252)-16),0)</f>
        <v>0</v>
      </c>
      <c r="R252" s="53">
        <f>P252*Q252/1000000</f>
        <v>0</v>
      </c>
      <c r="S252" s="123">
        <f>IFERROR(VLOOKUP(L252,'[3]Carton Sizes Chart'!$A$4:$E$15,5,FALSE),0)</f>
        <v>0</v>
      </c>
      <c r="T252" s="124">
        <f>S252</f>
        <v>0</v>
      </c>
      <c r="U252" s="124">
        <f>I252*T252</f>
        <v>0</v>
      </c>
      <c r="V252" s="123">
        <f>((T252*I252)-W252)*4%</f>
        <v>0</v>
      </c>
      <c r="W252" s="124">
        <f>S252*I252*5%</f>
        <v>0</v>
      </c>
    </row>
    <row r="253" spans="1:23">
      <c r="A253" s="120"/>
      <c r="B253" s="120"/>
      <c r="C253" s="119"/>
      <c r="D253" s="118"/>
      <c r="E253" s="118"/>
      <c r="F253" s="118"/>
      <c r="G253" s="119"/>
      <c r="H253" s="119"/>
      <c r="I253" s="119"/>
      <c r="J253" s="119" t="s">
        <v>95</v>
      </c>
      <c r="K253" s="119" t="s">
        <v>110</v>
      </c>
      <c r="L253" s="119" t="s">
        <v>123</v>
      </c>
      <c r="M253" s="51" cm="1">
        <f t="array" ref="M253">IF(L253="",0,_xlfn.SWITCH(L253,"A1",495,"A2",495,"A3",495,"Custom",0,595))</f>
        <v>0</v>
      </c>
      <c r="N253" s="51" cm="1">
        <f t="array" ref="N253">IF(L253="",0,_xlfn.SWITCH(L253,"C1",325,"C2",325,"C3",325,"D1",380,"D2",380,"D3",380,"Custom",0,285))</f>
        <v>0</v>
      </c>
      <c r="O253" s="51">
        <f>IF(L253="",0,_xlfn.SWITCH(L253,"A1",375,"B1",375,"C1",375,"D1",375,"A2",310,"B2",310,"C2",310,"D2",310,"Custom",0,260))</f>
        <v>0</v>
      </c>
      <c r="P253" s="51">
        <f>IFERROR(IF(OR(M253=0,N253=0),0,(M253+N253)*2+11),0)</f>
        <v>0</v>
      </c>
      <c r="Q253" s="51">
        <f>IFERROR(IF(OR(N253=0,O253=0),0,(N253+O253)-16),0)</f>
        <v>0</v>
      </c>
      <c r="R253" s="53">
        <f>P253*Q253/1000000</f>
        <v>0</v>
      </c>
      <c r="S253" s="123">
        <f>IFERROR(VLOOKUP(L253,'[3]Carton Sizes Chart'!$A$4:$E$15,5,FALSE),0)</f>
        <v>0</v>
      </c>
      <c r="T253" s="124">
        <f>S253</f>
        <v>0</v>
      </c>
      <c r="U253" s="124">
        <f>I253*T253</f>
        <v>0</v>
      </c>
      <c r="V253" s="123">
        <f>((T253*I253)-W253)*4%</f>
        <v>0</v>
      </c>
      <c r="W253" s="124">
        <f>S253*I253*5%</f>
        <v>0</v>
      </c>
    </row>
    <row r="254" spans="1:23">
      <c r="A254" s="118"/>
      <c r="B254" s="118"/>
      <c r="C254" s="119"/>
      <c r="D254" s="118"/>
      <c r="E254" s="118"/>
      <c r="F254" s="118"/>
      <c r="G254" s="119"/>
      <c r="H254" s="119"/>
      <c r="I254" s="119"/>
      <c r="J254" s="119" t="s">
        <v>95</v>
      </c>
      <c r="K254" s="119" t="s">
        <v>110</v>
      </c>
      <c r="L254" s="119" t="s">
        <v>123</v>
      </c>
      <c r="M254" s="51" cm="1">
        <f t="array" ref="M254">IF(L254="",0,_xlfn.SWITCH(L254,"A1",495,"A2",495,"A3",495,"Custom",0,595))</f>
        <v>0</v>
      </c>
      <c r="N254" s="51" cm="1">
        <f t="array" ref="N254">IF(L254="",0,_xlfn.SWITCH(L254,"C1",325,"C2",325,"C3",325,"D1",380,"D2",380,"D3",380,"Custom",0,285))</f>
        <v>0</v>
      </c>
      <c r="O254" s="51">
        <f>IF(L254="",0,_xlfn.SWITCH(L254,"A1",375,"B1",375,"C1",375,"D1",375,"A2",310,"B2",310,"C2",310,"D2",310,"Custom",0,260))</f>
        <v>0</v>
      </c>
      <c r="P254" s="51">
        <f>IFERROR(IF(OR(M254=0,N254=0),0,(M254+N254)*2+11),0)</f>
        <v>0</v>
      </c>
      <c r="Q254" s="51">
        <f>IFERROR(IF(OR(N254=0,O254=0),0,(N254+O254)-16),0)</f>
        <v>0</v>
      </c>
      <c r="R254" s="53">
        <f>P254*Q254/1000000</f>
        <v>0</v>
      </c>
      <c r="S254" s="123">
        <f>IFERROR(VLOOKUP(L254,'[3]Carton Sizes Chart'!$A$4:$E$15,5,FALSE),0)</f>
        <v>0</v>
      </c>
      <c r="T254" s="124">
        <f>S254</f>
        <v>0</v>
      </c>
      <c r="U254" s="124">
        <f>I254*T254</f>
        <v>0</v>
      </c>
      <c r="V254" s="123">
        <f>((T254*I254)-W254)*4%</f>
        <v>0</v>
      </c>
      <c r="W254" s="124">
        <f>S254*I254*5%</f>
        <v>0</v>
      </c>
    </row>
    <row r="255" spans="1:23">
      <c r="A255" s="118"/>
      <c r="B255" s="118"/>
      <c r="C255" s="119"/>
      <c r="D255" s="118"/>
      <c r="E255" s="118"/>
      <c r="F255" s="118"/>
      <c r="G255" s="119"/>
      <c r="H255" s="119"/>
      <c r="I255" s="119"/>
      <c r="J255" s="119" t="s">
        <v>95</v>
      </c>
      <c r="K255" s="119" t="s">
        <v>110</v>
      </c>
      <c r="L255" s="119" t="s">
        <v>123</v>
      </c>
      <c r="M255" s="51" cm="1">
        <f t="array" ref="M255">IF(L255="",0,_xlfn.SWITCH(L255,"A1",495,"A2",495,"A3",495,"Custom",0,595))</f>
        <v>0</v>
      </c>
      <c r="N255" s="51" cm="1">
        <f t="array" ref="N255">IF(L255="",0,_xlfn.SWITCH(L255,"C1",325,"C2",325,"C3",325,"D1",380,"D2",380,"D3",380,"Custom",0,285))</f>
        <v>0</v>
      </c>
      <c r="O255" s="51">
        <f>IF(L255="",0,_xlfn.SWITCH(L255,"A1",375,"B1",375,"C1",375,"D1",375,"A2",310,"B2",310,"C2",310,"D2",310,"Custom",0,260))</f>
        <v>0</v>
      </c>
      <c r="P255" s="51">
        <f>IFERROR(IF(OR(M255=0,N255=0),0,(M255+N255)*2+11),0)</f>
        <v>0</v>
      </c>
      <c r="Q255" s="51">
        <f>IFERROR(IF(OR(N255=0,O255=0),0,(N255+O255)-16),0)</f>
        <v>0</v>
      </c>
      <c r="R255" s="53">
        <f>P255*Q255/1000000</f>
        <v>0</v>
      </c>
      <c r="S255" s="123">
        <f>IFERROR(VLOOKUP(L255,'[3]Carton Sizes Chart'!$A$4:$E$15,5,FALSE),0)</f>
        <v>0</v>
      </c>
      <c r="T255" s="124">
        <f>S255</f>
        <v>0</v>
      </c>
      <c r="U255" s="124">
        <f>I255*T255</f>
        <v>0</v>
      </c>
      <c r="V255" s="123">
        <f>((T255*I255)-W255)*4%</f>
        <v>0</v>
      </c>
      <c r="W255" s="124">
        <f>S255*I255*5%</f>
        <v>0</v>
      </c>
    </row>
    <row r="256" spans="1:23">
      <c r="A256" s="118"/>
      <c r="B256" s="118"/>
      <c r="C256" s="119"/>
      <c r="D256" s="118"/>
      <c r="E256" s="118"/>
      <c r="F256" s="118"/>
      <c r="G256" s="119"/>
      <c r="H256" s="119"/>
      <c r="I256" s="119"/>
      <c r="J256" s="119" t="s">
        <v>95</v>
      </c>
      <c r="K256" s="119" t="s">
        <v>110</v>
      </c>
      <c r="L256" s="119" t="s">
        <v>123</v>
      </c>
      <c r="M256" s="51" cm="1">
        <f t="array" ref="M256">IF(L256="",0,_xlfn.SWITCH(L256,"A1",495,"A2",495,"A3",495,"Custom",0,595))</f>
        <v>0</v>
      </c>
      <c r="N256" s="51" cm="1">
        <f t="array" ref="N256">IF(L256="",0,_xlfn.SWITCH(L256,"C1",325,"C2",325,"C3",325,"D1",380,"D2",380,"D3",380,"Custom",0,285))</f>
        <v>0</v>
      </c>
      <c r="O256" s="51">
        <f>IF(L256="",0,_xlfn.SWITCH(L256,"A1",375,"B1",375,"C1",375,"D1",375,"A2",310,"B2",310,"C2",310,"D2",310,"Custom",0,260))</f>
        <v>0</v>
      </c>
      <c r="P256" s="51">
        <f>IFERROR(IF(OR(M256=0,N256=0),0,(M256+N256)*2+11),0)</f>
        <v>0</v>
      </c>
      <c r="Q256" s="51">
        <f>IFERROR(IF(OR(N256=0,O256=0),0,(N256+O256)-16),0)</f>
        <v>0</v>
      </c>
      <c r="R256" s="53">
        <f>P256*Q256/1000000</f>
        <v>0</v>
      </c>
      <c r="S256" s="123">
        <f>IFERROR(VLOOKUP(L256,'[3]Carton Sizes Chart'!$A$4:$E$15,5,FALSE),0)</f>
        <v>0</v>
      </c>
      <c r="T256" s="124">
        <f>S256</f>
        <v>0</v>
      </c>
      <c r="U256" s="124">
        <f>I256*T256</f>
        <v>0</v>
      </c>
      <c r="V256" s="123">
        <f>((T256*I256)-W256)*4%</f>
        <v>0</v>
      </c>
      <c r="W256" s="124">
        <f>S256*I256*5%</f>
        <v>0</v>
      </c>
    </row>
    <row r="257" spans="1:23">
      <c r="A257" s="118"/>
      <c r="B257" s="118"/>
      <c r="C257" s="119"/>
      <c r="D257" s="118"/>
      <c r="E257" s="118"/>
      <c r="F257" s="118"/>
      <c r="G257" s="119"/>
      <c r="H257" s="119"/>
      <c r="I257" s="119"/>
      <c r="J257" s="119" t="s">
        <v>95</v>
      </c>
      <c r="K257" s="119" t="s">
        <v>110</v>
      </c>
      <c r="L257" s="119" t="s">
        <v>123</v>
      </c>
      <c r="M257" s="51" cm="1">
        <f t="array" ref="M257">IF(L257="",0,_xlfn.SWITCH(L257,"A1",495,"A2",495,"A3",495,"Custom",0,595))</f>
        <v>0</v>
      </c>
      <c r="N257" s="51" cm="1">
        <f t="array" ref="N257">IF(L257="",0,_xlfn.SWITCH(L257,"C1",325,"C2",325,"C3",325,"D1",380,"D2",380,"D3",380,"Custom",0,285))</f>
        <v>0</v>
      </c>
      <c r="O257" s="51">
        <f>IF(L257="",0,_xlfn.SWITCH(L257,"A1",375,"B1",375,"C1",375,"D1",375,"A2",310,"B2",310,"C2",310,"D2",310,"Custom",0,260))</f>
        <v>0</v>
      </c>
      <c r="P257" s="51">
        <f>IFERROR(IF(OR(M257=0,N257=0),0,(M257+N257)*2+11),0)</f>
        <v>0</v>
      </c>
      <c r="Q257" s="51">
        <f>IFERROR(IF(OR(N257=0,O257=0),0,(N257+O257)-16),0)</f>
        <v>0</v>
      </c>
      <c r="R257" s="53">
        <f>P257*Q257/1000000</f>
        <v>0</v>
      </c>
      <c r="S257" s="123">
        <f>IFERROR(VLOOKUP(L257,'[3]Carton Sizes Chart'!$A$4:$E$15,5,FALSE),0)</f>
        <v>0</v>
      </c>
      <c r="T257" s="124">
        <f>S257</f>
        <v>0</v>
      </c>
      <c r="U257" s="124">
        <f>I257*T257</f>
        <v>0</v>
      </c>
      <c r="V257" s="123">
        <f>((T257*I257)-W257)*4%</f>
        <v>0</v>
      </c>
      <c r="W257" s="124">
        <f>S257*I257*5%</f>
        <v>0</v>
      </c>
    </row>
    <row r="258" spans="1:23">
      <c r="A258" s="118"/>
      <c r="B258" s="118"/>
      <c r="C258" s="119"/>
      <c r="D258" s="118"/>
      <c r="E258" s="118"/>
      <c r="F258" s="118"/>
      <c r="G258" s="119"/>
      <c r="H258" s="119"/>
      <c r="I258" s="119"/>
      <c r="J258" s="119" t="s">
        <v>95</v>
      </c>
      <c r="K258" s="119" t="s">
        <v>110</v>
      </c>
      <c r="L258" s="119" t="s">
        <v>123</v>
      </c>
      <c r="M258" s="51" cm="1">
        <f t="array" ref="M258">IF(L258="",0,_xlfn.SWITCH(L258,"A1",495,"A2",495,"A3",495,"Custom",0,595))</f>
        <v>0</v>
      </c>
      <c r="N258" s="51" cm="1">
        <f t="array" ref="N258">IF(L258="",0,_xlfn.SWITCH(L258,"C1",325,"C2",325,"C3",325,"D1",380,"D2",380,"D3",380,"Custom",0,285))</f>
        <v>0</v>
      </c>
      <c r="O258" s="51">
        <f>IF(L258="",0,_xlfn.SWITCH(L258,"A1",375,"B1",375,"C1",375,"D1",375,"A2",310,"B2",310,"C2",310,"D2",310,"Custom",0,260))</f>
        <v>0</v>
      </c>
      <c r="P258" s="51">
        <f>IFERROR(IF(OR(M258=0,N258=0),0,(M258+N258)*2+11),0)</f>
        <v>0</v>
      </c>
      <c r="Q258" s="51">
        <f>IFERROR(IF(OR(N258=0,O258=0),0,(N258+O258)-16),0)</f>
        <v>0</v>
      </c>
      <c r="R258" s="53">
        <f>P258*Q258/1000000</f>
        <v>0</v>
      </c>
      <c r="S258" s="123">
        <f>IFERROR(VLOOKUP(L258,'[3]Carton Sizes Chart'!$A$4:$E$15,5,FALSE),0)</f>
        <v>0</v>
      </c>
      <c r="T258" s="124">
        <f>S258</f>
        <v>0</v>
      </c>
      <c r="U258" s="124">
        <f>I258*T258</f>
        <v>0</v>
      </c>
      <c r="V258" s="123">
        <f>((T258*I258)-W258)*4%</f>
        <v>0</v>
      </c>
      <c r="W258" s="124">
        <f>S258*I258*5%</f>
        <v>0</v>
      </c>
    </row>
    <row r="259" spans="1:23">
      <c r="A259" s="118"/>
      <c r="B259" s="118"/>
      <c r="C259" s="119"/>
      <c r="D259" s="118"/>
      <c r="E259" s="118"/>
      <c r="F259" s="118"/>
      <c r="G259" s="119"/>
      <c r="H259" s="119"/>
      <c r="I259" s="119"/>
      <c r="J259" s="119" t="s">
        <v>95</v>
      </c>
      <c r="K259" s="119" t="s">
        <v>110</v>
      </c>
      <c r="L259" s="119" t="s">
        <v>123</v>
      </c>
      <c r="M259" s="51" cm="1">
        <f t="array" ref="M259">IF(L259="",0,_xlfn.SWITCH(L259,"A1",495,"A2",495,"A3",495,"Custom",0,595))</f>
        <v>0</v>
      </c>
      <c r="N259" s="51" cm="1">
        <f t="array" ref="N259">IF(L259="",0,_xlfn.SWITCH(L259,"C1",325,"C2",325,"C3",325,"D1",380,"D2",380,"D3",380,"Custom",0,285))</f>
        <v>0</v>
      </c>
      <c r="O259" s="51">
        <f>IF(L259="",0,_xlfn.SWITCH(L259,"A1",375,"B1",375,"C1",375,"D1",375,"A2",310,"B2",310,"C2",310,"D2",310,"Custom",0,260))</f>
        <v>0</v>
      </c>
      <c r="P259" s="51">
        <f>IFERROR(IF(OR(M259=0,N259=0),0,(M259+N259)*2+11),0)</f>
        <v>0</v>
      </c>
      <c r="Q259" s="51">
        <f>IFERROR(IF(OR(N259=0,O259=0),0,(N259+O259)-16),0)</f>
        <v>0</v>
      </c>
      <c r="R259" s="53">
        <f>P259*Q259/1000000</f>
        <v>0</v>
      </c>
      <c r="S259" s="123">
        <f>IFERROR(VLOOKUP(L259,'[3]Carton Sizes Chart'!$A$4:$E$15,5,FALSE),0)</f>
        <v>0</v>
      </c>
      <c r="T259" s="124">
        <f>S259</f>
        <v>0</v>
      </c>
      <c r="U259" s="124">
        <f>I259*T259</f>
        <v>0</v>
      </c>
      <c r="V259" s="123">
        <f>((T259*I259)-W259)*4%</f>
        <v>0</v>
      </c>
      <c r="W259" s="124">
        <f>S259*I259*5%</f>
        <v>0</v>
      </c>
    </row>
    <row r="260" spans="1:23">
      <c r="A260" s="118"/>
      <c r="B260" s="118"/>
      <c r="C260" s="119"/>
      <c r="D260" s="118"/>
      <c r="E260" s="118"/>
      <c r="F260" s="118"/>
      <c r="G260" s="119"/>
      <c r="H260" s="119"/>
      <c r="I260" s="119"/>
      <c r="J260" s="119" t="s">
        <v>95</v>
      </c>
      <c r="K260" s="119" t="s">
        <v>110</v>
      </c>
      <c r="L260" s="119" t="s">
        <v>123</v>
      </c>
      <c r="M260" s="51" cm="1">
        <f t="array" ref="M260">IF(L260="",0,_xlfn.SWITCH(L260,"A1",495,"A2",495,"A3",495,"Custom",0,595))</f>
        <v>0</v>
      </c>
      <c r="N260" s="51" cm="1">
        <f t="array" ref="N260">IF(L260="",0,_xlfn.SWITCH(L260,"C1",325,"C2",325,"C3",325,"D1",380,"D2",380,"D3",380,"Custom",0,285))</f>
        <v>0</v>
      </c>
      <c r="O260" s="51">
        <f>IF(L260="",0,_xlfn.SWITCH(L260,"A1",375,"B1",375,"C1",375,"D1",375,"A2",310,"B2",310,"C2",310,"D2",310,"Custom",0,260))</f>
        <v>0</v>
      </c>
      <c r="P260" s="51">
        <f>IFERROR(IF(OR(M260=0,N260=0),0,(M260+N260)*2+11),0)</f>
        <v>0</v>
      </c>
      <c r="Q260" s="51">
        <f>IFERROR(IF(OR(N260=0,O260=0),0,(N260+O260)-16),0)</f>
        <v>0</v>
      </c>
      <c r="R260" s="53">
        <f>P260*Q260/1000000</f>
        <v>0</v>
      </c>
      <c r="S260" s="123">
        <f>IFERROR(VLOOKUP(L260,'[3]Carton Sizes Chart'!$A$4:$E$15,5,FALSE),0)</f>
        <v>0</v>
      </c>
      <c r="T260" s="124">
        <f>S260</f>
        <v>0</v>
      </c>
      <c r="U260" s="124">
        <f>I260*T260</f>
        <v>0</v>
      </c>
      <c r="V260" s="123">
        <f>((T260*I260)-W260)*4%</f>
        <v>0</v>
      </c>
      <c r="W260" s="124">
        <f>S260*I260*5%</f>
        <v>0</v>
      </c>
    </row>
    <row r="261" spans="1:23">
      <c r="A261" s="118"/>
      <c r="B261" s="118"/>
      <c r="C261" s="119"/>
      <c r="D261" s="118"/>
      <c r="E261" s="118"/>
      <c r="F261" s="118"/>
      <c r="G261" s="119"/>
      <c r="H261" s="119"/>
      <c r="I261" s="119"/>
      <c r="J261" s="119" t="s">
        <v>95</v>
      </c>
      <c r="K261" s="119" t="s">
        <v>110</v>
      </c>
      <c r="L261" s="119" t="s">
        <v>123</v>
      </c>
      <c r="M261" s="51" cm="1">
        <f t="array" ref="M261">IF(L261="",0,_xlfn.SWITCH(L261,"A1",495,"A2",495,"A3",495,"Custom",0,595))</f>
        <v>0</v>
      </c>
      <c r="N261" s="51" cm="1">
        <f t="array" ref="N261">IF(L261="",0,_xlfn.SWITCH(L261,"C1",325,"C2",325,"C3",325,"D1",380,"D2",380,"D3",380,"Custom",0,285))</f>
        <v>0</v>
      </c>
      <c r="O261" s="51">
        <f>IF(L261="",0,_xlfn.SWITCH(L261,"A1",375,"B1",375,"C1",375,"D1",375,"A2",310,"B2",310,"C2",310,"D2",310,"Custom",0,260))</f>
        <v>0</v>
      </c>
      <c r="P261" s="51">
        <f>IFERROR(IF(OR(M261=0,N261=0),0,(M261+N261)*2+11),0)</f>
        <v>0</v>
      </c>
      <c r="Q261" s="51">
        <f>IFERROR(IF(OR(N261=0,O261=0),0,(N261+O261)-16),0)</f>
        <v>0</v>
      </c>
      <c r="R261" s="53">
        <f>P261*Q261/1000000</f>
        <v>0</v>
      </c>
      <c r="S261" s="123">
        <f>IFERROR(VLOOKUP(L261,'[3]Carton Sizes Chart'!$A$4:$E$15,5,FALSE),0)</f>
        <v>0</v>
      </c>
      <c r="T261" s="124">
        <f>S261</f>
        <v>0</v>
      </c>
      <c r="U261" s="124">
        <f>I261*T261</f>
        <v>0</v>
      </c>
      <c r="V261" s="123">
        <f>((T261*I261)-W261)*4%</f>
        <v>0</v>
      </c>
      <c r="W261" s="124">
        <f>S261*I261*5%</f>
        <v>0</v>
      </c>
    </row>
    <row r="262" spans="1:23">
      <c r="A262" s="118"/>
      <c r="B262" s="118"/>
      <c r="C262" s="119"/>
      <c r="D262" s="118"/>
      <c r="E262" s="118"/>
      <c r="F262" s="118"/>
      <c r="G262" s="119"/>
      <c r="H262" s="119"/>
      <c r="I262" s="119"/>
      <c r="J262" s="119" t="s">
        <v>95</v>
      </c>
      <c r="K262" s="119" t="s">
        <v>110</v>
      </c>
      <c r="L262" s="119" t="s">
        <v>123</v>
      </c>
      <c r="M262" s="51" cm="1">
        <f t="array" ref="M262">IF(L262="",0,_xlfn.SWITCH(L262,"A1",495,"A2",495,"A3",495,"Custom",0,595))</f>
        <v>0</v>
      </c>
      <c r="N262" s="51" cm="1">
        <f t="array" ref="N262">IF(L262="",0,_xlfn.SWITCH(L262,"C1",325,"C2",325,"C3",325,"D1",380,"D2",380,"D3",380,"Custom",0,285))</f>
        <v>0</v>
      </c>
      <c r="O262" s="51">
        <f>IF(L262="",0,_xlfn.SWITCH(L262,"A1",375,"B1",375,"C1",375,"D1",375,"A2",310,"B2",310,"C2",310,"D2",310,"Custom",0,260))</f>
        <v>0</v>
      </c>
      <c r="P262" s="51">
        <f>IFERROR(IF(OR(M262=0,N262=0),0,(M262+N262)*2+11),0)</f>
        <v>0</v>
      </c>
      <c r="Q262" s="51">
        <f>IFERROR(IF(OR(N262=0,O262=0),0,(N262+O262)-16),0)</f>
        <v>0</v>
      </c>
      <c r="R262" s="53">
        <f>P262*Q262/1000000</f>
        <v>0</v>
      </c>
      <c r="S262" s="123">
        <f>IFERROR(VLOOKUP(L262,'[3]Carton Sizes Chart'!$A$4:$E$15,5,FALSE),0)</f>
        <v>0</v>
      </c>
      <c r="T262" s="124">
        <f>S262</f>
        <v>0</v>
      </c>
      <c r="U262" s="124">
        <f>I262*T262</f>
        <v>0</v>
      </c>
      <c r="V262" s="123">
        <f>((T262*I262)-W262)*4%</f>
        <v>0</v>
      </c>
      <c r="W262" s="124">
        <f>S262*I262*5%</f>
        <v>0</v>
      </c>
    </row>
    <row r="263" spans="1:23">
      <c r="A263" s="118"/>
      <c r="B263" s="118"/>
      <c r="C263" s="119"/>
      <c r="D263" s="118"/>
      <c r="E263" s="118"/>
      <c r="F263" s="118"/>
      <c r="G263" s="119"/>
      <c r="H263" s="119"/>
      <c r="I263" s="119"/>
      <c r="J263" s="119" t="s">
        <v>95</v>
      </c>
      <c r="K263" s="119" t="s">
        <v>110</v>
      </c>
      <c r="L263" s="119" t="s">
        <v>123</v>
      </c>
      <c r="M263" s="51" cm="1">
        <f t="array" ref="M263">IF(L263="",0,_xlfn.SWITCH(L263,"A1",495,"A2",495,"A3",495,"Custom",0,595))</f>
        <v>0</v>
      </c>
      <c r="N263" s="51" cm="1">
        <f t="array" ref="N263">IF(L263="",0,_xlfn.SWITCH(L263,"C1",325,"C2",325,"C3",325,"D1",380,"D2",380,"D3",380,"Custom",0,285))</f>
        <v>0</v>
      </c>
      <c r="O263" s="51">
        <f>IF(L263="",0,_xlfn.SWITCH(L263,"A1",375,"B1",375,"C1",375,"D1",375,"A2",310,"B2",310,"C2",310,"D2",310,"Custom",0,260))</f>
        <v>0</v>
      </c>
      <c r="P263" s="51">
        <f>IFERROR(IF(OR(M263=0,N263=0),0,(M263+N263)*2+11),0)</f>
        <v>0</v>
      </c>
      <c r="Q263" s="51">
        <f>IFERROR(IF(OR(N263=0,O263=0),0,(N263+O263)-16),0)</f>
        <v>0</v>
      </c>
      <c r="R263" s="53">
        <f>P263*Q263/1000000</f>
        <v>0</v>
      </c>
      <c r="S263" s="123">
        <f>IFERROR(VLOOKUP(L263,'[3]Carton Sizes Chart'!$A$4:$E$15,5,FALSE),0)</f>
        <v>0</v>
      </c>
      <c r="T263" s="124">
        <f>S263</f>
        <v>0</v>
      </c>
      <c r="U263" s="124">
        <f>I263*T263</f>
        <v>0</v>
      </c>
      <c r="V263" s="123">
        <f>((T263*I263)-W263)*4%</f>
        <v>0</v>
      </c>
      <c r="W263" s="124">
        <f>S263*I263*5%</f>
        <v>0</v>
      </c>
    </row>
    <row r="264" spans="1:23">
      <c r="A264" s="118"/>
      <c r="B264" s="118"/>
      <c r="C264" s="119"/>
      <c r="D264" s="118"/>
      <c r="E264" s="118"/>
      <c r="F264" s="118"/>
      <c r="G264" s="119"/>
      <c r="H264" s="119"/>
      <c r="I264" s="119"/>
      <c r="J264" s="119" t="s">
        <v>95</v>
      </c>
      <c r="K264" s="119" t="s">
        <v>110</v>
      </c>
      <c r="L264" s="119" t="s">
        <v>123</v>
      </c>
      <c r="M264" s="51" cm="1">
        <f t="array" ref="M264">IF(L264="",0,_xlfn.SWITCH(L264,"A1",495,"A2",495,"A3",495,"Custom",0,595))</f>
        <v>0</v>
      </c>
      <c r="N264" s="51" cm="1">
        <f t="array" ref="N264">IF(L264="",0,_xlfn.SWITCH(L264,"C1",325,"C2",325,"C3",325,"D1",380,"D2",380,"D3",380,"Custom",0,285))</f>
        <v>0</v>
      </c>
      <c r="O264" s="51">
        <f>IF(L264="",0,_xlfn.SWITCH(L264,"A1",375,"B1",375,"C1",375,"D1",375,"A2",310,"B2",310,"C2",310,"D2",310,"Custom",0,260))</f>
        <v>0</v>
      </c>
      <c r="P264" s="51">
        <f>IFERROR(IF(OR(M264=0,N264=0),0,(M264+N264)*2+11),0)</f>
        <v>0</v>
      </c>
      <c r="Q264" s="51">
        <f>IFERROR(IF(OR(N264=0,O264=0),0,(N264+O264)-16),0)</f>
        <v>0</v>
      </c>
      <c r="R264" s="53">
        <f>P264*Q264/1000000</f>
        <v>0</v>
      </c>
      <c r="S264" s="123">
        <f>IFERROR(VLOOKUP(L264,'[3]Carton Sizes Chart'!$A$4:$E$15,5,FALSE),0)</f>
        <v>0</v>
      </c>
      <c r="T264" s="124">
        <f>S264</f>
        <v>0</v>
      </c>
      <c r="U264" s="124">
        <f>I264*T264</f>
        <v>0</v>
      </c>
      <c r="V264" s="123">
        <f>((T264*I264)-W264)*4%</f>
        <v>0</v>
      </c>
      <c r="W264" s="124">
        <f>S264*I264*5%</f>
        <v>0</v>
      </c>
    </row>
    <row r="265" spans="1:23">
      <c r="A265" s="118"/>
      <c r="B265" s="118"/>
      <c r="C265" s="119"/>
      <c r="D265" s="118"/>
      <c r="E265" s="118"/>
      <c r="F265" s="118"/>
      <c r="G265" s="119"/>
      <c r="H265" s="119"/>
      <c r="I265" s="119"/>
      <c r="J265" s="119" t="s">
        <v>95</v>
      </c>
      <c r="K265" s="119" t="s">
        <v>110</v>
      </c>
      <c r="L265" s="119" t="s">
        <v>123</v>
      </c>
      <c r="M265" s="51" cm="1">
        <f t="array" ref="M265">IF(L265="",0,_xlfn.SWITCH(L265,"A1",495,"A2",495,"A3",495,"Custom",0,595))</f>
        <v>0</v>
      </c>
      <c r="N265" s="51" cm="1">
        <f t="array" ref="N265">IF(L265="",0,_xlfn.SWITCH(L265,"C1",325,"C2",325,"C3",325,"D1",380,"D2",380,"D3",380,"Custom",0,285))</f>
        <v>0</v>
      </c>
      <c r="O265" s="51">
        <f>IF(L265="",0,_xlfn.SWITCH(L265,"A1",375,"B1",375,"C1",375,"D1",375,"A2",310,"B2",310,"C2",310,"D2",310,"Custom",0,260))</f>
        <v>0</v>
      </c>
      <c r="P265" s="51">
        <f>IFERROR(IF(OR(M265=0,N265=0),0,(M265+N265)*2+11),0)</f>
        <v>0</v>
      </c>
      <c r="Q265" s="51">
        <f>IFERROR(IF(OR(N265=0,O265=0),0,(N265+O265)-16),0)</f>
        <v>0</v>
      </c>
      <c r="R265" s="53">
        <f>P265*Q265/1000000</f>
        <v>0</v>
      </c>
      <c r="S265" s="123">
        <f>IFERROR(VLOOKUP(L265,'[3]Carton Sizes Chart'!$A$4:$E$15,5,FALSE),0)</f>
        <v>0</v>
      </c>
      <c r="T265" s="124">
        <f>S265</f>
        <v>0</v>
      </c>
      <c r="U265" s="124">
        <f>I265*T265</f>
        <v>0</v>
      </c>
      <c r="V265" s="123">
        <f>((T265*I265)-W265)*4%</f>
        <v>0</v>
      </c>
      <c r="W265" s="124">
        <f>S265*I265*5%</f>
        <v>0</v>
      </c>
    </row>
    <row r="266" spans="1:23">
      <c r="A266" s="118"/>
      <c r="B266" s="118"/>
      <c r="C266" s="119"/>
      <c r="D266" s="118"/>
      <c r="E266" s="118"/>
      <c r="F266" s="118"/>
      <c r="G266" s="119"/>
      <c r="H266" s="119"/>
      <c r="I266" s="119"/>
      <c r="J266" s="119" t="s">
        <v>95</v>
      </c>
      <c r="K266" s="119" t="s">
        <v>110</v>
      </c>
      <c r="L266" s="119" t="s">
        <v>123</v>
      </c>
      <c r="M266" s="51" cm="1">
        <f t="array" ref="M266">IF(L266="",0,_xlfn.SWITCH(L266,"A1",495,"A2",495,"A3",495,"Custom",0,595))</f>
        <v>0</v>
      </c>
      <c r="N266" s="51" cm="1">
        <f t="array" ref="N266">IF(L266="",0,_xlfn.SWITCH(L266,"C1",325,"C2",325,"C3",325,"D1",380,"D2",380,"D3",380,"Custom",0,285))</f>
        <v>0</v>
      </c>
      <c r="O266" s="51">
        <f>IF(L266="",0,_xlfn.SWITCH(L266,"A1",375,"B1",375,"C1",375,"D1",375,"A2",310,"B2",310,"C2",310,"D2",310,"Custom",0,260))</f>
        <v>0</v>
      </c>
      <c r="P266" s="51">
        <f>IFERROR(IF(OR(M266=0,N266=0),0,(M266+N266)*2+11),0)</f>
        <v>0</v>
      </c>
      <c r="Q266" s="51">
        <f>IFERROR(IF(OR(N266=0,O266=0),0,(N266+O266)-16),0)</f>
        <v>0</v>
      </c>
      <c r="R266" s="53">
        <f>P266*Q266/1000000</f>
        <v>0</v>
      </c>
      <c r="S266" s="123">
        <f>IFERROR(VLOOKUP(L266,'[3]Carton Sizes Chart'!$A$4:$E$15,5,FALSE),0)</f>
        <v>0</v>
      </c>
      <c r="T266" s="124">
        <f>S266</f>
        <v>0</v>
      </c>
      <c r="U266" s="124">
        <f>I266*T266</f>
        <v>0</v>
      </c>
      <c r="V266" s="123">
        <f>((T266*I266)-W266)*4%</f>
        <v>0</v>
      </c>
      <c r="W266" s="124">
        <f>S266*I266*5%</f>
        <v>0</v>
      </c>
    </row>
    <row r="267" spans="1:23">
      <c r="A267" s="118"/>
      <c r="B267" s="118"/>
      <c r="C267" s="119"/>
      <c r="D267" s="118"/>
      <c r="E267" s="118"/>
      <c r="F267" s="118"/>
      <c r="G267" s="119"/>
      <c r="H267" s="119"/>
      <c r="I267" s="119"/>
      <c r="J267" s="119" t="s">
        <v>95</v>
      </c>
      <c r="K267" s="119" t="s">
        <v>110</v>
      </c>
      <c r="L267" s="119" t="s">
        <v>123</v>
      </c>
      <c r="M267" s="51" cm="1">
        <f t="array" ref="M267">IF(L267="",0,_xlfn.SWITCH(L267,"A1",495,"A2",495,"A3",495,"Custom",0,595))</f>
        <v>0</v>
      </c>
      <c r="N267" s="51" cm="1">
        <f t="array" ref="N267">IF(L267="",0,_xlfn.SWITCH(L267,"C1",325,"C2",325,"C3",325,"D1",380,"D2",380,"D3",380,"Custom",0,285))</f>
        <v>0</v>
      </c>
      <c r="O267" s="51">
        <f>IF(L267="",0,_xlfn.SWITCH(L267,"A1",375,"B1",375,"C1",375,"D1",375,"A2",310,"B2",310,"C2",310,"D2",310,"Custom",0,260))</f>
        <v>0</v>
      </c>
      <c r="P267" s="51">
        <f>IFERROR(IF(OR(M267=0,N267=0),0,(M267+N267)*2+11),0)</f>
        <v>0</v>
      </c>
      <c r="Q267" s="51">
        <f>IFERROR(IF(OR(N267=0,O267=0),0,(N267+O267)-16),0)</f>
        <v>0</v>
      </c>
      <c r="R267" s="53">
        <f>P267*Q267/1000000</f>
        <v>0</v>
      </c>
      <c r="S267" s="123">
        <f>IFERROR(VLOOKUP(L267,'[3]Carton Sizes Chart'!$A$4:$E$15,5,FALSE),0)</f>
        <v>0</v>
      </c>
      <c r="T267" s="124">
        <f>S267</f>
        <v>0</v>
      </c>
      <c r="U267" s="124">
        <f>I267*T267</f>
        <v>0</v>
      </c>
      <c r="V267" s="123">
        <f>((T267*I267)-W267)*4%</f>
        <v>0</v>
      </c>
      <c r="W267" s="124">
        <f>S267*I267*5%</f>
        <v>0</v>
      </c>
    </row>
    <row r="268" spans="1:23">
      <c r="A268" s="118"/>
      <c r="B268" s="118"/>
      <c r="C268" s="119"/>
      <c r="D268" s="118"/>
      <c r="E268" s="118"/>
      <c r="F268" s="118"/>
      <c r="G268" s="119"/>
      <c r="H268" s="119"/>
      <c r="I268" s="119"/>
      <c r="J268" s="119" t="s">
        <v>95</v>
      </c>
      <c r="K268" s="119" t="s">
        <v>110</v>
      </c>
      <c r="L268" s="119" t="s">
        <v>123</v>
      </c>
      <c r="M268" s="51" cm="1">
        <f t="array" ref="M268">IF(L268="",0,_xlfn.SWITCH(L268,"A1",495,"A2",495,"A3",495,"Custom",0,595))</f>
        <v>0</v>
      </c>
      <c r="N268" s="51" cm="1">
        <f t="array" ref="N268">IF(L268="",0,_xlfn.SWITCH(L268,"C1",325,"C2",325,"C3",325,"D1",380,"D2",380,"D3",380,"Custom",0,285))</f>
        <v>0</v>
      </c>
      <c r="O268" s="51">
        <f>IF(L268="",0,_xlfn.SWITCH(L268,"A1",375,"B1",375,"C1",375,"D1",375,"A2",310,"B2",310,"C2",310,"D2",310,"Custom",0,260))</f>
        <v>0</v>
      </c>
      <c r="P268" s="51">
        <f>IFERROR(IF(OR(M268=0,N268=0),0,(M268+N268)*2+11),0)</f>
        <v>0</v>
      </c>
      <c r="Q268" s="51">
        <f>IFERROR(IF(OR(N268=0,O268=0),0,(N268+O268)-16),0)</f>
        <v>0</v>
      </c>
      <c r="R268" s="53">
        <f>P268*Q268/1000000</f>
        <v>0</v>
      </c>
      <c r="S268" s="123">
        <f>IFERROR(VLOOKUP(L268,'[3]Carton Sizes Chart'!$A$4:$E$15,5,FALSE),0)</f>
        <v>0</v>
      </c>
      <c r="T268" s="124">
        <f>S268</f>
        <v>0</v>
      </c>
      <c r="U268" s="124">
        <f>I268*T268</f>
        <v>0</v>
      </c>
      <c r="V268" s="123">
        <f>((T268*I268)-W268)*4%</f>
        <v>0</v>
      </c>
      <c r="W268" s="124">
        <f>S268*I268*5%</f>
        <v>0</v>
      </c>
    </row>
    <row r="269" spans="1:23">
      <c r="A269" s="118"/>
      <c r="B269" s="118"/>
      <c r="C269" s="119"/>
      <c r="D269" s="118"/>
      <c r="E269" s="118"/>
      <c r="F269" s="118"/>
      <c r="G269" s="119"/>
      <c r="H269" s="119"/>
      <c r="I269" s="119"/>
      <c r="J269" s="119" t="s">
        <v>95</v>
      </c>
      <c r="K269" s="119" t="s">
        <v>110</v>
      </c>
      <c r="L269" s="119" t="s">
        <v>123</v>
      </c>
      <c r="M269" s="51" cm="1">
        <f t="array" ref="M269">IF(L269="",0,_xlfn.SWITCH(L269,"A1",495,"A2",495,"A3",495,"Custom",0,595))</f>
        <v>0</v>
      </c>
      <c r="N269" s="51" cm="1">
        <f t="array" ref="N269">IF(L269="",0,_xlfn.SWITCH(L269,"C1",325,"C2",325,"C3",325,"D1",380,"D2",380,"D3",380,"Custom",0,285))</f>
        <v>0</v>
      </c>
      <c r="O269" s="51">
        <f>IF(L269="",0,_xlfn.SWITCH(L269,"A1",375,"B1",375,"C1",375,"D1",375,"A2",310,"B2",310,"C2",310,"D2",310,"Custom",0,260))</f>
        <v>0</v>
      </c>
      <c r="P269" s="51">
        <f>IFERROR(IF(OR(M269=0,N269=0),0,(M269+N269)*2+11),0)</f>
        <v>0</v>
      </c>
      <c r="Q269" s="51">
        <f>IFERROR(IF(OR(N269=0,O269=0),0,(N269+O269)-16),0)</f>
        <v>0</v>
      </c>
      <c r="R269" s="53">
        <f>P269*Q269/1000000</f>
        <v>0</v>
      </c>
      <c r="S269" s="123">
        <f>IFERROR(VLOOKUP(L269,'[3]Carton Sizes Chart'!$A$4:$E$15,5,FALSE),0)</f>
        <v>0</v>
      </c>
      <c r="T269" s="124">
        <f>S269</f>
        <v>0</v>
      </c>
      <c r="U269" s="124">
        <f>I269*T269</f>
        <v>0</v>
      </c>
      <c r="V269" s="123">
        <f>((T269*I269)-W269)*4%</f>
        <v>0</v>
      </c>
      <c r="W269" s="124">
        <f>S269*I269*5%</f>
        <v>0</v>
      </c>
    </row>
    <row r="270" spans="1:23">
      <c r="A270" s="118"/>
      <c r="B270" s="118"/>
      <c r="C270" s="119"/>
      <c r="D270" s="118"/>
      <c r="E270" s="118"/>
      <c r="F270" s="118"/>
      <c r="G270" s="119"/>
      <c r="H270" s="119"/>
      <c r="I270" s="121"/>
      <c r="J270" s="119" t="s">
        <v>95</v>
      </c>
      <c r="K270" s="119" t="s">
        <v>110</v>
      </c>
      <c r="L270" s="119" t="s">
        <v>123</v>
      </c>
      <c r="M270" s="51" cm="1">
        <f t="array" ref="M270">IF(L270="",0,_xlfn.SWITCH(L270,"A1",495,"A2",495,"A3",495,"Custom",0,595))</f>
        <v>0</v>
      </c>
      <c r="N270" s="51" cm="1">
        <f t="array" ref="N270">IF(L270="",0,_xlfn.SWITCH(L270,"C1",325,"C2",325,"C3",325,"D1",380,"D2",380,"D3",380,"Custom",0,285))</f>
        <v>0</v>
      </c>
      <c r="O270" s="51">
        <f>IF(L270="",0,_xlfn.SWITCH(L270,"A1",375,"B1",375,"C1",375,"D1",375,"A2",310,"B2",310,"C2",310,"D2",310,"Custom",0,260))</f>
        <v>0</v>
      </c>
      <c r="P270" s="51">
        <f>IFERROR(IF(OR(M270=0,N270=0),0,(M270+N270)*2+11),0)</f>
        <v>0</v>
      </c>
      <c r="Q270" s="51">
        <f>IFERROR(IF(OR(N270=0,O270=0),0,(N270+O270)-16),0)</f>
        <v>0</v>
      </c>
      <c r="R270" s="53">
        <f>P270*Q270/1000000</f>
        <v>0</v>
      </c>
      <c r="S270" s="129">
        <f>IF(L270="Custom", R270*'[1]RFQ_Matalan Carton'!$M$40, IFERROR(VLOOKUP(L270,'[1]Carton Sizes Chart'!$A$4:$E$15,5,FALSE),0))</f>
        <v>0</v>
      </c>
      <c r="T270" s="124">
        <f>S270</f>
        <v>0</v>
      </c>
      <c r="U270" s="124">
        <f>I270*T270</f>
        <v>0</v>
      </c>
      <c r="V270" s="123">
        <f>((T270*I270)-W270)*4%</f>
        <v>0</v>
      </c>
      <c r="W270" s="124">
        <f>S270*I270*5%</f>
        <v>0</v>
      </c>
    </row>
    <row r="271" spans="1:23">
      <c r="A271" s="118"/>
      <c r="B271" s="118"/>
      <c r="C271" s="119"/>
      <c r="D271" s="118"/>
      <c r="E271" s="118"/>
      <c r="F271" s="118"/>
      <c r="G271" s="119"/>
      <c r="H271" s="119"/>
      <c r="I271" s="119"/>
      <c r="J271" s="119" t="s">
        <v>95</v>
      </c>
      <c r="K271" s="119" t="s">
        <v>110</v>
      </c>
      <c r="L271" s="119" t="s">
        <v>123</v>
      </c>
      <c r="M271" s="51" cm="1">
        <f t="array" ref="M271">IF(L271="",0,_xlfn.SWITCH(L271,"A1",495,"A2",495,"A3",495,"Custom",0,595))</f>
        <v>0</v>
      </c>
      <c r="N271" s="51" cm="1">
        <f t="array" ref="N271">IF(L271="",0,_xlfn.SWITCH(L271,"C1",325,"C2",325,"C3",325,"D1",380,"D2",380,"D3",380,"Custom",0,285))</f>
        <v>0</v>
      </c>
      <c r="O271" s="51">
        <f>IF(L271="",0,_xlfn.SWITCH(L271,"A1",375,"B1",375,"C1",375,"D1",375,"A2",310,"B2",310,"C2",310,"D2",310,"Custom",0,260))</f>
        <v>0</v>
      </c>
      <c r="P271" s="51">
        <f>IFERROR(IF(OR(M271=0,N271=0),0,(M271+N271)*2+11),0)</f>
        <v>0</v>
      </c>
      <c r="Q271" s="51">
        <f>IFERROR(IF(OR(N271=0,O271=0),0,(N271+O271)-16),0)</f>
        <v>0</v>
      </c>
      <c r="R271" s="53">
        <f>P271*Q271/1000000</f>
        <v>0</v>
      </c>
      <c r="S271" s="129">
        <f>IF(L271="Custom", R271*'[1]RFQ_Matalan Carton'!$M$40, IFERROR(VLOOKUP(L271,'[1]Carton Sizes Chart'!$A$4:$E$15,5,FALSE),0))</f>
        <v>0</v>
      </c>
      <c r="T271" s="124">
        <f>S271</f>
        <v>0</v>
      </c>
      <c r="U271" s="124">
        <f>I271*T271</f>
        <v>0</v>
      </c>
      <c r="V271" s="123">
        <f>((T271*I271)-W271)*4%</f>
        <v>0</v>
      </c>
      <c r="W271" s="124">
        <f>S271*I271*5%</f>
        <v>0</v>
      </c>
    </row>
    <row r="272" spans="1:23">
      <c r="A272" s="118"/>
      <c r="B272" s="118"/>
      <c r="C272" s="119"/>
      <c r="D272" s="118"/>
      <c r="E272" s="118"/>
      <c r="F272" s="118"/>
      <c r="G272" s="119"/>
      <c r="H272" s="119"/>
      <c r="I272" s="119"/>
      <c r="J272" s="119" t="s">
        <v>95</v>
      </c>
      <c r="K272" s="119" t="s">
        <v>110</v>
      </c>
      <c r="L272" s="119" t="s">
        <v>123</v>
      </c>
      <c r="M272" s="51" cm="1">
        <f t="array" ref="M272">IF(L272="",0,_xlfn.SWITCH(L272,"A1",495,"A2",495,"A3",495,"Custom",0,595))</f>
        <v>0</v>
      </c>
      <c r="N272" s="51" cm="1">
        <f t="array" ref="N272">IF(L272="",0,_xlfn.SWITCH(L272,"C1",325,"C2",325,"C3",325,"D1",380,"D2",380,"D3",380,"Custom",0,285))</f>
        <v>0</v>
      </c>
      <c r="O272" s="51">
        <f>IF(L272="",0,_xlfn.SWITCH(L272,"A1",375,"B1",375,"C1",375,"D1",375,"A2",310,"B2",310,"C2",310,"D2",310,"Custom",0,260))</f>
        <v>0</v>
      </c>
      <c r="P272" s="51">
        <f>IFERROR(IF(OR(M272=0,N272=0),0,(M272+N272)*2+11),0)</f>
        <v>0</v>
      </c>
      <c r="Q272" s="51">
        <f>IFERROR(IF(OR(N272=0,O272=0),0,(N272+O272)-16),0)</f>
        <v>0</v>
      </c>
      <c r="R272" s="53">
        <f>P272*Q272/1000000</f>
        <v>0</v>
      </c>
      <c r="S272" s="129">
        <f>IF(L272="Custom", R272*'[1]RFQ_Matalan Carton'!$M$40, IFERROR(VLOOKUP(L272,'[1]Carton Sizes Chart'!$A$4:$E$15,5,FALSE),0))</f>
        <v>0</v>
      </c>
      <c r="T272" s="124">
        <f>S272</f>
        <v>0</v>
      </c>
      <c r="U272" s="124">
        <f>I272*T272</f>
        <v>0</v>
      </c>
      <c r="V272" s="123">
        <f>((T272*I272)-W272)*4%</f>
        <v>0</v>
      </c>
      <c r="W272" s="124">
        <f>S272*I272*5%</f>
        <v>0</v>
      </c>
    </row>
    <row r="273" spans="1:23">
      <c r="A273" s="118"/>
      <c r="B273" s="118"/>
      <c r="C273" s="119"/>
      <c r="D273" s="118"/>
      <c r="E273" s="118"/>
      <c r="F273" s="118"/>
      <c r="G273" s="119"/>
      <c r="H273" s="119"/>
      <c r="I273" s="121"/>
      <c r="J273" s="119" t="s">
        <v>95</v>
      </c>
      <c r="K273" s="119" t="s">
        <v>110</v>
      </c>
      <c r="L273" s="119" t="s">
        <v>123</v>
      </c>
      <c r="M273" s="51" cm="1">
        <f t="array" ref="M273">IF(L273="",0,_xlfn.SWITCH(L273,"A1",495,"A2",495,"A3",495,"Custom",0,595))</f>
        <v>0</v>
      </c>
      <c r="N273" s="51" cm="1">
        <f t="array" ref="N273">IF(L273="",0,_xlfn.SWITCH(L273,"C1",325,"C2",325,"C3",325,"D1",380,"D2",380,"D3",380,"Custom",0,285))</f>
        <v>0</v>
      </c>
      <c r="O273" s="51">
        <f>IF(L273="",0,_xlfn.SWITCH(L273,"A1",375,"B1",375,"C1",375,"D1",375,"A2",310,"B2",310,"C2",310,"D2",310,"Custom",0,260))</f>
        <v>0</v>
      </c>
      <c r="P273" s="51">
        <f>IFERROR(IF(OR(M273=0,N273=0),0,(M273+N273)*2+11),0)</f>
        <v>0</v>
      </c>
      <c r="Q273" s="51">
        <f>IFERROR(IF(OR(N273=0,O273=0),0,(N273+O273)-16),0)</f>
        <v>0</v>
      </c>
      <c r="R273" s="53">
        <f>P273*Q273/1000000</f>
        <v>0</v>
      </c>
      <c r="S273" s="129">
        <f>IF(L273="Custom", R273*'[1]RFQ_Matalan Carton'!$M$40, IFERROR(VLOOKUP(L273,'[1]Carton Sizes Chart'!$A$4:$E$15,5,FALSE),0))</f>
        <v>0</v>
      </c>
      <c r="T273" s="124">
        <f>S273</f>
        <v>0</v>
      </c>
      <c r="U273" s="124">
        <f>I273*T273</f>
        <v>0</v>
      </c>
      <c r="V273" s="123">
        <f>((T273*I273)-W273)*4%</f>
        <v>0</v>
      </c>
      <c r="W273" s="124">
        <f>S273*I273*5%</f>
        <v>0</v>
      </c>
    </row>
    <row r="274" spans="1:23">
      <c r="A274" s="118"/>
      <c r="B274" s="118"/>
      <c r="C274" s="119"/>
      <c r="D274" s="118"/>
      <c r="E274" s="118"/>
      <c r="F274" s="118"/>
      <c r="G274" s="119"/>
      <c r="H274" s="119"/>
      <c r="I274" s="119"/>
      <c r="J274" s="119" t="s">
        <v>95</v>
      </c>
      <c r="K274" s="119" t="s">
        <v>110</v>
      </c>
      <c r="L274" s="119" t="s">
        <v>123</v>
      </c>
      <c r="M274" s="51" cm="1">
        <f t="array" ref="M274">IF(L274="",0,_xlfn.SWITCH(L274,"A1",495,"A2",495,"A3",495,"Custom",0,595))</f>
        <v>0</v>
      </c>
      <c r="N274" s="51" cm="1">
        <f t="array" ref="N274">IF(L274="",0,_xlfn.SWITCH(L274,"C1",325,"C2",325,"C3",325,"D1",380,"D2",380,"D3",380,"Custom",0,285))</f>
        <v>0</v>
      </c>
      <c r="O274" s="51">
        <f>IF(L274="",0,_xlfn.SWITCH(L274,"A1",375,"B1",375,"C1",375,"D1",375,"A2",310,"B2",310,"C2",310,"D2",310,"Custom",0,260))</f>
        <v>0</v>
      </c>
      <c r="P274" s="51">
        <f>IFERROR(IF(OR(M274=0,N274=0),0,(M274+N274)*2+11),0)</f>
        <v>0</v>
      </c>
      <c r="Q274" s="51">
        <f>IFERROR(IF(OR(N274=0,O274=0),0,(N274+O274)-16),0)</f>
        <v>0</v>
      </c>
      <c r="R274" s="53">
        <f>P274*Q274/1000000</f>
        <v>0</v>
      </c>
      <c r="S274" s="129">
        <f>IF(L274="Custom", R274*'[1]RFQ_Matalan Carton'!$M$40, IFERROR(VLOOKUP(L274,'[1]Carton Sizes Chart'!$A$4:$E$15,5,FALSE),0))</f>
        <v>0</v>
      </c>
      <c r="T274" s="124">
        <f>S274</f>
        <v>0</v>
      </c>
      <c r="U274" s="124">
        <f>I274*T274</f>
        <v>0</v>
      </c>
      <c r="V274" s="123">
        <f>((T274*I274)-W274)*4%</f>
        <v>0</v>
      </c>
      <c r="W274" s="124">
        <f>S274*I274*5%</f>
        <v>0</v>
      </c>
    </row>
    <row r="275" spans="1:23">
      <c r="A275" s="118"/>
      <c r="B275" s="118"/>
      <c r="C275" s="119"/>
      <c r="D275" s="118"/>
      <c r="E275" s="118"/>
      <c r="F275" s="118"/>
      <c r="G275" s="119"/>
      <c r="H275" s="119"/>
      <c r="I275" s="119"/>
      <c r="J275" s="119" t="s">
        <v>95</v>
      </c>
      <c r="K275" s="119" t="s">
        <v>110</v>
      </c>
      <c r="L275" s="119" t="s">
        <v>123</v>
      </c>
      <c r="M275" s="51" cm="1">
        <f t="array" ref="M275">IF(L275="",0,_xlfn.SWITCH(L275,"A1",495,"A2",495,"A3",495,"Custom",0,595))</f>
        <v>0</v>
      </c>
      <c r="N275" s="51" cm="1">
        <f t="array" ref="N275">IF(L275="",0,_xlfn.SWITCH(L275,"C1",325,"C2",325,"C3",325,"D1",380,"D2",380,"D3",380,"Custom",0,285))</f>
        <v>0</v>
      </c>
      <c r="O275" s="51">
        <f>IF(L275="",0,_xlfn.SWITCH(L275,"A1",375,"B1",375,"C1",375,"D1",375,"A2",310,"B2",310,"C2",310,"D2",310,"Custom",0,260))</f>
        <v>0</v>
      </c>
      <c r="P275" s="51">
        <f>IFERROR(IF(OR(M275=0,N275=0),0,(M275+N275)*2+11),0)</f>
        <v>0</v>
      </c>
      <c r="Q275" s="51">
        <f>IFERROR(IF(OR(N275=0,O275=0),0,(N275+O275)-16),0)</f>
        <v>0</v>
      </c>
      <c r="R275" s="53">
        <f>P275*Q275/1000000</f>
        <v>0</v>
      </c>
      <c r="S275" s="129">
        <f>IF(L275="Custom", R275*'[1]RFQ_Matalan Carton'!$M$40, IFERROR(VLOOKUP(L275,'[1]Carton Sizes Chart'!$A$4:$E$15,5,FALSE),0))</f>
        <v>0</v>
      </c>
      <c r="T275" s="124">
        <f>S275</f>
        <v>0</v>
      </c>
      <c r="U275" s="124">
        <f>I275*T275</f>
        <v>0</v>
      </c>
      <c r="V275" s="123">
        <f>((T275*I275)-W275)*4%</f>
        <v>0</v>
      </c>
      <c r="W275" s="124">
        <f>S275*I275*5%</f>
        <v>0</v>
      </c>
    </row>
    <row r="276" spans="1:23">
      <c r="A276" s="118"/>
      <c r="B276" s="118"/>
      <c r="C276" s="119"/>
      <c r="D276" s="118"/>
      <c r="E276" s="118"/>
      <c r="F276" s="118"/>
      <c r="G276" s="119"/>
      <c r="H276" s="119"/>
      <c r="I276" s="119"/>
      <c r="J276" s="119" t="s">
        <v>95</v>
      </c>
      <c r="K276" s="119" t="s">
        <v>110</v>
      </c>
      <c r="L276" s="119" t="s">
        <v>123</v>
      </c>
      <c r="M276" s="51" cm="1">
        <f t="array" ref="M276">IF(L276="",0,_xlfn.SWITCH(L276,"A1",495,"A2",495,"A3",495,"Custom",0,595))</f>
        <v>0</v>
      </c>
      <c r="N276" s="51" cm="1">
        <f t="array" ref="N276">IF(L276="",0,_xlfn.SWITCH(L276,"C1",325,"C2",325,"C3",325,"D1",380,"D2",380,"D3",380,"Custom",0,285))</f>
        <v>0</v>
      </c>
      <c r="O276" s="51">
        <f>IF(L276="",0,_xlfn.SWITCH(L276,"A1",375,"B1",375,"C1",375,"D1",375,"A2",310,"B2",310,"C2",310,"D2",310,"Custom",0,260))</f>
        <v>0</v>
      </c>
      <c r="P276" s="51">
        <f>IFERROR(IF(OR(M276=0,N276=0),0,(M276+N276)*2+11),0)</f>
        <v>0</v>
      </c>
      <c r="Q276" s="51">
        <f>IFERROR(IF(OR(N276=0,O276=0),0,(N276+O276)-16),0)</f>
        <v>0</v>
      </c>
      <c r="R276" s="53">
        <f>P276*Q276/1000000</f>
        <v>0</v>
      </c>
      <c r="S276" s="123">
        <f>IFERROR(VLOOKUP(L276,'[3]Carton Sizes Chart'!$A$4:$E$15,5,FALSE),0)</f>
        <v>0</v>
      </c>
      <c r="T276" s="124">
        <f>S276</f>
        <v>0</v>
      </c>
      <c r="U276" s="124">
        <f>I276*T276</f>
        <v>0</v>
      </c>
      <c r="V276" s="123">
        <f>((T276*I276)-W276)*4%</f>
        <v>0</v>
      </c>
      <c r="W276" s="124">
        <f>S276*I276*5%</f>
        <v>0</v>
      </c>
    </row>
    <row r="277" spans="1:23">
      <c r="A277" s="118"/>
      <c r="B277" s="118"/>
      <c r="C277" s="119"/>
      <c r="D277" s="118"/>
      <c r="E277" s="118"/>
      <c r="F277" s="118"/>
      <c r="G277" s="119"/>
      <c r="H277" s="119"/>
      <c r="I277" s="119"/>
      <c r="J277" s="119" t="s">
        <v>95</v>
      </c>
      <c r="K277" s="119" t="s">
        <v>110</v>
      </c>
      <c r="L277" s="119" t="s">
        <v>123</v>
      </c>
      <c r="M277" s="51" cm="1">
        <f t="array" ref="M277">IF(L277="",0,_xlfn.SWITCH(L277,"A1",495,"A2",495,"A3",495,"Custom",0,595))</f>
        <v>0</v>
      </c>
      <c r="N277" s="51" cm="1">
        <f t="array" ref="N277">IF(L277="",0,_xlfn.SWITCH(L277,"C1",325,"C2",325,"C3",325,"D1",380,"D2",380,"D3",380,"Custom",0,285))</f>
        <v>0</v>
      </c>
      <c r="O277" s="51">
        <f>IF(L277="",0,_xlfn.SWITCH(L277,"A1",375,"B1",375,"C1",375,"D1",375,"A2",310,"B2",310,"C2",310,"D2",310,"Custom",0,260))</f>
        <v>0</v>
      </c>
      <c r="P277" s="51">
        <f>IFERROR(IF(OR(M277=0,N277=0),0,(M277+N277)*2+11),0)</f>
        <v>0</v>
      </c>
      <c r="Q277" s="51">
        <f>IFERROR(IF(OR(N277=0,O277=0),0,(N277+O277)-16),0)</f>
        <v>0</v>
      </c>
      <c r="R277" s="53">
        <f>P277*Q277/1000000</f>
        <v>0</v>
      </c>
      <c r="S277" s="123">
        <f>IFERROR(VLOOKUP(L277,'[3]Carton Sizes Chart'!$A$4:$E$15,5,FALSE),0)</f>
        <v>0</v>
      </c>
      <c r="T277" s="124">
        <f>S277</f>
        <v>0</v>
      </c>
      <c r="U277" s="124">
        <f>I277*T277</f>
        <v>0</v>
      </c>
      <c r="V277" s="123">
        <f>((T277*I277)-W277)*4%</f>
        <v>0</v>
      </c>
      <c r="W277" s="124">
        <f>S277*I277*5%</f>
        <v>0</v>
      </c>
    </row>
    <row r="278" spans="1:23">
      <c r="A278" s="118"/>
      <c r="B278" s="118"/>
      <c r="C278" s="119"/>
      <c r="D278" s="118"/>
      <c r="E278" s="118"/>
      <c r="F278" s="118"/>
      <c r="G278" s="119"/>
      <c r="H278" s="119"/>
      <c r="I278" s="119"/>
      <c r="J278" s="119" t="s">
        <v>95</v>
      </c>
      <c r="K278" s="119" t="s">
        <v>110</v>
      </c>
      <c r="L278" s="119" t="s">
        <v>123</v>
      </c>
      <c r="M278" s="51" cm="1">
        <f t="array" ref="M278">IF(L278="",0,_xlfn.SWITCH(L278,"A1",495,"A2",495,"A3",495,"Custom",0,595))</f>
        <v>0</v>
      </c>
      <c r="N278" s="51" cm="1">
        <f t="array" ref="N278">IF(L278="",0,_xlfn.SWITCH(L278,"C1",325,"C2",325,"C3",325,"D1",380,"D2",380,"D3",380,"Custom",0,285))</f>
        <v>0</v>
      </c>
      <c r="O278" s="51">
        <f>IF(L278="",0,_xlfn.SWITCH(L278,"A1",375,"B1",375,"C1",375,"D1",375,"A2",310,"B2",310,"C2",310,"D2",310,"Custom",0,260))</f>
        <v>0</v>
      </c>
      <c r="P278" s="51">
        <f>IFERROR(IF(OR(M278=0,N278=0),0,(M278+N278)*2+11),0)</f>
        <v>0</v>
      </c>
      <c r="Q278" s="51">
        <f>IFERROR(IF(OR(N278=0,O278=0),0,(N278+O278)-16),0)</f>
        <v>0</v>
      </c>
      <c r="R278" s="53">
        <f>P278*Q278/1000000</f>
        <v>0</v>
      </c>
      <c r="S278" s="123">
        <f>IFERROR(VLOOKUP(L278,'[3]Carton Sizes Chart'!$A$4:$E$15,5,FALSE),0)</f>
        <v>0</v>
      </c>
      <c r="T278" s="124">
        <f>S278</f>
        <v>0</v>
      </c>
      <c r="U278" s="124">
        <f>I278*T278</f>
        <v>0</v>
      </c>
      <c r="V278" s="123">
        <f>((T278*I278)-W278)*4%</f>
        <v>0</v>
      </c>
      <c r="W278" s="124">
        <f>S278*I278*5%</f>
        <v>0</v>
      </c>
    </row>
    <row r="279" spans="1:23">
      <c r="A279" s="118"/>
      <c r="B279" s="118"/>
      <c r="C279" s="119"/>
      <c r="D279" s="118"/>
      <c r="E279" s="118"/>
      <c r="F279" s="118"/>
      <c r="G279" s="119"/>
      <c r="H279" s="119"/>
      <c r="I279" s="119"/>
      <c r="J279" s="119" t="s">
        <v>95</v>
      </c>
      <c r="K279" s="119" t="s">
        <v>110</v>
      </c>
      <c r="L279" s="119" t="s">
        <v>123</v>
      </c>
      <c r="M279" s="51" cm="1">
        <f t="array" ref="M279">IF(L279="",0,_xlfn.SWITCH(L279,"A1",495,"A2",495,"A3",495,"Custom",0,595))</f>
        <v>0</v>
      </c>
      <c r="N279" s="51" cm="1">
        <f t="array" ref="N279">IF(L279="",0,_xlfn.SWITCH(L279,"C1",325,"C2",325,"C3",325,"D1",380,"D2",380,"D3",380,"Custom",0,285))</f>
        <v>0</v>
      </c>
      <c r="O279" s="51">
        <f>IF(L279="",0,_xlfn.SWITCH(L279,"A1",375,"B1",375,"C1",375,"D1",375,"A2",310,"B2",310,"C2",310,"D2",310,"Custom",0,260))</f>
        <v>0</v>
      </c>
      <c r="P279" s="51">
        <f>IFERROR(IF(OR(M279=0,N279=0),0,(M279+N279)*2+11),0)</f>
        <v>0</v>
      </c>
      <c r="Q279" s="51">
        <f>IFERROR(IF(OR(N279=0,O279=0),0,(N279+O279)-16),0)</f>
        <v>0</v>
      </c>
      <c r="R279" s="53">
        <f>P279*Q279/1000000</f>
        <v>0</v>
      </c>
      <c r="S279" s="123">
        <f>IFERROR(VLOOKUP(L279,'[3]Carton Sizes Chart'!$A$4:$E$15,5,FALSE),0)</f>
        <v>0</v>
      </c>
      <c r="T279" s="124">
        <f>S279</f>
        <v>0</v>
      </c>
      <c r="U279" s="124">
        <f>I279*T279</f>
        <v>0</v>
      </c>
      <c r="V279" s="123">
        <f>((T279*I279)-W279)*4%</f>
        <v>0</v>
      </c>
      <c r="W279" s="124">
        <f>S279*I279*5%</f>
        <v>0</v>
      </c>
    </row>
    <row r="280" spans="1:23">
      <c r="A280" s="118"/>
      <c r="B280" s="118"/>
      <c r="C280" s="119"/>
      <c r="D280" s="118"/>
      <c r="E280" s="118"/>
      <c r="F280" s="118"/>
      <c r="G280" s="119"/>
      <c r="H280" s="119"/>
      <c r="I280" s="119"/>
      <c r="J280" s="119" t="s">
        <v>95</v>
      </c>
      <c r="K280" s="119" t="s">
        <v>110</v>
      </c>
      <c r="L280" s="119" t="s">
        <v>123</v>
      </c>
      <c r="M280" s="51" cm="1">
        <f t="array" ref="M280">IF(L280="",0,_xlfn.SWITCH(L280,"A1",495,"A2",495,"A3",495,"Custom",0,595))</f>
        <v>0</v>
      </c>
      <c r="N280" s="51" cm="1">
        <f t="array" ref="N280">IF(L280="",0,_xlfn.SWITCH(L280,"C1",325,"C2",325,"C3",325,"D1",380,"D2",380,"D3",380,"Custom",0,285))</f>
        <v>0</v>
      </c>
      <c r="O280" s="51">
        <f>IF(L280="",0,_xlfn.SWITCH(L280,"A1",375,"B1",375,"C1",375,"D1",375,"A2",310,"B2",310,"C2",310,"D2",310,"Custom",0,260))</f>
        <v>0</v>
      </c>
      <c r="P280" s="51">
        <f>IFERROR(IF(OR(M280=0,N280=0),0,(M280+N280)*2+11),0)</f>
        <v>0</v>
      </c>
      <c r="Q280" s="51">
        <f>IFERROR(IF(OR(N280=0,O280=0),0,(N280+O280)-16),0)</f>
        <v>0</v>
      </c>
      <c r="R280" s="53">
        <f>P280*Q280/1000000</f>
        <v>0</v>
      </c>
      <c r="S280" s="123">
        <f>IFERROR(VLOOKUP(L280,'[3]Carton Sizes Chart'!$A$4:$E$15,5,FALSE),0)</f>
        <v>0</v>
      </c>
      <c r="T280" s="124">
        <f>S280</f>
        <v>0</v>
      </c>
      <c r="U280" s="124">
        <f>I280*T280</f>
        <v>0</v>
      </c>
      <c r="V280" s="123">
        <f>((T280*I280)-W280)*4%</f>
        <v>0</v>
      </c>
      <c r="W280" s="124">
        <f>S280*I280*5%</f>
        <v>0</v>
      </c>
    </row>
    <row r="281" spans="1:23">
      <c r="A281" s="118"/>
      <c r="B281" s="118"/>
      <c r="C281" s="119"/>
      <c r="D281" s="118"/>
      <c r="E281" s="118"/>
      <c r="F281" s="118"/>
      <c r="G281" s="119"/>
      <c r="H281" s="119"/>
      <c r="I281" s="119"/>
      <c r="J281" s="119" t="s">
        <v>95</v>
      </c>
      <c r="K281" s="119" t="s">
        <v>110</v>
      </c>
      <c r="L281" s="119" t="s">
        <v>123</v>
      </c>
      <c r="M281" s="51" cm="1">
        <f t="array" ref="M281">IF(L281="",0,_xlfn.SWITCH(L281,"A1",495,"A2",495,"A3",495,"Custom",0,595))</f>
        <v>0</v>
      </c>
      <c r="N281" s="51" cm="1">
        <f t="array" ref="N281">IF(L281="",0,_xlfn.SWITCH(L281,"C1",325,"C2",325,"C3",325,"D1",380,"D2",380,"D3",380,"Custom",0,285))</f>
        <v>0</v>
      </c>
      <c r="O281" s="51">
        <f>IF(L281="",0,_xlfn.SWITCH(L281,"A1",375,"B1",375,"C1",375,"D1",375,"A2",310,"B2",310,"C2",310,"D2",310,"Custom",0,260))</f>
        <v>0</v>
      </c>
      <c r="P281" s="51">
        <f>IFERROR(IF(OR(M281=0,N281=0),0,(M281+N281)*2+11),0)</f>
        <v>0</v>
      </c>
      <c r="Q281" s="51">
        <f>IFERROR(IF(OR(N281=0,O281=0),0,(N281+O281)-16),0)</f>
        <v>0</v>
      </c>
      <c r="R281" s="53">
        <f>P281*Q281/1000000</f>
        <v>0</v>
      </c>
      <c r="S281" s="123">
        <f>IFERROR(VLOOKUP(L281,'[3]Carton Sizes Chart'!$A$4:$E$15,5,FALSE),0)</f>
        <v>0</v>
      </c>
      <c r="T281" s="124">
        <f>S281</f>
        <v>0</v>
      </c>
      <c r="U281" s="124">
        <f>I281*T281</f>
        <v>0</v>
      </c>
      <c r="V281" s="123">
        <f>((T281*I281)-W281)*4%</f>
        <v>0</v>
      </c>
      <c r="W281" s="124">
        <f>S281*I281*5%</f>
        <v>0</v>
      </c>
    </row>
    <row r="282" spans="1:23">
      <c r="A282" s="118"/>
      <c r="B282" s="118"/>
      <c r="C282" s="119"/>
      <c r="D282" s="118"/>
      <c r="E282" s="118"/>
      <c r="F282" s="118"/>
      <c r="G282" s="119"/>
      <c r="H282" s="119"/>
      <c r="I282" s="119"/>
      <c r="J282" s="119" t="s">
        <v>95</v>
      </c>
      <c r="K282" s="119" t="s">
        <v>110</v>
      </c>
      <c r="L282" s="119" t="s">
        <v>123</v>
      </c>
      <c r="M282" s="51" cm="1">
        <f t="array" ref="M282">IF(L282="",0,_xlfn.SWITCH(L282,"A1",495,"A2",495,"A3",495,"Custom",0,595))</f>
        <v>0</v>
      </c>
      <c r="N282" s="51" cm="1">
        <f t="array" ref="N282">IF(L282="",0,_xlfn.SWITCH(L282,"C1",325,"C2",325,"C3",325,"D1",380,"D2",380,"D3",380,"Custom",0,285))</f>
        <v>0</v>
      </c>
      <c r="O282" s="51">
        <f>IF(L282="",0,_xlfn.SWITCH(L282,"A1",375,"B1",375,"C1",375,"D1",375,"A2",310,"B2",310,"C2",310,"D2",310,"Custom",0,260))</f>
        <v>0</v>
      </c>
      <c r="P282" s="51">
        <f>IFERROR(IF(OR(M282=0,N282=0),0,(M282+N282)*2+11),0)</f>
        <v>0</v>
      </c>
      <c r="Q282" s="51">
        <f>IFERROR(IF(OR(N282=0,O282=0),0,(N282+O282)-16),0)</f>
        <v>0</v>
      </c>
      <c r="R282" s="53">
        <f>P282*Q282/1000000</f>
        <v>0</v>
      </c>
      <c r="S282" s="123">
        <f>IFERROR(VLOOKUP(L282,'[3]Carton Sizes Chart'!$A$4:$E$15,5,FALSE),0)</f>
        <v>0</v>
      </c>
      <c r="T282" s="124">
        <f>S282</f>
        <v>0</v>
      </c>
      <c r="U282" s="124">
        <f>I282*T282</f>
        <v>0</v>
      </c>
      <c r="V282" s="123">
        <f>((T282*I282)-W282)*4%</f>
        <v>0</v>
      </c>
      <c r="W282" s="124">
        <f>S282*I282*5%</f>
        <v>0</v>
      </c>
    </row>
    <row r="283" spans="1:23">
      <c r="A283" s="118"/>
      <c r="B283" s="118"/>
      <c r="C283" s="119"/>
      <c r="D283" s="118"/>
      <c r="E283" s="118"/>
      <c r="F283" s="118"/>
      <c r="G283" s="119"/>
      <c r="H283" s="119"/>
      <c r="I283" s="119"/>
      <c r="J283" s="119" t="s">
        <v>95</v>
      </c>
      <c r="K283" s="119" t="s">
        <v>110</v>
      </c>
      <c r="L283" s="119" t="s">
        <v>123</v>
      </c>
      <c r="M283" s="51" cm="1">
        <f t="array" ref="M283">IF(L283="",0,_xlfn.SWITCH(L283,"A1",495,"A2",495,"A3",495,"Custom",0,595))</f>
        <v>0</v>
      </c>
      <c r="N283" s="51" cm="1">
        <f t="array" ref="N283">IF(L283="",0,_xlfn.SWITCH(L283,"C1",325,"C2",325,"C3",325,"D1",380,"D2",380,"D3",380,"Custom",0,285))</f>
        <v>0</v>
      </c>
      <c r="O283" s="51">
        <f>IF(L283="",0,_xlfn.SWITCH(L283,"A1",375,"B1",375,"C1",375,"D1",375,"A2",310,"B2",310,"C2",310,"D2",310,"Custom",0,260))</f>
        <v>0</v>
      </c>
      <c r="P283" s="51">
        <f>IFERROR(IF(OR(M283=0,N283=0),0,(M283+N283)*2+11),0)</f>
        <v>0</v>
      </c>
      <c r="Q283" s="51">
        <f>IFERROR(IF(OR(N283=0,O283=0),0,(N283+O283)-16),0)</f>
        <v>0</v>
      </c>
      <c r="R283" s="53">
        <f>P283*Q283/1000000</f>
        <v>0</v>
      </c>
      <c r="S283" s="123">
        <f>IFERROR(VLOOKUP(L283,'[3]Carton Sizes Chart'!$A$4:$E$15,5,FALSE),0)</f>
        <v>0</v>
      </c>
      <c r="T283" s="124">
        <f>S283</f>
        <v>0</v>
      </c>
      <c r="U283" s="124">
        <f>I283*T283</f>
        <v>0</v>
      </c>
      <c r="V283" s="123">
        <f>((T283*I283)-W283)*4%</f>
        <v>0</v>
      </c>
      <c r="W283" s="124">
        <f>S283*I283*5%</f>
        <v>0</v>
      </c>
    </row>
    <row r="284" spans="1:23">
      <c r="A284" s="118"/>
      <c r="B284" s="118"/>
      <c r="C284" s="119"/>
      <c r="D284" s="118"/>
      <c r="E284" s="118"/>
      <c r="F284" s="118"/>
      <c r="G284" s="119"/>
      <c r="H284" s="121"/>
      <c r="I284" s="121"/>
      <c r="J284" s="119" t="s">
        <v>95</v>
      </c>
      <c r="K284" s="119" t="s">
        <v>110</v>
      </c>
      <c r="L284" s="119" t="s">
        <v>123</v>
      </c>
      <c r="M284" s="51" cm="1">
        <f t="array" ref="M284">IF(L284="",0,_xlfn.SWITCH(L284,"A1",495,"A2",495,"A3",495,"Custom",0,595))</f>
        <v>0</v>
      </c>
      <c r="N284" s="51" cm="1">
        <f t="array" ref="N284">IF(L284="",0,_xlfn.SWITCH(L284,"C1",325,"C2",325,"C3",325,"D1",380,"D2",380,"D3",380,"Custom",0,285))</f>
        <v>0</v>
      </c>
      <c r="O284" s="51">
        <f>IF(L284="",0,_xlfn.SWITCH(L284,"A1",375,"B1",375,"C1",375,"D1",375,"A2",310,"B2",310,"C2",310,"D2",310,"Custom",0,260))</f>
        <v>0</v>
      </c>
      <c r="P284" s="51">
        <f>IFERROR(IF(OR(M284=0,N284=0),0,(M284+N284)*2+11),0)</f>
        <v>0</v>
      </c>
      <c r="Q284" s="51">
        <f>IFERROR(IF(OR(N284=0,O284=0),0,(N284+O284)-16),0)</f>
        <v>0</v>
      </c>
      <c r="R284" s="53">
        <f>P284*Q284/1000000</f>
        <v>0</v>
      </c>
      <c r="S284" s="123">
        <f>IFERROR(VLOOKUP(L284,'[3]Carton Sizes Chart'!$A$4:$E$15,5,FALSE),0)</f>
        <v>0</v>
      </c>
      <c r="T284" s="124">
        <f>S284</f>
        <v>0</v>
      </c>
      <c r="U284" s="124">
        <f>I284*T284</f>
        <v>0</v>
      </c>
      <c r="V284" s="123">
        <f>((T284*I284)-W284)*4%</f>
        <v>0</v>
      </c>
      <c r="W284" s="124">
        <f>S284*I284*5%</f>
        <v>0</v>
      </c>
    </row>
    <row r="285" spans="1:23">
      <c r="A285" s="118"/>
      <c r="B285" s="118"/>
      <c r="C285" s="119"/>
      <c r="D285" s="118"/>
      <c r="E285" s="118"/>
      <c r="F285" s="118"/>
      <c r="G285" s="119"/>
      <c r="H285" s="119"/>
      <c r="I285" s="119"/>
      <c r="J285" s="119" t="s">
        <v>95</v>
      </c>
      <c r="K285" s="119" t="s">
        <v>110</v>
      </c>
      <c r="L285" s="119" t="s">
        <v>123</v>
      </c>
      <c r="M285" s="51" cm="1">
        <f t="array" ref="M285">IF(L285="",0,_xlfn.SWITCH(L285,"A1",495,"A2",495,"A3",495,"Custom",0,595))</f>
        <v>0</v>
      </c>
      <c r="N285" s="51" cm="1">
        <f t="array" ref="N285">IF(L285="",0,_xlfn.SWITCH(L285,"C1",325,"C2",325,"C3",325,"D1",380,"D2",380,"D3",380,"Custom",0,285))</f>
        <v>0</v>
      </c>
      <c r="O285" s="51">
        <f>IF(L285="",0,_xlfn.SWITCH(L285,"A1",375,"B1",375,"C1",375,"D1",375,"A2",310,"B2",310,"C2",310,"D2",310,"Custom",0,260))</f>
        <v>0</v>
      </c>
      <c r="P285" s="51">
        <f>IFERROR(IF(OR(M285=0,N285=0),0,(M285+N285)*2+11),0)</f>
        <v>0</v>
      </c>
      <c r="Q285" s="51">
        <f>IFERROR(IF(OR(N285=0,O285=0),0,(N285+O285)-16),0)</f>
        <v>0</v>
      </c>
      <c r="R285" s="53">
        <f>P285*Q285/1000000</f>
        <v>0</v>
      </c>
      <c r="S285" s="129">
        <f>IF(L285="Custom", R285*'[1]RFQ_Matalan Carton'!$M$40, IFERROR(VLOOKUP(L285,'[1]Carton Sizes Chart'!$A$4:$E$15,5,FALSE),0))</f>
        <v>0</v>
      </c>
      <c r="T285" s="124">
        <f>S285</f>
        <v>0</v>
      </c>
      <c r="U285" s="124">
        <f>I285*T285</f>
        <v>0</v>
      </c>
      <c r="V285" s="123">
        <f>((T285*I285)-W285)*4%</f>
        <v>0</v>
      </c>
      <c r="W285" s="124">
        <f>S285*I285*5%</f>
        <v>0</v>
      </c>
    </row>
    <row r="286" spans="1:23">
      <c r="A286" s="118"/>
      <c r="B286" s="118"/>
      <c r="C286" s="119"/>
      <c r="D286" s="118"/>
      <c r="E286" s="118"/>
      <c r="F286" s="118"/>
      <c r="G286" s="119"/>
      <c r="H286" s="119"/>
      <c r="I286" s="119"/>
      <c r="J286" s="119" t="s">
        <v>95</v>
      </c>
      <c r="K286" s="119" t="s">
        <v>110</v>
      </c>
      <c r="L286" s="119" t="s">
        <v>123</v>
      </c>
      <c r="M286" s="51" cm="1">
        <f t="array" ref="M286">IF(L286="",0,_xlfn.SWITCH(L286,"A1",495,"A2",495,"A3",495,"Custom",0,595))</f>
        <v>0</v>
      </c>
      <c r="N286" s="51" cm="1">
        <f t="array" ref="N286">IF(L286="",0,_xlfn.SWITCH(L286,"C1",325,"C2",325,"C3",325,"D1",380,"D2",380,"D3",380,"Custom",0,285))</f>
        <v>0</v>
      </c>
      <c r="O286" s="51">
        <f>IF(L286="",0,_xlfn.SWITCH(L286,"A1",375,"B1",375,"C1",375,"D1",375,"A2",310,"B2",310,"C2",310,"D2",310,"Custom",0,260))</f>
        <v>0</v>
      </c>
      <c r="P286" s="51">
        <f>IFERROR(IF(OR(M286=0,N286=0),0,(M286+N286)*2+11),0)</f>
        <v>0</v>
      </c>
      <c r="Q286" s="51">
        <f>IFERROR(IF(OR(N286=0,O286=0),0,(N286+O286)-16),0)</f>
        <v>0</v>
      </c>
      <c r="R286" s="53">
        <f>P286*Q286/1000000</f>
        <v>0</v>
      </c>
      <c r="S286" s="129">
        <f>IF(L286="Custom", R286*'[1]RFQ_Matalan Carton'!$M$40, IFERROR(VLOOKUP(L286,'[1]Carton Sizes Chart'!$A$4:$E$15,5,FALSE),0))</f>
        <v>0</v>
      </c>
      <c r="T286" s="124">
        <f>S286</f>
        <v>0</v>
      </c>
      <c r="U286" s="124">
        <f>I286*T286</f>
        <v>0</v>
      </c>
      <c r="V286" s="123">
        <f>((T286*I286)-W286)*4%</f>
        <v>0</v>
      </c>
      <c r="W286" s="124">
        <f>S286*I286*5%</f>
        <v>0</v>
      </c>
    </row>
    <row r="287" spans="1:23">
      <c r="A287" s="118"/>
      <c r="B287" s="118"/>
      <c r="C287" s="119"/>
      <c r="D287" s="118"/>
      <c r="E287" s="118"/>
      <c r="F287" s="118"/>
      <c r="G287" s="119"/>
      <c r="H287" s="121"/>
      <c r="I287" s="121"/>
      <c r="J287" s="119" t="s">
        <v>95</v>
      </c>
      <c r="K287" s="119" t="s">
        <v>110</v>
      </c>
      <c r="L287" s="119" t="s">
        <v>123</v>
      </c>
      <c r="M287" s="51" cm="1">
        <f t="array" ref="M287">IF(L287="",0,_xlfn.SWITCH(L287,"A1",495,"A2",495,"A3",495,"Custom",0,595))</f>
        <v>0</v>
      </c>
      <c r="N287" s="51" cm="1">
        <f t="array" ref="N287">IF(L287="",0,_xlfn.SWITCH(L287,"C1",325,"C2",325,"C3",325,"D1",380,"D2",380,"D3",380,"Custom",0,285))</f>
        <v>0</v>
      </c>
      <c r="O287" s="51">
        <f>IF(L287="",0,_xlfn.SWITCH(L287,"A1",375,"B1",375,"C1",375,"D1",375,"A2",310,"B2",310,"C2",310,"D2",310,"Custom",0,260))</f>
        <v>0</v>
      </c>
      <c r="P287" s="51">
        <f>IFERROR(IF(OR(M287=0,N287=0),0,(M287+N287)*2+11),0)</f>
        <v>0</v>
      </c>
      <c r="Q287" s="51">
        <f>IFERROR(IF(OR(N287=0,O287=0),0,(N287+O287)-16),0)</f>
        <v>0</v>
      </c>
      <c r="R287" s="53">
        <f>P287*Q287/1000000</f>
        <v>0</v>
      </c>
      <c r="S287" s="123">
        <f>IFERROR(VLOOKUP(L287,'[3]Carton Sizes Chart'!$A$4:$E$15,5,FALSE),0)</f>
        <v>0</v>
      </c>
      <c r="T287" s="124">
        <f>S287</f>
        <v>0</v>
      </c>
      <c r="U287" s="124">
        <f>I287*T287</f>
        <v>0</v>
      </c>
      <c r="V287" s="123">
        <f>((T287*I287)-W287)*4%</f>
        <v>0</v>
      </c>
      <c r="W287" s="124">
        <f>S287*I287*5%</f>
        <v>0</v>
      </c>
    </row>
    <row r="288" spans="1:23">
      <c r="A288" s="118"/>
      <c r="B288" s="118"/>
      <c r="C288" s="119"/>
      <c r="D288" s="118"/>
      <c r="E288" s="118"/>
      <c r="F288" s="118"/>
      <c r="G288" s="119"/>
      <c r="H288" s="119"/>
      <c r="I288" s="119"/>
      <c r="J288" s="119" t="s">
        <v>95</v>
      </c>
      <c r="K288" s="119" t="s">
        <v>110</v>
      </c>
      <c r="L288" s="119" t="s">
        <v>123</v>
      </c>
      <c r="M288" s="51" cm="1">
        <f t="array" ref="M288">IF(L288="",0,_xlfn.SWITCH(L288,"A1",495,"A2",495,"A3",495,"Custom",0,595))</f>
        <v>0</v>
      </c>
      <c r="N288" s="51" cm="1">
        <f t="array" ref="N288">IF(L288="",0,_xlfn.SWITCH(L288,"C1",325,"C2",325,"C3",325,"D1",380,"D2",380,"D3",380,"Custom",0,285))</f>
        <v>0</v>
      </c>
      <c r="O288" s="51">
        <f>IF(L288="",0,_xlfn.SWITCH(L288,"A1",375,"B1",375,"C1",375,"D1",375,"A2",310,"B2",310,"C2",310,"D2",310,"Custom",0,260))</f>
        <v>0</v>
      </c>
      <c r="P288" s="51">
        <f>IFERROR(IF(OR(M288=0,N288=0),0,(M288+N288)*2+11),0)</f>
        <v>0</v>
      </c>
      <c r="Q288" s="51">
        <f>IFERROR(IF(OR(N288=0,O288=0),0,(N288+O288)-16),0)</f>
        <v>0</v>
      </c>
      <c r="R288" s="53">
        <f>P288*Q288/1000000</f>
        <v>0</v>
      </c>
      <c r="S288" s="123">
        <f>IFERROR(VLOOKUP(L288,'[3]Carton Sizes Chart'!$A$4:$E$15,5,FALSE),0)</f>
        <v>0</v>
      </c>
      <c r="T288" s="124">
        <f>S288</f>
        <v>0</v>
      </c>
      <c r="U288" s="124">
        <f>I288*T288</f>
        <v>0</v>
      </c>
      <c r="V288" s="123">
        <f>((T288*I288)-W288)*4%</f>
        <v>0</v>
      </c>
      <c r="W288" s="124">
        <f>S288*I288*5%</f>
        <v>0</v>
      </c>
    </row>
    <row r="289" spans="1:23">
      <c r="A289" s="118"/>
      <c r="B289" s="118"/>
      <c r="C289" s="119"/>
      <c r="D289" s="118"/>
      <c r="E289" s="118"/>
      <c r="F289" s="118"/>
      <c r="G289" s="119"/>
      <c r="H289" s="119"/>
      <c r="I289" s="119"/>
      <c r="J289" s="119" t="s">
        <v>95</v>
      </c>
      <c r="K289" s="119" t="s">
        <v>110</v>
      </c>
      <c r="L289" s="119" t="s">
        <v>123</v>
      </c>
      <c r="M289" s="51" cm="1">
        <f t="array" ref="M289">IF(L289="",0,_xlfn.SWITCH(L289,"A1",495,"A2",495,"A3",495,"Custom",0,595))</f>
        <v>0</v>
      </c>
      <c r="N289" s="51" cm="1">
        <f t="array" ref="N289">IF(L289="",0,_xlfn.SWITCH(L289,"C1",325,"C2",325,"C3",325,"D1",380,"D2",380,"D3",380,"Custom",0,285))</f>
        <v>0</v>
      </c>
      <c r="O289" s="51">
        <f>IF(L289="",0,_xlfn.SWITCH(L289,"A1",375,"B1",375,"C1",375,"D1",375,"A2",310,"B2",310,"C2",310,"D2",310,"Custom",0,260))</f>
        <v>0</v>
      </c>
      <c r="P289" s="51">
        <f>IFERROR(IF(OR(M289=0,N289=0),0,(M289+N289)*2+11),0)</f>
        <v>0</v>
      </c>
      <c r="Q289" s="51">
        <f>IFERROR(IF(OR(N289=0,O289=0),0,(N289+O289)-16),0)</f>
        <v>0</v>
      </c>
      <c r="R289" s="53">
        <f>P289*Q289/1000000</f>
        <v>0</v>
      </c>
      <c r="S289" s="123">
        <f>IFERROR(VLOOKUP(L289,'[3]Carton Sizes Chart'!$A$4:$E$15,5,FALSE),0)</f>
        <v>0</v>
      </c>
      <c r="T289" s="124">
        <f>S289</f>
        <v>0</v>
      </c>
      <c r="U289" s="124">
        <f>I289*T289</f>
        <v>0</v>
      </c>
      <c r="V289" s="123">
        <f>((T289*I289)-W289)*4%</f>
        <v>0</v>
      </c>
      <c r="W289" s="124">
        <f>S289*I289*5%</f>
        <v>0</v>
      </c>
    </row>
    <row r="290" spans="1:23">
      <c r="A290" s="118"/>
      <c r="B290" s="118"/>
      <c r="C290" s="119"/>
      <c r="D290" s="118"/>
      <c r="E290" s="118"/>
      <c r="F290" s="118"/>
      <c r="G290" s="119"/>
      <c r="H290" s="119"/>
      <c r="I290" s="119"/>
      <c r="J290" s="119" t="s">
        <v>95</v>
      </c>
      <c r="K290" s="119" t="s">
        <v>110</v>
      </c>
      <c r="L290" s="119" t="s">
        <v>123</v>
      </c>
      <c r="M290" s="51" cm="1">
        <f t="array" ref="M290">IF(L290="",0,_xlfn.SWITCH(L290,"A1",495,"A2",495,"A3",495,"Custom",0,595))</f>
        <v>0</v>
      </c>
      <c r="N290" s="51" cm="1">
        <f t="array" ref="N290">IF(L290="",0,_xlfn.SWITCH(L290,"C1",325,"C2",325,"C3",325,"D1",380,"D2",380,"D3",380,"Custom",0,285))</f>
        <v>0</v>
      </c>
      <c r="O290" s="51">
        <f>IF(L290="",0,_xlfn.SWITCH(L290,"A1",375,"B1",375,"C1",375,"D1",375,"A2",310,"B2",310,"C2",310,"D2",310,"Custom",0,260))</f>
        <v>0</v>
      </c>
      <c r="P290" s="51">
        <f>IFERROR(IF(OR(M290=0,N290=0),0,(M290+N290)*2+11),0)</f>
        <v>0</v>
      </c>
      <c r="Q290" s="51">
        <f>IFERROR(IF(OR(N290=0,O290=0),0,(N290+O290)-16),0)</f>
        <v>0</v>
      </c>
      <c r="R290" s="53">
        <f>P290*Q290/1000000</f>
        <v>0</v>
      </c>
      <c r="S290" s="123">
        <f>IFERROR(VLOOKUP(L290,'[3]Carton Sizes Chart'!$A$4:$E$15,5,FALSE),0)</f>
        <v>0</v>
      </c>
      <c r="T290" s="124">
        <f>S290</f>
        <v>0</v>
      </c>
      <c r="U290" s="124">
        <f>I290*T290</f>
        <v>0</v>
      </c>
      <c r="V290" s="123">
        <f>((T290*I290)-W290)*4%</f>
        <v>0</v>
      </c>
      <c r="W290" s="124">
        <f>S290*I290*5%</f>
        <v>0</v>
      </c>
    </row>
    <row r="291" spans="1:23">
      <c r="A291" s="118"/>
      <c r="B291" s="118"/>
      <c r="C291" s="119"/>
      <c r="D291" s="118"/>
      <c r="E291" s="118"/>
      <c r="F291" s="118"/>
      <c r="G291" s="119"/>
      <c r="H291" s="119"/>
      <c r="I291" s="119"/>
      <c r="J291" s="119" t="s">
        <v>95</v>
      </c>
      <c r="K291" s="119" t="s">
        <v>110</v>
      </c>
      <c r="L291" s="119" t="s">
        <v>123</v>
      </c>
      <c r="M291" s="51" cm="1">
        <f t="array" ref="M291">IF(L291="",0,_xlfn.SWITCH(L291,"A1",495,"A2",495,"A3",495,"Custom",0,595))</f>
        <v>0</v>
      </c>
      <c r="N291" s="51" cm="1">
        <f t="array" ref="N291">IF(L291="",0,_xlfn.SWITCH(L291,"C1",325,"C2",325,"C3",325,"D1",380,"D2",380,"D3",380,"Custom",0,285))</f>
        <v>0</v>
      </c>
      <c r="O291" s="51">
        <f>IF(L291="",0,_xlfn.SWITCH(L291,"A1",375,"B1",375,"C1",375,"D1",375,"A2",310,"B2",310,"C2",310,"D2",310,"Custom",0,260))</f>
        <v>0</v>
      </c>
      <c r="P291" s="51">
        <f>IFERROR(IF(OR(M291=0,N291=0),0,(M291+N291)*2+11),0)</f>
        <v>0</v>
      </c>
      <c r="Q291" s="51">
        <f>IFERROR(IF(OR(N291=0,O291=0),0,(N291+O291)-16),0)</f>
        <v>0</v>
      </c>
      <c r="R291" s="53">
        <f>P291*Q291/1000000</f>
        <v>0</v>
      </c>
      <c r="S291" s="123">
        <f>IFERROR(VLOOKUP(L291,'[3]Carton Sizes Chart'!$A$4:$E$15,5,FALSE),0)</f>
        <v>0</v>
      </c>
      <c r="T291" s="124">
        <f>S291</f>
        <v>0</v>
      </c>
      <c r="U291" s="124">
        <f>I291*T291</f>
        <v>0</v>
      </c>
      <c r="V291" s="123">
        <f>((T291*I291)-W291)*4%</f>
        <v>0</v>
      </c>
      <c r="W291" s="124">
        <f>S291*I291*5%</f>
        <v>0</v>
      </c>
    </row>
    <row r="292" spans="1:23">
      <c r="A292" s="118"/>
      <c r="B292" s="118"/>
      <c r="C292" s="119"/>
      <c r="D292" s="118"/>
      <c r="E292" s="118"/>
      <c r="F292" s="118"/>
      <c r="G292" s="119"/>
      <c r="H292" s="119"/>
      <c r="I292" s="119"/>
      <c r="J292" s="119" t="s">
        <v>95</v>
      </c>
      <c r="K292" s="119" t="s">
        <v>110</v>
      </c>
      <c r="L292" s="119" t="s">
        <v>123</v>
      </c>
      <c r="M292" s="51" cm="1">
        <f t="array" ref="M292">IF(L292="",0,_xlfn.SWITCH(L292,"A1",495,"A2",495,"A3",495,"Custom",0,595))</f>
        <v>0</v>
      </c>
      <c r="N292" s="51" cm="1">
        <f t="array" ref="N292">IF(L292="",0,_xlfn.SWITCH(L292,"C1",325,"C2",325,"C3",325,"D1",380,"D2",380,"D3",380,"Custom",0,285))</f>
        <v>0</v>
      </c>
      <c r="O292" s="51">
        <f>IF(L292="",0,_xlfn.SWITCH(L292,"A1",375,"B1",375,"C1",375,"D1",375,"A2",310,"B2",310,"C2",310,"D2",310,"Custom",0,260))</f>
        <v>0</v>
      </c>
      <c r="P292" s="51">
        <f>IFERROR(IF(OR(M292=0,N292=0),0,(M292+N292)*2+11),0)</f>
        <v>0</v>
      </c>
      <c r="Q292" s="51">
        <f>IFERROR(IF(OR(N292=0,O292=0),0,(N292+O292)-16),0)</f>
        <v>0</v>
      </c>
      <c r="R292" s="53">
        <f>P292*Q292/1000000</f>
        <v>0</v>
      </c>
      <c r="S292" s="123">
        <f>IFERROR(VLOOKUP(L292,'[3]Carton Sizes Chart'!$A$4:$E$15,5,FALSE),0)</f>
        <v>0</v>
      </c>
      <c r="T292" s="124">
        <f>S292</f>
        <v>0</v>
      </c>
      <c r="U292" s="124">
        <f>I292*T292</f>
        <v>0</v>
      </c>
      <c r="V292" s="123">
        <f>((T292*I292)-W292)*4%</f>
        <v>0</v>
      </c>
      <c r="W292" s="124">
        <f>S292*I292*5%</f>
        <v>0</v>
      </c>
    </row>
    <row r="293" spans="1:23">
      <c r="A293" s="118"/>
      <c r="B293" s="118"/>
      <c r="C293" s="119"/>
      <c r="D293" s="118"/>
      <c r="E293" s="118"/>
      <c r="F293" s="118"/>
      <c r="G293" s="119"/>
      <c r="H293" s="119"/>
      <c r="I293" s="119"/>
      <c r="J293" s="119" t="s">
        <v>95</v>
      </c>
      <c r="K293" s="119" t="s">
        <v>110</v>
      </c>
      <c r="L293" s="119" t="s">
        <v>123</v>
      </c>
      <c r="M293" s="51" cm="1">
        <f t="array" ref="M293">IF(L293="",0,_xlfn.SWITCH(L293,"A1",495,"A2",495,"A3",495,"Custom",0,595))</f>
        <v>0</v>
      </c>
      <c r="N293" s="51" cm="1">
        <f t="array" ref="N293">IF(L293="",0,_xlfn.SWITCH(L293,"C1",325,"C2",325,"C3",325,"D1",380,"D2",380,"D3",380,"Custom",0,285))</f>
        <v>0</v>
      </c>
      <c r="O293" s="51">
        <f>IF(L293="",0,_xlfn.SWITCH(L293,"A1",375,"B1",375,"C1",375,"D1",375,"A2",310,"B2",310,"C2",310,"D2",310,"Custom",0,260))</f>
        <v>0</v>
      </c>
      <c r="P293" s="51">
        <f>IFERROR(IF(OR(M293=0,N293=0),0,(M293+N293)*2+11),0)</f>
        <v>0</v>
      </c>
      <c r="Q293" s="51">
        <f>IFERROR(IF(OR(N293=0,O293=0),0,(N293+O293)-16),0)</f>
        <v>0</v>
      </c>
      <c r="R293" s="53">
        <f>P293*Q293/1000000</f>
        <v>0</v>
      </c>
      <c r="S293" s="123">
        <f>IFERROR(VLOOKUP(L293,'[3]Carton Sizes Chart'!$A$4:$E$15,5,FALSE),0)</f>
        <v>0</v>
      </c>
      <c r="T293" s="124">
        <f>S293</f>
        <v>0</v>
      </c>
      <c r="U293" s="124">
        <f>I293*T293</f>
        <v>0</v>
      </c>
      <c r="V293" s="123">
        <f>((T293*I293)-W293)*4%</f>
        <v>0</v>
      </c>
      <c r="W293" s="124">
        <f>S293*I293*5%</f>
        <v>0</v>
      </c>
    </row>
    <row r="294" spans="1:23">
      <c r="A294" s="118"/>
      <c r="B294" s="118"/>
      <c r="C294" s="119"/>
      <c r="D294" s="118"/>
      <c r="E294" s="118"/>
      <c r="F294" s="118"/>
      <c r="G294" s="119"/>
      <c r="H294" s="119"/>
      <c r="I294" s="119"/>
      <c r="J294" s="119" t="s">
        <v>95</v>
      </c>
      <c r="K294" s="119" t="s">
        <v>110</v>
      </c>
      <c r="L294" s="119" t="s">
        <v>123</v>
      </c>
      <c r="M294" s="51" cm="1">
        <f t="array" ref="M294">IF(L294="",0,_xlfn.SWITCH(L294,"A1",495,"A2",495,"A3",495,"Custom",0,595))</f>
        <v>0</v>
      </c>
      <c r="N294" s="51" cm="1">
        <f t="array" ref="N294">IF(L294="",0,_xlfn.SWITCH(L294,"C1",325,"C2",325,"C3",325,"D1",380,"D2",380,"D3",380,"Custom",0,285))</f>
        <v>0</v>
      </c>
      <c r="O294" s="51">
        <f>IF(L294="",0,_xlfn.SWITCH(L294,"A1",375,"B1",375,"C1",375,"D1",375,"A2",310,"B2",310,"C2",310,"D2",310,"Custom",0,260))</f>
        <v>0</v>
      </c>
      <c r="P294" s="51">
        <f>IFERROR(IF(OR(M294=0,N294=0),0,(M294+N294)*2+11),0)</f>
        <v>0</v>
      </c>
      <c r="Q294" s="51">
        <f>IFERROR(IF(OR(N294=0,O294=0),0,(N294+O294)-16),0)</f>
        <v>0</v>
      </c>
      <c r="R294" s="53">
        <f>P294*Q294/1000000</f>
        <v>0</v>
      </c>
      <c r="S294" s="123">
        <f>IFERROR(VLOOKUP(L294,'[3]Carton Sizes Chart'!$A$4:$E$15,5,FALSE),0)</f>
        <v>0</v>
      </c>
      <c r="T294" s="124">
        <f>S294</f>
        <v>0</v>
      </c>
      <c r="U294" s="124">
        <f>I294*T294</f>
        <v>0</v>
      </c>
      <c r="V294" s="123">
        <f>((T294*I294)-W294)*4%</f>
        <v>0</v>
      </c>
      <c r="W294" s="124">
        <f>S294*I294*5%</f>
        <v>0</v>
      </c>
    </row>
    <row r="295" spans="1:23">
      <c r="A295" s="118"/>
      <c r="B295" s="118"/>
      <c r="C295" s="119"/>
      <c r="D295" s="118"/>
      <c r="E295" s="118"/>
      <c r="F295" s="118"/>
      <c r="G295" s="119"/>
      <c r="H295" s="119"/>
      <c r="I295" s="119"/>
      <c r="J295" s="119" t="s">
        <v>95</v>
      </c>
      <c r="K295" s="119" t="s">
        <v>110</v>
      </c>
      <c r="L295" s="119" t="s">
        <v>123</v>
      </c>
      <c r="M295" s="51" cm="1">
        <f t="array" ref="M295">IF(L295="",0,_xlfn.SWITCH(L295,"A1",495,"A2",495,"A3",495,"Custom",0,595))</f>
        <v>0</v>
      </c>
      <c r="N295" s="51" cm="1">
        <f t="array" ref="N295">IF(L295="",0,_xlfn.SWITCH(L295,"C1",325,"C2",325,"C3",325,"D1",380,"D2",380,"D3",380,"Custom",0,285))</f>
        <v>0</v>
      </c>
      <c r="O295" s="51">
        <f>IF(L295="",0,_xlfn.SWITCH(L295,"A1",375,"B1",375,"C1",375,"D1",375,"A2",310,"B2",310,"C2",310,"D2",310,"Custom",0,260))</f>
        <v>0</v>
      </c>
      <c r="P295" s="51">
        <f>IFERROR(IF(OR(M295=0,N295=0),0,(M295+N295)*2+11),0)</f>
        <v>0</v>
      </c>
      <c r="Q295" s="51">
        <f>IFERROR(IF(OR(N295=0,O295=0),0,(N295+O295)-16),0)</f>
        <v>0</v>
      </c>
      <c r="R295" s="53">
        <f>P295*Q295/1000000</f>
        <v>0</v>
      </c>
      <c r="S295" s="123">
        <f>IFERROR(VLOOKUP(L295,'[3]Carton Sizes Chart'!$A$4:$E$15,5,FALSE),0)</f>
        <v>0</v>
      </c>
      <c r="T295" s="124">
        <f>S295</f>
        <v>0</v>
      </c>
      <c r="U295" s="124">
        <f>I295*T295</f>
        <v>0</v>
      </c>
      <c r="V295" s="123">
        <f>((T295*I295)-W295)*4%</f>
        <v>0</v>
      </c>
      <c r="W295" s="124">
        <f>S295*I295*5%</f>
        <v>0</v>
      </c>
    </row>
    <row r="296" spans="1:23">
      <c r="A296" s="118"/>
      <c r="B296" s="118"/>
      <c r="C296" s="119"/>
      <c r="D296" s="118"/>
      <c r="E296" s="118"/>
      <c r="F296" s="118"/>
      <c r="G296" s="119"/>
      <c r="H296" s="119"/>
      <c r="I296" s="119"/>
      <c r="J296" s="119" t="s">
        <v>95</v>
      </c>
      <c r="K296" s="119" t="s">
        <v>110</v>
      </c>
      <c r="L296" s="119" t="s">
        <v>123</v>
      </c>
      <c r="M296" s="51" cm="1">
        <f t="array" ref="M296">IF(L296="",0,_xlfn.SWITCH(L296,"A1",495,"A2",495,"A3",495,"Custom",0,595))</f>
        <v>0</v>
      </c>
      <c r="N296" s="51" cm="1">
        <f t="array" ref="N296">IF(L296="",0,_xlfn.SWITCH(L296,"C1",325,"C2",325,"C3",325,"D1",380,"D2",380,"D3",380,"Custom",0,285))</f>
        <v>0</v>
      </c>
      <c r="O296" s="51">
        <f>IF(L296="",0,_xlfn.SWITCH(L296,"A1",375,"B1",375,"C1",375,"D1",375,"A2",310,"B2",310,"C2",310,"D2",310,"Custom",0,260))</f>
        <v>0</v>
      </c>
      <c r="P296" s="51">
        <f>IFERROR(IF(OR(M296=0,N296=0),0,(M296+N296)*2+11),0)</f>
        <v>0</v>
      </c>
      <c r="Q296" s="51">
        <f>IFERROR(IF(OR(N296=0,O296=0),0,(N296+O296)-16),0)</f>
        <v>0</v>
      </c>
      <c r="R296" s="53">
        <f>P296*Q296/1000000</f>
        <v>0</v>
      </c>
      <c r="S296" s="123">
        <f>IFERROR(VLOOKUP(L296,'[3]Carton Sizes Chart'!$A$4:$E$15,5,FALSE),0)</f>
        <v>0</v>
      </c>
      <c r="T296" s="124">
        <f>S296</f>
        <v>0</v>
      </c>
      <c r="U296" s="124">
        <f>I296*T296</f>
        <v>0</v>
      </c>
      <c r="V296" s="123">
        <f>((T296*I296)-W296)*4%</f>
        <v>0</v>
      </c>
      <c r="W296" s="124">
        <f>S296*I296*5%</f>
        <v>0</v>
      </c>
    </row>
    <row r="297" spans="1:23">
      <c r="A297" s="118"/>
      <c r="B297" s="118"/>
      <c r="C297" s="119"/>
      <c r="D297" s="118"/>
      <c r="E297" s="118"/>
      <c r="F297" s="118"/>
      <c r="G297" s="119"/>
      <c r="H297" s="119"/>
      <c r="I297" s="119"/>
      <c r="J297" s="119" t="s">
        <v>95</v>
      </c>
      <c r="K297" s="119" t="s">
        <v>110</v>
      </c>
      <c r="L297" s="119" t="s">
        <v>123</v>
      </c>
      <c r="M297" s="51" cm="1">
        <f t="array" ref="M297">IF(L297="",0,_xlfn.SWITCH(L297,"A1",495,"A2",495,"A3",495,"Custom",0,595))</f>
        <v>0</v>
      </c>
      <c r="N297" s="51" cm="1">
        <f t="array" ref="N297">IF(L297="",0,_xlfn.SWITCH(L297,"C1",325,"C2",325,"C3",325,"D1",380,"D2",380,"D3",380,"Custom",0,285))</f>
        <v>0</v>
      </c>
      <c r="O297" s="51">
        <f>IF(L297="",0,_xlfn.SWITCH(L297,"A1",375,"B1",375,"C1",375,"D1",375,"A2",310,"B2",310,"C2",310,"D2",310,"Custom",0,260))</f>
        <v>0</v>
      </c>
      <c r="P297" s="51">
        <f>IFERROR(IF(OR(M297=0,N297=0),0,(M297+N297)*2+11),0)</f>
        <v>0</v>
      </c>
      <c r="Q297" s="51">
        <f>IFERROR(IF(OR(N297=0,O297=0),0,(N297+O297)-16),0)</f>
        <v>0</v>
      </c>
      <c r="R297" s="53">
        <f>P297*Q297/1000000</f>
        <v>0</v>
      </c>
      <c r="S297" s="123">
        <f>IFERROR(VLOOKUP(L297,'[3]Carton Sizes Chart'!$A$4:$E$15,5,FALSE),0)</f>
        <v>0</v>
      </c>
      <c r="T297" s="124">
        <f>S297</f>
        <v>0</v>
      </c>
      <c r="U297" s="124">
        <f>I297*T297</f>
        <v>0</v>
      </c>
      <c r="V297" s="123">
        <f>((T297*I297)-W297)*4%</f>
        <v>0</v>
      </c>
      <c r="W297" s="124">
        <f>S297*I297*5%</f>
        <v>0</v>
      </c>
    </row>
    <row r="298" spans="1:23">
      <c r="A298" s="118"/>
      <c r="B298" s="118"/>
      <c r="C298" s="119"/>
      <c r="D298" s="118"/>
      <c r="E298" s="118"/>
      <c r="F298" s="118"/>
      <c r="G298" s="119"/>
      <c r="H298" s="119"/>
      <c r="I298" s="119"/>
      <c r="J298" s="119" t="s">
        <v>95</v>
      </c>
      <c r="K298" s="119" t="s">
        <v>110</v>
      </c>
      <c r="L298" s="119" t="s">
        <v>123</v>
      </c>
      <c r="M298" s="51" cm="1">
        <f t="array" ref="M298">IF(L298="",0,_xlfn.SWITCH(L298,"A1",495,"A2",495,"A3",495,"Custom",0,595))</f>
        <v>0</v>
      </c>
      <c r="N298" s="51" cm="1">
        <f t="array" ref="N298">IF(L298="",0,_xlfn.SWITCH(L298,"C1",325,"C2",325,"C3",325,"D1",380,"D2",380,"D3",380,"Custom",0,285))</f>
        <v>0</v>
      </c>
      <c r="O298" s="51">
        <f>IF(L298="",0,_xlfn.SWITCH(L298,"A1",375,"B1",375,"C1",375,"D1",375,"A2",310,"B2",310,"C2",310,"D2",310,"Custom",0,260))</f>
        <v>0</v>
      </c>
      <c r="P298" s="51">
        <f>IFERROR(IF(OR(M298=0,N298=0),0,(M298+N298)*2+11),0)</f>
        <v>0</v>
      </c>
      <c r="Q298" s="51">
        <f>IFERROR(IF(OR(N298=0,O298=0),0,(N298+O298)-16),0)</f>
        <v>0</v>
      </c>
      <c r="R298" s="53">
        <f>P298*Q298/1000000</f>
        <v>0</v>
      </c>
      <c r="S298" s="123">
        <f>IFERROR(VLOOKUP(L298,'[3]Carton Sizes Chart'!$A$4:$E$15,5,FALSE),0)</f>
        <v>0</v>
      </c>
      <c r="T298" s="124">
        <f>S298</f>
        <v>0</v>
      </c>
      <c r="U298" s="124">
        <f>I298*T298</f>
        <v>0</v>
      </c>
      <c r="V298" s="123">
        <f>((T298*I298)-W298)*4%</f>
        <v>0</v>
      </c>
      <c r="W298" s="124">
        <f>S298*I298*5%</f>
        <v>0</v>
      </c>
    </row>
    <row r="299" spans="1:23">
      <c r="A299" s="118"/>
      <c r="B299" s="118"/>
      <c r="C299" s="119"/>
      <c r="D299" s="118"/>
      <c r="E299" s="118"/>
      <c r="F299" s="118"/>
      <c r="G299" s="119"/>
      <c r="H299" s="119"/>
      <c r="I299" s="119"/>
      <c r="J299" s="119" t="s">
        <v>95</v>
      </c>
      <c r="K299" s="119" t="s">
        <v>110</v>
      </c>
      <c r="L299" s="119" t="s">
        <v>123</v>
      </c>
      <c r="M299" s="51" cm="1">
        <f t="array" ref="M299">IF(L299="",0,_xlfn.SWITCH(L299,"A1",495,"A2",495,"A3",495,"Custom",0,595))</f>
        <v>0</v>
      </c>
      <c r="N299" s="51" cm="1">
        <f t="array" ref="N299">IF(L299="",0,_xlfn.SWITCH(L299,"C1",325,"C2",325,"C3",325,"D1",380,"D2",380,"D3",380,"Custom",0,285))</f>
        <v>0</v>
      </c>
      <c r="O299" s="51">
        <f>IF(L299="",0,_xlfn.SWITCH(L299,"A1",375,"B1",375,"C1",375,"D1",375,"A2",310,"B2",310,"C2",310,"D2",310,"Custom",0,260))</f>
        <v>0</v>
      </c>
      <c r="P299" s="51">
        <f>IFERROR(IF(OR(M299=0,N299=0),0,(M299+N299)*2+11),0)</f>
        <v>0</v>
      </c>
      <c r="Q299" s="51">
        <f>IFERROR(IF(OR(N299=0,O299=0),0,(N299+O299)-16),0)</f>
        <v>0</v>
      </c>
      <c r="R299" s="53">
        <f>P299*Q299/1000000</f>
        <v>0</v>
      </c>
      <c r="S299" s="123">
        <f>IFERROR(VLOOKUP(L299,'[3]Carton Sizes Chart'!$A$4:$E$15,5,FALSE),0)</f>
        <v>0</v>
      </c>
      <c r="T299" s="124">
        <f>S299</f>
        <v>0</v>
      </c>
      <c r="U299" s="124">
        <f>I299*T299</f>
        <v>0</v>
      </c>
      <c r="V299" s="123">
        <f>((T299*I299)-W299)*4%</f>
        <v>0</v>
      </c>
      <c r="W299" s="124">
        <f>S299*I299*5%</f>
        <v>0</v>
      </c>
    </row>
    <row r="300" spans="1:23">
      <c r="A300" s="118"/>
      <c r="B300" s="118"/>
      <c r="C300" s="119"/>
      <c r="D300" s="118"/>
      <c r="E300" s="118"/>
      <c r="F300" s="118"/>
      <c r="G300" s="119"/>
      <c r="H300" s="119"/>
      <c r="I300" s="119"/>
      <c r="J300" s="119" t="s">
        <v>95</v>
      </c>
      <c r="K300" s="119" t="s">
        <v>110</v>
      </c>
      <c r="L300" s="119" t="s">
        <v>123</v>
      </c>
      <c r="M300" s="51" cm="1">
        <f t="array" ref="M300">IF(L300="",0,_xlfn.SWITCH(L300,"A1",495,"A2",495,"A3",495,"Custom",0,595))</f>
        <v>0</v>
      </c>
      <c r="N300" s="51" cm="1">
        <f t="array" ref="N300">IF(L300="",0,_xlfn.SWITCH(L300,"C1",325,"C2",325,"C3",325,"D1",380,"D2",380,"D3",380,"Custom",0,285))</f>
        <v>0</v>
      </c>
      <c r="O300" s="51">
        <f>IF(L300="",0,_xlfn.SWITCH(L300,"A1",375,"B1",375,"C1",375,"D1",375,"A2",310,"B2",310,"C2",310,"D2",310,"Custom",0,260))</f>
        <v>0</v>
      </c>
      <c r="P300" s="51">
        <f>IFERROR(IF(OR(M300=0,N300=0),0,(M300+N300)*2+11),0)</f>
        <v>0</v>
      </c>
      <c r="Q300" s="51">
        <f>IFERROR(IF(OR(N300=0,O300=0),0,(N300+O300)-16),0)</f>
        <v>0</v>
      </c>
      <c r="R300" s="53">
        <f>P300*Q300/1000000</f>
        <v>0</v>
      </c>
      <c r="S300" s="123">
        <f>IFERROR(VLOOKUP(L300,'[3]Carton Sizes Chart'!$A$4:$E$15,5,FALSE),0)</f>
        <v>0</v>
      </c>
      <c r="T300" s="124">
        <f>S300</f>
        <v>0</v>
      </c>
      <c r="U300" s="124">
        <f>I300*T300</f>
        <v>0</v>
      </c>
      <c r="V300" s="123">
        <f>((T300*I300)-W300)*4%</f>
        <v>0</v>
      </c>
      <c r="W300" s="124">
        <f>S300*I300*5%</f>
        <v>0</v>
      </c>
    </row>
    <row r="301" spans="1:23">
      <c r="A301" s="118"/>
      <c r="B301" s="118"/>
      <c r="C301" s="119"/>
      <c r="D301" s="118"/>
      <c r="E301" s="118"/>
      <c r="F301" s="118"/>
      <c r="G301" s="119"/>
      <c r="H301" s="119"/>
      <c r="I301" s="119"/>
      <c r="J301" s="119" t="s">
        <v>95</v>
      </c>
      <c r="K301" s="119" t="s">
        <v>110</v>
      </c>
      <c r="L301" s="119" t="s">
        <v>123</v>
      </c>
      <c r="M301" s="51" cm="1">
        <f t="array" ref="M301">IF(L301="",0,_xlfn.SWITCH(L301,"A1",495,"A2",495,"A3",495,"Custom",0,595))</f>
        <v>0</v>
      </c>
      <c r="N301" s="51" cm="1">
        <f t="array" ref="N301">IF(L301="",0,_xlfn.SWITCH(L301,"C1",325,"C2",325,"C3",325,"D1",380,"D2",380,"D3",380,"Custom",0,285))</f>
        <v>0</v>
      </c>
      <c r="O301" s="51">
        <f>IF(L301="",0,_xlfn.SWITCH(L301,"A1",375,"B1",375,"C1",375,"D1",375,"A2",310,"B2",310,"C2",310,"D2",310,"Custom",0,260))</f>
        <v>0</v>
      </c>
      <c r="P301" s="51">
        <f>IFERROR(IF(OR(M301=0,N301=0),0,(M301+N301)*2+11),0)</f>
        <v>0</v>
      </c>
      <c r="Q301" s="51">
        <f>IFERROR(IF(OR(N301=0,O301=0),0,(N301+O301)-16),0)</f>
        <v>0</v>
      </c>
      <c r="R301" s="53">
        <f>P301*Q301/1000000</f>
        <v>0</v>
      </c>
      <c r="S301" s="123">
        <f>IFERROR(VLOOKUP(L301,'[3]Carton Sizes Chart'!$A$4:$E$15,5,FALSE),0)</f>
        <v>0</v>
      </c>
      <c r="T301" s="124">
        <f>S301</f>
        <v>0</v>
      </c>
      <c r="U301" s="124">
        <f>I301*T301</f>
        <v>0</v>
      </c>
      <c r="V301" s="123">
        <f>((T301*I301)-W301)*4%</f>
        <v>0</v>
      </c>
      <c r="W301" s="124">
        <f>S301*I301*5%</f>
        <v>0</v>
      </c>
    </row>
    <row r="302" spans="1:23">
      <c r="A302" s="118"/>
      <c r="B302" s="118"/>
      <c r="C302" s="119"/>
      <c r="D302" s="118"/>
      <c r="E302" s="118"/>
      <c r="F302" s="118"/>
      <c r="G302" s="119"/>
      <c r="H302" s="119"/>
      <c r="I302" s="119"/>
      <c r="J302" s="119" t="s">
        <v>95</v>
      </c>
      <c r="K302" s="119" t="s">
        <v>110</v>
      </c>
      <c r="L302" s="119" t="s">
        <v>123</v>
      </c>
      <c r="M302" s="51" cm="1">
        <f t="array" ref="M302">IF(L302="",0,_xlfn.SWITCH(L302,"A1",495,"A2",495,"A3",495,"Custom",0,595))</f>
        <v>0</v>
      </c>
      <c r="N302" s="51" cm="1">
        <f t="array" ref="N302">IF(L302="",0,_xlfn.SWITCH(L302,"C1",325,"C2",325,"C3",325,"D1",380,"D2",380,"D3",380,"Custom",0,285))</f>
        <v>0</v>
      </c>
      <c r="O302" s="51">
        <f>IF(L302="",0,_xlfn.SWITCH(L302,"A1",375,"B1",375,"C1",375,"D1",375,"A2",310,"B2",310,"C2",310,"D2",310,"Custom",0,260))</f>
        <v>0</v>
      </c>
      <c r="P302" s="51">
        <f>IFERROR(IF(OR(M302=0,N302=0),0,(M302+N302)*2+11),0)</f>
        <v>0</v>
      </c>
      <c r="Q302" s="51">
        <f>IFERROR(IF(OR(N302=0,O302=0),0,(N302+O302)-16),0)</f>
        <v>0</v>
      </c>
      <c r="R302" s="53">
        <f>P302*Q302/1000000</f>
        <v>0</v>
      </c>
      <c r="S302" s="123">
        <f>IFERROR(VLOOKUP(L302,'[3]Carton Sizes Chart'!$A$4:$E$15,5,FALSE),0)</f>
        <v>0</v>
      </c>
      <c r="T302" s="124">
        <f>S302</f>
        <v>0</v>
      </c>
      <c r="U302" s="124">
        <f>I302*T302</f>
        <v>0</v>
      </c>
      <c r="V302" s="123">
        <f>((T302*I302)-W302)*4%</f>
        <v>0</v>
      </c>
      <c r="W302" s="124">
        <f>S302*I302*5%</f>
        <v>0</v>
      </c>
    </row>
    <row r="303" spans="1:23">
      <c r="A303" s="118"/>
      <c r="B303" s="118"/>
      <c r="C303" s="119"/>
      <c r="D303" s="118"/>
      <c r="E303" s="118"/>
      <c r="F303" s="118"/>
      <c r="G303" s="119"/>
      <c r="H303" s="119"/>
      <c r="I303" s="119"/>
      <c r="J303" s="119" t="s">
        <v>95</v>
      </c>
      <c r="K303" s="119" t="s">
        <v>110</v>
      </c>
      <c r="L303" s="119" t="s">
        <v>123</v>
      </c>
      <c r="M303" s="51" cm="1">
        <f t="array" ref="M303">IF(L303="",0,_xlfn.SWITCH(L303,"A1",495,"A2",495,"A3",495,"Custom",0,595))</f>
        <v>0</v>
      </c>
      <c r="N303" s="51" cm="1">
        <f t="array" ref="N303">IF(L303="",0,_xlfn.SWITCH(L303,"C1",325,"C2",325,"C3",325,"D1",380,"D2",380,"D3",380,"Custom",0,285))</f>
        <v>0</v>
      </c>
      <c r="O303" s="51">
        <f>IF(L303="",0,_xlfn.SWITCH(L303,"A1",375,"B1",375,"C1",375,"D1",375,"A2",310,"B2",310,"C2",310,"D2",310,"Custom",0,260))</f>
        <v>0</v>
      </c>
      <c r="P303" s="51">
        <f>IFERROR(IF(OR(M303=0,N303=0),0,(M303+N303)*2+11),0)</f>
        <v>0</v>
      </c>
      <c r="Q303" s="51">
        <f>IFERROR(IF(OR(N303=0,O303=0),0,(N303+O303)-16),0)</f>
        <v>0</v>
      </c>
      <c r="R303" s="53">
        <f>P303*Q303/1000000</f>
        <v>0</v>
      </c>
      <c r="S303" s="123">
        <f>IFERROR(VLOOKUP(L303,'[3]Carton Sizes Chart'!$A$4:$E$15,5,FALSE),0)</f>
        <v>0</v>
      </c>
      <c r="T303" s="124">
        <f>S303</f>
        <v>0</v>
      </c>
      <c r="U303" s="124">
        <f>I303*T303</f>
        <v>0</v>
      </c>
      <c r="V303" s="123">
        <f>((T303*I303)-W303)*4%</f>
        <v>0</v>
      </c>
      <c r="W303" s="124">
        <f>S303*I303*5%</f>
        <v>0</v>
      </c>
    </row>
    <row r="304" spans="1:23">
      <c r="A304" s="118"/>
      <c r="B304" s="118"/>
      <c r="C304" s="119"/>
      <c r="D304" s="118"/>
      <c r="E304" s="118"/>
      <c r="F304" s="118"/>
      <c r="G304" s="119"/>
      <c r="H304" s="119"/>
      <c r="I304" s="119"/>
      <c r="J304" s="119" t="s">
        <v>95</v>
      </c>
      <c r="K304" s="119" t="s">
        <v>110</v>
      </c>
      <c r="L304" s="119" t="s">
        <v>123</v>
      </c>
      <c r="M304" s="51" cm="1">
        <f t="array" ref="M304">IF(L304="",0,_xlfn.SWITCH(L304,"A1",495,"A2",495,"A3",495,"Custom",0,595))</f>
        <v>0</v>
      </c>
      <c r="N304" s="51" cm="1">
        <f t="array" ref="N304">IF(L304="",0,_xlfn.SWITCH(L304,"C1",325,"C2",325,"C3",325,"D1",380,"D2",380,"D3",380,"Custom",0,285))</f>
        <v>0</v>
      </c>
      <c r="O304" s="51">
        <f>IF(L304="",0,_xlfn.SWITCH(L304,"A1",375,"B1",375,"C1",375,"D1",375,"A2",310,"B2",310,"C2",310,"D2",310,"Custom",0,260))</f>
        <v>0</v>
      </c>
      <c r="P304" s="51">
        <f>IFERROR(IF(OR(M304=0,N304=0),0,(M304+N304)*2+11),0)</f>
        <v>0</v>
      </c>
      <c r="Q304" s="51">
        <f>IFERROR(IF(OR(N304=0,O304=0),0,(N304+O304)-16),0)</f>
        <v>0</v>
      </c>
      <c r="R304" s="53">
        <f>P304*Q304/1000000</f>
        <v>0</v>
      </c>
      <c r="S304" s="123">
        <f>IFERROR(VLOOKUP(L304,'[3]Carton Sizes Chart'!$A$4:$E$15,5,FALSE),0)</f>
        <v>0</v>
      </c>
      <c r="T304" s="124">
        <f>S304</f>
        <v>0</v>
      </c>
      <c r="U304" s="124">
        <f>I304*T304</f>
        <v>0</v>
      </c>
      <c r="V304" s="123">
        <f>((T304*I304)-W304)*4%</f>
        <v>0</v>
      </c>
      <c r="W304" s="124">
        <f>S304*I304*5%</f>
        <v>0</v>
      </c>
    </row>
    <row r="305" spans="1:23">
      <c r="A305" s="118"/>
      <c r="B305" s="118"/>
      <c r="C305" s="119"/>
      <c r="D305" s="118"/>
      <c r="E305" s="118"/>
      <c r="F305" s="118"/>
      <c r="G305" s="119"/>
      <c r="H305" s="119"/>
      <c r="I305" s="119"/>
      <c r="J305" s="119" t="s">
        <v>95</v>
      </c>
      <c r="K305" s="119" t="s">
        <v>110</v>
      </c>
      <c r="L305" s="119" t="s">
        <v>123</v>
      </c>
      <c r="M305" s="51" cm="1">
        <f t="array" ref="M305">IF(L305="",0,_xlfn.SWITCH(L305,"A1",495,"A2",495,"A3",495,"Custom",0,595))</f>
        <v>0</v>
      </c>
      <c r="N305" s="51" cm="1">
        <f t="array" ref="N305">IF(L305="",0,_xlfn.SWITCH(L305,"C1",325,"C2",325,"C3",325,"D1",380,"D2",380,"D3",380,"Custom",0,285))</f>
        <v>0</v>
      </c>
      <c r="O305" s="51">
        <f>IF(L305="",0,_xlfn.SWITCH(L305,"A1",375,"B1",375,"C1",375,"D1",375,"A2",310,"B2",310,"C2",310,"D2",310,"Custom",0,260))</f>
        <v>0</v>
      </c>
      <c r="P305" s="51">
        <f>IFERROR(IF(OR(M305=0,N305=0),0,(M305+N305)*2+11),0)</f>
        <v>0</v>
      </c>
      <c r="Q305" s="51">
        <f>IFERROR(IF(OR(N305=0,O305=0),0,(N305+O305)-16),0)</f>
        <v>0</v>
      </c>
      <c r="R305" s="53">
        <f>P305*Q305/1000000</f>
        <v>0</v>
      </c>
      <c r="S305" s="123">
        <f>IFERROR(VLOOKUP(L305,'[3]Carton Sizes Chart'!$A$4:$E$15,5,FALSE),0)</f>
        <v>0</v>
      </c>
      <c r="T305" s="124">
        <f>S305</f>
        <v>0</v>
      </c>
      <c r="U305" s="124">
        <f>I305*T305</f>
        <v>0</v>
      </c>
      <c r="V305" s="123">
        <f>((T305*I305)-W305)*4%</f>
        <v>0</v>
      </c>
      <c r="W305" s="124">
        <f>S305*I305*5%</f>
        <v>0</v>
      </c>
    </row>
    <row r="306" spans="1:23">
      <c r="A306" s="118"/>
      <c r="B306" s="118"/>
      <c r="C306" s="119"/>
      <c r="D306" s="118"/>
      <c r="E306" s="118"/>
      <c r="F306" s="118"/>
      <c r="G306" s="119"/>
      <c r="H306" s="119"/>
      <c r="I306" s="119"/>
      <c r="J306" s="119" t="s">
        <v>95</v>
      </c>
      <c r="K306" s="119" t="s">
        <v>110</v>
      </c>
      <c r="L306" s="119" t="s">
        <v>123</v>
      </c>
      <c r="M306" s="51" cm="1">
        <f t="array" ref="M306">IF(L306="",0,_xlfn.SWITCH(L306,"A1",495,"A2",495,"A3",495,"Custom",0,595))</f>
        <v>0</v>
      </c>
      <c r="N306" s="51" cm="1">
        <f t="array" ref="N306">IF(L306="",0,_xlfn.SWITCH(L306,"C1",325,"C2",325,"C3",325,"D1",380,"D2",380,"D3",380,"Custom",0,285))</f>
        <v>0</v>
      </c>
      <c r="O306" s="51">
        <f>IF(L306="",0,_xlfn.SWITCH(L306,"A1",375,"B1",375,"C1",375,"D1",375,"A2",310,"B2",310,"C2",310,"D2",310,"Custom",0,260))</f>
        <v>0</v>
      </c>
      <c r="P306" s="51">
        <f>IFERROR(IF(OR(M306=0,N306=0),0,(M306+N306)*2+11),0)</f>
        <v>0</v>
      </c>
      <c r="Q306" s="51">
        <f>IFERROR(IF(OR(N306=0,O306=0),0,(N306+O306)-16),0)</f>
        <v>0</v>
      </c>
      <c r="R306" s="53">
        <f>P306*Q306/1000000</f>
        <v>0</v>
      </c>
      <c r="S306" s="123">
        <f>IFERROR(VLOOKUP(L306,'[3]Carton Sizes Chart'!$A$4:$E$15,5,FALSE),0)</f>
        <v>0</v>
      </c>
      <c r="T306" s="124">
        <f>S306</f>
        <v>0</v>
      </c>
      <c r="U306" s="124">
        <f>I306*T306</f>
        <v>0</v>
      </c>
      <c r="V306" s="123">
        <f>((T306*I306)-W306)*4%</f>
        <v>0</v>
      </c>
      <c r="W306" s="124">
        <f>S306*I306*5%</f>
        <v>0</v>
      </c>
    </row>
    <row r="307" spans="1:23">
      <c r="A307" s="118"/>
      <c r="B307" s="118"/>
      <c r="C307" s="119"/>
      <c r="D307" s="118"/>
      <c r="E307" s="118"/>
      <c r="F307" s="118"/>
      <c r="G307" s="119"/>
      <c r="H307" s="119"/>
      <c r="I307" s="119"/>
      <c r="J307" s="119" t="s">
        <v>95</v>
      </c>
      <c r="K307" s="119" t="s">
        <v>110</v>
      </c>
      <c r="L307" s="119" t="s">
        <v>123</v>
      </c>
      <c r="M307" s="51" cm="1">
        <f t="array" ref="M307">IF(L307="",0,_xlfn.SWITCH(L307,"A1",495,"A2",495,"A3",495,"Custom",0,595))</f>
        <v>0</v>
      </c>
      <c r="N307" s="51" cm="1">
        <f t="array" ref="N307">IF(L307="",0,_xlfn.SWITCH(L307,"C1",325,"C2",325,"C3",325,"D1",380,"D2",380,"D3",380,"Custom",0,285))</f>
        <v>0</v>
      </c>
      <c r="O307" s="51">
        <f>IF(L307="",0,_xlfn.SWITCH(L307,"A1",375,"B1",375,"C1",375,"D1",375,"A2",310,"B2",310,"C2",310,"D2",310,"Custom",0,260))</f>
        <v>0</v>
      </c>
      <c r="P307" s="51">
        <f>IFERROR(IF(OR(M307=0,N307=0),0,(M307+N307)*2+11),0)</f>
        <v>0</v>
      </c>
      <c r="Q307" s="51">
        <f>IFERROR(IF(OR(N307=0,O307=0),0,(N307+O307)-16),0)</f>
        <v>0</v>
      </c>
      <c r="R307" s="53">
        <f>P307*Q307/1000000</f>
        <v>0</v>
      </c>
      <c r="S307" s="123">
        <f>IFERROR(VLOOKUP(L307,'[3]Carton Sizes Chart'!$A$4:$E$15,5,FALSE),0)</f>
        <v>0</v>
      </c>
      <c r="T307" s="124">
        <f>S307</f>
        <v>0</v>
      </c>
      <c r="U307" s="124">
        <f>I307*T307</f>
        <v>0</v>
      </c>
      <c r="V307" s="123">
        <f>((T307*I307)-W307)*4%</f>
        <v>0</v>
      </c>
      <c r="W307" s="124">
        <f>S307*I307*5%</f>
        <v>0</v>
      </c>
    </row>
    <row r="308" spans="1:23">
      <c r="A308" s="118"/>
      <c r="B308" s="118"/>
      <c r="C308" s="119"/>
      <c r="D308" s="118"/>
      <c r="E308" s="118"/>
      <c r="F308" s="118"/>
      <c r="G308" s="119"/>
      <c r="H308" s="119"/>
      <c r="I308" s="119"/>
      <c r="J308" s="119" t="s">
        <v>95</v>
      </c>
      <c r="K308" s="119" t="s">
        <v>110</v>
      </c>
      <c r="L308" s="119" t="s">
        <v>123</v>
      </c>
      <c r="M308" s="51" cm="1">
        <f t="array" ref="M308">IF(L308="",0,_xlfn.SWITCH(L308,"A1",495,"A2",495,"A3",495,"Custom",0,595))</f>
        <v>0</v>
      </c>
      <c r="N308" s="51" cm="1">
        <f t="array" ref="N308">IF(L308="",0,_xlfn.SWITCH(L308,"C1",325,"C2",325,"C3",325,"D1",380,"D2",380,"D3",380,"Custom",0,285))</f>
        <v>0</v>
      </c>
      <c r="O308" s="51">
        <f>IF(L308="",0,_xlfn.SWITCH(L308,"A1",375,"B1",375,"C1",375,"D1",375,"A2",310,"B2",310,"C2",310,"D2",310,"Custom",0,260))</f>
        <v>0</v>
      </c>
      <c r="P308" s="51">
        <f>IFERROR(IF(OR(M308=0,N308=0),0,(M308+N308)*2+11),0)</f>
        <v>0</v>
      </c>
      <c r="Q308" s="51">
        <f>IFERROR(IF(OR(N308=0,O308=0),0,(N308+O308)-16),0)</f>
        <v>0</v>
      </c>
      <c r="R308" s="53">
        <f>P308*Q308/1000000</f>
        <v>0</v>
      </c>
      <c r="S308" s="123">
        <f>IFERROR(VLOOKUP(L308,'[3]Carton Sizes Chart'!$A$4:$E$15,5,FALSE),0)</f>
        <v>0</v>
      </c>
      <c r="T308" s="124">
        <f>S308</f>
        <v>0</v>
      </c>
      <c r="U308" s="124">
        <f>I308*T308</f>
        <v>0</v>
      </c>
      <c r="V308" s="123">
        <f>((T308*I308)-W308)*4%</f>
        <v>0</v>
      </c>
      <c r="W308" s="124">
        <f>S308*I308*5%</f>
        <v>0</v>
      </c>
    </row>
    <row r="309" spans="1:23">
      <c r="A309" s="118"/>
      <c r="B309" s="118"/>
      <c r="C309" s="119"/>
      <c r="D309" s="118"/>
      <c r="E309" s="118"/>
      <c r="F309" s="118"/>
      <c r="G309" s="119"/>
      <c r="H309" s="119"/>
      <c r="I309" s="119"/>
      <c r="J309" s="119" t="s">
        <v>95</v>
      </c>
      <c r="K309" s="119" t="s">
        <v>110</v>
      </c>
      <c r="L309" s="119" t="s">
        <v>123</v>
      </c>
      <c r="M309" s="51" cm="1">
        <f t="array" ref="M309">IF(L309="",0,_xlfn.SWITCH(L309,"A1",495,"A2",495,"A3",495,"Custom",0,595))</f>
        <v>0</v>
      </c>
      <c r="N309" s="51" cm="1">
        <f t="array" ref="N309">IF(L309="",0,_xlfn.SWITCH(L309,"C1",325,"C2",325,"C3",325,"D1",380,"D2",380,"D3",380,"Custom",0,285))</f>
        <v>0</v>
      </c>
      <c r="O309" s="51">
        <f>IF(L309="",0,_xlfn.SWITCH(L309,"A1",375,"B1",375,"C1",375,"D1",375,"A2",310,"B2",310,"C2",310,"D2",310,"Custom",0,260))</f>
        <v>0</v>
      </c>
      <c r="P309" s="51">
        <f>IFERROR(IF(OR(M309=0,N309=0),0,(M309+N309)*2+11),0)</f>
        <v>0</v>
      </c>
      <c r="Q309" s="51">
        <f>IFERROR(IF(OR(N309=0,O309=0),0,(N309+O309)-16),0)</f>
        <v>0</v>
      </c>
      <c r="R309" s="53">
        <f>P309*Q309/1000000</f>
        <v>0</v>
      </c>
      <c r="S309" s="123">
        <f>IFERROR(VLOOKUP(L309,'[3]Carton Sizes Chart'!$A$4:$E$15,5,FALSE),0)</f>
        <v>0</v>
      </c>
      <c r="T309" s="124">
        <f>S309</f>
        <v>0</v>
      </c>
      <c r="U309" s="124">
        <f>I309*T309</f>
        <v>0</v>
      </c>
      <c r="V309" s="123">
        <f>((T309*I309)-W309)*4%</f>
        <v>0</v>
      </c>
      <c r="W309" s="124">
        <f>S309*I309*5%</f>
        <v>0</v>
      </c>
    </row>
    <row r="310" spans="1:23">
      <c r="A310" s="118"/>
      <c r="B310" s="118"/>
      <c r="C310" s="119"/>
      <c r="D310" s="118"/>
      <c r="E310" s="118"/>
      <c r="F310" s="118"/>
      <c r="G310" s="119"/>
      <c r="H310" s="119"/>
      <c r="I310" s="119"/>
      <c r="J310" s="119" t="s">
        <v>95</v>
      </c>
      <c r="K310" s="119" t="s">
        <v>110</v>
      </c>
      <c r="L310" s="119" t="s">
        <v>123</v>
      </c>
      <c r="M310" s="51" cm="1">
        <f t="array" ref="M310">IF(L310="",0,_xlfn.SWITCH(L310,"A1",495,"A2",495,"A3",495,"Custom",0,595))</f>
        <v>0</v>
      </c>
      <c r="N310" s="51" cm="1">
        <f t="array" ref="N310">IF(L310="",0,_xlfn.SWITCH(L310,"C1",325,"C2",325,"C3",325,"D1",380,"D2",380,"D3",380,"Custom",0,285))</f>
        <v>0</v>
      </c>
      <c r="O310" s="51">
        <f>IF(L310="",0,_xlfn.SWITCH(L310,"A1",375,"B1",375,"C1",375,"D1",375,"A2",310,"B2",310,"C2",310,"D2",310,"Custom",0,260))</f>
        <v>0</v>
      </c>
      <c r="P310" s="51">
        <f>IFERROR(IF(OR(M310=0,N310=0),0,(M310+N310)*2+11),0)</f>
        <v>0</v>
      </c>
      <c r="Q310" s="51">
        <f>IFERROR(IF(OR(N310=0,O310=0),0,(N310+O310)-16),0)</f>
        <v>0</v>
      </c>
      <c r="R310" s="53">
        <f>P310*Q310/1000000</f>
        <v>0</v>
      </c>
      <c r="S310" s="123">
        <f>IFERROR(VLOOKUP(L310,'[3]Carton Sizes Chart'!$A$4:$E$15,5,FALSE),0)</f>
        <v>0</v>
      </c>
      <c r="T310" s="124">
        <f>S310</f>
        <v>0</v>
      </c>
      <c r="U310" s="124">
        <f>I310*T310</f>
        <v>0</v>
      </c>
      <c r="V310" s="123">
        <f>((T310*I310)-W310)*4%</f>
        <v>0</v>
      </c>
      <c r="W310" s="124">
        <f>S310*I310*5%</f>
        <v>0</v>
      </c>
    </row>
    <row r="311" spans="1:23">
      <c r="A311" s="118"/>
      <c r="B311" s="118"/>
      <c r="C311" s="119"/>
      <c r="D311" s="118"/>
      <c r="E311" s="118"/>
      <c r="F311" s="118"/>
      <c r="G311" s="119"/>
      <c r="H311" s="119"/>
      <c r="I311" s="119"/>
      <c r="J311" s="119" t="s">
        <v>95</v>
      </c>
      <c r="K311" s="119" t="s">
        <v>110</v>
      </c>
      <c r="L311" s="119" t="s">
        <v>123</v>
      </c>
      <c r="M311" s="51" cm="1">
        <f t="array" ref="M311">IF(L311="",0,_xlfn.SWITCH(L311,"A1",495,"A2",495,"A3",495,"Custom",0,595))</f>
        <v>0</v>
      </c>
      <c r="N311" s="51" cm="1">
        <f t="array" ref="N311">IF(L311="",0,_xlfn.SWITCH(L311,"C1",325,"C2",325,"C3",325,"D1",380,"D2",380,"D3",380,"Custom",0,285))</f>
        <v>0</v>
      </c>
      <c r="O311" s="51">
        <f>IF(L311="",0,_xlfn.SWITCH(L311,"A1",375,"B1",375,"C1",375,"D1",375,"A2",310,"B2",310,"C2",310,"D2",310,"Custom",0,260))</f>
        <v>0</v>
      </c>
      <c r="P311" s="51">
        <f>IFERROR(IF(OR(M311=0,N311=0),0,(M311+N311)*2+11),0)</f>
        <v>0</v>
      </c>
      <c r="Q311" s="51">
        <f>IFERROR(IF(OR(N311=0,O311=0),0,(N311+O311)-16),0)</f>
        <v>0</v>
      </c>
      <c r="R311" s="53">
        <f>P311*Q311/1000000</f>
        <v>0</v>
      </c>
      <c r="S311" s="123">
        <f>IFERROR(VLOOKUP(L311,'[3]Carton Sizes Chart'!$A$4:$E$15,5,FALSE),0)</f>
        <v>0</v>
      </c>
      <c r="T311" s="124">
        <f>S311</f>
        <v>0</v>
      </c>
      <c r="U311" s="124">
        <f>I311*T311</f>
        <v>0</v>
      </c>
      <c r="V311" s="123">
        <f>((T311*I311)-W311)*4%</f>
        <v>0</v>
      </c>
      <c r="W311" s="124">
        <f>S311*I311*5%</f>
        <v>0</v>
      </c>
    </row>
    <row r="312" spans="1:23">
      <c r="A312" s="118"/>
      <c r="B312" s="118"/>
      <c r="C312" s="119"/>
      <c r="D312" s="118"/>
      <c r="E312" s="118"/>
      <c r="F312" s="118"/>
      <c r="G312" s="119"/>
      <c r="H312" s="119"/>
      <c r="I312" s="119"/>
      <c r="J312" s="119" t="s">
        <v>95</v>
      </c>
      <c r="K312" s="119" t="s">
        <v>110</v>
      </c>
      <c r="L312" s="119" t="s">
        <v>123</v>
      </c>
      <c r="M312" s="51" cm="1">
        <f t="array" ref="M312">IF(L312="",0,_xlfn.SWITCH(L312,"A1",495,"A2",495,"A3",495,"Custom",0,595))</f>
        <v>0</v>
      </c>
      <c r="N312" s="51" cm="1">
        <f t="array" ref="N312">IF(L312="",0,_xlfn.SWITCH(L312,"C1",325,"C2",325,"C3",325,"D1",380,"D2",380,"D3",380,"Custom",0,285))</f>
        <v>0</v>
      </c>
      <c r="O312" s="51">
        <f>IF(L312="",0,_xlfn.SWITCH(L312,"A1",375,"B1",375,"C1",375,"D1",375,"A2",310,"B2",310,"C2",310,"D2",310,"Custom",0,260))</f>
        <v>0</v>
      </c>
      <c r="P312" s="51">
        <f>IFERROR(IF(OR(M312=0,N312=0),0,(M312+N312)*2+11),0)</f>
        <v>0</v>
      </c>
      <c r="Q312" s="51">
        <f>IFERROR(IF(OR(N312=0,O312=0),0,(N312+O312)-16),0)</f>
        <v>0</v>
      </c>
      <c r="R312" s="53">
        <f>P312*Q312/1000000</f>
        <v>0</v>
      </c>
      <c r="S312" s="123">
        <f>IFERROR(VLOOKUP(L312,'[3]Carton Sizes Chart'!$A$4:$E$15,5,FALSE),0)</f>
        <v>0</v>
      </c>
      <c r="T312" s="124">
        <f>S312</f>
        <v>0</v>
      </c>
      <c r="U312" s="124">
        <f>I312*T312</f>
        <v>0</v>
      </c>
      <c r="V312" s="123">
        <f>((T312*I312)-W312)*4%</f>
        <v>0</v>
      </c>
      <c r="W312" s="124">
        <f>S312*I312*5%</f>
        <v>0</v>
      </c>
    </row>
    <row r="313" spans="1:23">
      <c r="A313" s="118"/>
      <c r="B313" s="118"/>
      <c r="C313" s="119"/>
      <c r="D313" s="118"/>
      <c r="E313" s="118"/>
      <c r="F313" s="118"/>
      <c r="G313" s="119"/>
      <c r="H313" s="119"/>
      <c r="I313" s="119"/>
      <c r="J313" s="119" t="s">
        <v>95</v>
      </c>
      <c r="K313" s="119" t="s">
        <v>110</v>
      </c>
      <c r="L313" s="119" t="s">
        <v>123</v>
      </c>
      <c r="M313" s="51" cm="1">
        <f t="array" ref="M313">IF(L313="",0,_xlfn.SWITCH(L313,"A1",495,"A2",495,"A3",495,"Custom",0,595))</f>
        <v>0</v>
      </c>
      <c r="N313" s="51" cm="1">
        <f t="array" ref="N313">IF(L313="",0,_xlfn.SWITCH(L313,"C1",325,"C2",325,"C3",325,"D1",380,"D2",380,"D3",380,"Custom",0,285))</f>
        <v>0</v>
      </c>
      <c r="O313" s="51">
        <f>IF(L313="",0,_xlfn.SWITCH(L313,"A1",375,"B1",375,"C1",375,"D1",375,"A2",310,"B2",310,"C2",310,"D2",310,"Custom",0,260))</f>
        <v>0</v>
      </c>
      <c r="P313" s="51">
        <f>IFERROR(IF(OR(M313=0,N313=0),0,(M313+N313)*2+11),0)</f>
        <v>0</v>
      </c>
      <c r="Q313" s="51">
        <f>IFERROR(IF(OR(N313=0,O313=0),0,(N313+O313)-16),0)</f>
        <v>0</v>
      </c>
      <c r="R313" s="53">
        <f>P313*Q313/1000000</f>
        <v>0</v>
      </c>
      <c r="S313" s="123">
        <f>IFERROR(VLOOKUP(L313,'[3]Carton Sizes Chart'!$A$4:$E$15,5,FALSE),0)</f>
        <v>0</v>
      </c>
      <c r="T313" s="124">
        <f>S313</f>
        <v>0</v>
      </c>
      <c r="U313" s="124">
        <f>I313*T313</f>
        <v>0</v>
      </c>
      <c r="V313" s="123">
        <f>((T313*I313)-W313)*4%</f>
        <v>0</v>
      </c>
      <c r="W313" s="124">
        <f>S313*I313*5%</f>
        <v>0</v>
      </c>
    </row>
    <row r="314" spans="1:23">
      <c r="A314" s="118"/>
      <c r="B314" s="118"/>
      <c r="C314" s="119"/>
      <c r="D314" s="118"/>
      <c r="E314" s="118"/>
      <c r="F314" s="118"/>
      <c r="G314" s="119"/>
      <c r="H314" s="119"/>
      <c r="I314" s="119"/>
      <c r="J314" s="119" t="s">
        <v>95</v>
      </c>
      <c r="K314" s="119" t="s">
        <v>110</v>
      </c>
      <c r="L314" s="119" t="s">
        <v>123</v>
      </c>
      <c r="M314" s="51" cm="1">
        <f t="array" ref="M314">IF(L314="",0,_xlfn.SWITCH(L314,"A1",495,"A2",495,"A3",495,"Custom",0,595))</f>
        <v>0</v>
      </c>
      <c r="N314" s="51" cm="1">
        <f t="array" ref="N314">IF(L314="",0,_xlfn.SWITCH(L314,"C1",325,"C2",325,"C3",325,"D1",380,"D2",380,"D3",380,"Custom",0,285))</f>
        <v>0</v>
      </c>
      <c r="O314" s="51">
        <f>IF(L314="",0,_xlfn.SWITCH(L314,"A1",375,"B1",375,"C1",375,"D1",375,"A2",310,"B2",310,"C2",310,"D2",310,"Custom",0,260))</f>
        <v>0</v>
      </c>
      <c r="P314" s="51">
        <f>IFERROR(IF(OR(M314=0,N314=0),0,(M314+N314)*2+11),0)</f>
        <v>0</v>
      </c>
      <c r="Q314" s="51">
        <f>IFERROR(IF(OR(N314=0,O314=0),0,(N314+O314)-16),0)</f>
        <v>0</v>
      </c>
      <c r="R314" s="53">
        <f>P314*Q314/1000000</f>
        <v>0</v>
      </c>
      <c r="S314" s="129">
        <f>IF(L314="Custom", R314*'[1]RFQ_Matalan Carton'!$M$40, IFERROR(VLOOKUP(L314,'[1]Carton Sizes Chart'!$A$4:$E$15,5,FALSE),0))</f>
        <v>0</v>
      </c>
      <c r="T314" s="124">
        <f>S314</f>
        <v>0</v>
      </c>
      <c r="U314" s="124">
        <f>I314*T314</f>
        <v>0</v>
      </c>
      <c r="V314" s="123">
        <f>((T314*I314)-W314)*4%</f>
        <v>0</v>
      </c>
      <c r="W314" s="124">
        <f>S314*I314*5%</f>
        <v>0</v>
      </c>
    </row>
    <row r="315" spans="1:23">
      <c r="A315" s="118"/>
      <c r="B315" s="118"/>
      <c r="C315" s="119"/>
      <c r="D315" s="118"/>
      <c r="E315" s="118"/>
      <c r="F315" s="118"/>
      <c r="G315" s="119"/>
      <c r="H315" s="119"/>
      <c r="I315" s="119"/>
      <c r="J315" s="119" t="s">
        <v>95</v>
      </c>
      <c r="K315" s="119" t="s">
        <v>110</v>
      </c>
      <c r="L315" s="119" t="s">
        <v>123</v>
      </c>
      <c r="M315" s="51" cm="1">
        <f t="array" ref="M315">IF(L315="",0,_xlfn.SWITCH(L315,"A1",495,"A2",495,"A3",495,"Custom",0,595))</f>
        <v>0</v>
      </c>
      <c r="N315" s="51" cm="1">
        <f t="array" ref="N315">IF(L315="",0,_xlfn.SWITCH(L315,"C1",325,"C2",325,"C3",325,"D1",380,"D2",380,"D3",380,"Custom",0,285))</f>
        <v>0</v>
      </c>
      <c r="O315" s="51">
        <f>IF(L315="",0,_xlfn.SWITCH(L315,"A1",375,"B1",375,"C1",375,"D1",375,"A2",310,"B2",310,"C2",310,"D2",310,"Custom",0,260))</f>
        <v>0</v>
      </c>
      <c r="P315" s="51">
        <f>IFERROR(IF(OR(M315=0,N315=0),0,(M315+N315)*2+11),0)</f>
        <v>0</v>
      </c>
      <c r="Q315" s="51">
        <f>IFERROR(IF(OR(N315=0,O315=0),0,(N315+O315)-16),0)</f>
        <v>0</v>
      </c>
      <c r="R315" s="53">
        <f>P315*Q315/1000000</f>
        <v>0</v>
      </c>
      <c r="S315" s="129">
        <f>IF(L315="Custom", R315*'[1]RFQ_Matalan Carton'!$M$40, IFERROR(VLOOKUP(L315,'[1]Carton Sizes Chart'!$A$4:$E$15,5,FALSE),0))</f>
        <v>0</v>
      </c>
      <c r="T315" s="124">
        <f>S315</f>
        <v>0</v>
      </c>
      <c r="U315" s="124">
        <f>I315*T315</f>
        <v>0</v>
      </c>
      <c r="V315" s="123">
        <f>((T315*I315)-W315)*4%</f>
        <v>0</v>
      </c>
      <c r="W315" s="124">
        <f>S315*I315*5%</f>
        <v>0</v>
      </c>
    </row>
    <row r="316" spans="1:23">
      <c r="A316" s="118"/>
      <c r="B316" s="118"/>
      <c r="C316" s="119"/>
      <c r="D316" s="118"/>
      <c r="E316" s="118"/>
      <c r="F316" s="118"/>
      <c r="G316" s="119"/>
      <c r="H316" s="119"/>
      <c r="I316" s="119"/>
      <c r="J316" s="119" t="s">
        <v>95</v>
      </c>
      <c r="K316" s="119" t="s">
        <v>110</v>
      </c>
      <c r="L316" s="119" t="s">
        <v>123</v>
      </c>
      <c r="M316" s="51" cm="1">
        <f t="array" ref="M316">IF(L316="",0,_xlfn.SWITCH(L316,"A1",495,"A2",495,"A3",495,"Custom",0,595))</f>
        <v>0</v>
      </c>
      <c r="N316" s="51" cm="1">
        <f t="array" ref="N316">IF(L316="",0,_xlfn.SWITCH(L316,"C1",325,"C2",325,"C3",325,"D1",380,"D2",380,"D3",380,"Custom",0,285))</f>
        <v>0</v>
      </c>
      <c r="O316" s="51">
        <f>IF(L316="",0,_xlfn.SWITCH(L316,"A1",375,"B1",375,"C1",375,"D1",375,"A2",310,"B2",310,"C2",310,"D2",310,"Custom",0,260))</f>
        <v>0</v>
      </c>
      <c r="P316" s="51">
        <f>IFERROR(IF(OR(M316=0,N316=0),0,(M316+N316)*2+11),0)</f>
        <v>0</v>
      </c>
      <c r="Q316" s="51">
        <f>IFERROR(IF(OR(N316=0,O316=0),0,(N316+O316)-16),0)</f>
        <v>0</v>
      </c>
      <c r="R316" s="53">
        <f>P316*Q316/1000000</f>
        <v>0</v>
      </c>
      <c r="S316" s="129">
        <f>IF(L316="Custom", R316*'[1]RFQ_Matalan Carton'!$M$40, IFERROR(VLOOKUP(L316,'[1]Carton Sizes Chart'!$A$4:$E$15,5,FALSE),0))</f>
        <v>0</v>
      </c>
      <c r="T316" s="124">
        <f>S316</f>
        <v>0</v>
      </c>
      <c r="U316" s="124">
        <f>I316*T316</f>
        <v>0</v>
      </c>
      <c r="V316" s="123">
        <f>((T316*I316)-W316)*4%</f>
        <v>0</v>
      </c>
      <c r="W316" s="124">
        <f>S316*I316*5%</f>
        <v>0</v>
      </c>
    </row>
    <row r="317" spans="1:23">
      <c r="A317" s="118"/>
      <c r="B317" s="118"/>
      <c r="C317" s="119"/>
      <c r="D317" s="118"/>
      <c r="E317" s="118"/>
      <c r="F317" s="118"/>
      <c r="G317" s="119"/>
      <c r="H317" s="119"/>
      <c r="I317" s="119"/>
      <c r="J317" s="119" t="s">
        <v>95</v>
      </c>
      <c r="K317" s="119" t="s">
        <v>110</v>
      </c>
      <c r="L317" s="119" t="s">
        <v>123</v>
      </c>
      <c r="M317" s="51" cm="1">
        <f t="array" ref="M317">IF(L317="",0,_xlfn.SWITCH(L317,"A1",495,"A2",495,"A3",495,"Custom",0,595))</f>
        <v>0</v>
      </c>
      <c r="N317" s="51" cm="1">
        <f t="array" ref="N317">IF(L317="",0,_xlfn.SWITCH(L317,"C1",325,"C2",325,"C3",325,"D1",380,"D2",380,"D3",380,"Custom",0,285))</f>
        <v>0</v>
      </c>
      <c r="O317" s="51">
        <f>IF(L317="",0,_xlfn.SWITCH(L317,"A1",375,"B1",375,"C1",375,"D1",375,"A2",310,"B2",310,"C2",310,"D2",310,"Custom",0,260))</f>
        <v>0</v>
      </c>
      <c r="P317" s="51">
        <f>IFERROR(IF(OR(M317=0,N317=0),0,(M317+N317)*2+11),0)</f>
        <v>0</v>
      </c>
      <c r="Q317" s="51">
        <f>IFERROR(IF(OR(N317=0,O317=0),0,(N317+O317)-16),0)</f>
        <v>0</v>
      </c>
      <c r="R317" s="53">
        <f>P317*Q317/1000000</f>
        <v>0</v>
      </c>
      <c r="S317" s="129">
        <f>IF(L317="Custom", R317*'[1]RFQ_Matalan Carton'!$M$40, IFERROR(VLOOKUP(L317,'[1]Carton Sizes Chart'!$A$4:$E$15,5,FALSE),0))</f>
        <v>0</v>
      </c>
      <c r="T317" s="124">
        <f>S317</f>
        <v>0</v>
      </c>
      <c r="U317" s="124">
        <f>I317*T317</f>
        <v>0</v>
      </c>
      <c r="V317" s="123">
        <f>((T317*I317)-W317)*4%</f>
        <v>0</v>
      </c>
      <c r="W317" s="124">
        <f>S317*I317*5%</f>
        <v>0</v>
      </c>
    </row>
    <row r="318" spans="1:23">
      <c r="A318" s="118"/>
      <c r="B318" s="118"/>
      <c r="C318" s="119"/>
      <c r="D318" s="118"/>
      <c r="E318" s="118"/>
      <c r="F318" s="118"/>
      <c r="G318" s="119"/>
      <c r="H318" s="119"/>
      <c r="I318" s="119"/>
      <c r="J318" s="119" t="s">
        <v>95</v>
      </c>
      <c r="K318" s="119" t="s">
        <v>110</v>
      </c>
      <c r="L318" s="119" t="s">
        <v>123</v>
      </c>
      <c r="M318" s="51" cm="1">
        <f t="array" ref="M318">IF(L318="",0,_xlfn.SWITCH(L318,"A1",495,"A2",495,"A3",495,"Custom",0,595))</f>
        <v>0</v>
      </c>
      <c r="N318" s="51" cm="1">
        <f t="array" ref="N318">IF(L318="",0,_xlfn.SWITCH(L318,"C1",325,"C2",325,"C3",325,"D1",380,"D2",380,"D3",380,"Custom",0,285))</f>
        <v>0</v>
      </c>
      <c r="O318" s="51">
        <f>IF(L318="",0,_xlfn.SWITCH(L318,"A1",375,"B1",375,"C1",375,"D1",375,"A2",310,"B2",310,"C2",310,"D2",310,"Custom",0,260))</f>
        <v>0</v>
      </c>
      <c r="P318" s="51">
        <f>IFERROR(IF(OR(M318=0,N318=0),0,(M318+N318)*2+11),0)</f>
        <v>0</v>
      </c>
      <c r="Q318" s="51">
        <f>IFERROR(IF(OR(N318=0,O318=0),0,(N318+O318)-16),0)</f>
        <v>0</v>
      </c>
      <c r="R318" s="53">
        <f>P318*Q318/1000000</f>
        <v>0</v>
      </c>
      <c r="S318" s="129">
        <f>IF(L318="Custom", R318*'[1]RFQ_Matalan Carton'!$M$40, IFERROR(VLOOKUP(L318,'[1]Carton Sizes Chart'!$A$4:$E$15,5,FALSE),0))</f>
        <v>0</v>
      </c>
      <c r="T318" s="124">
        <f>S318</f>
        <v>0</v>
      </c>
      <c r="U318" s="124">
        <f>I318*T318</f>
        <v>0</v>
      </c>
      <c r="V318" s="123">
        <f>((T318*I318)-W318)*4%</f>
        <v>0</v>
      </c>
      <c r="W318" s="124">
        <f>S318*I318*5%</f>
        <v>0</v>
      </c>
    </row>
    <row r="319" spans="1:23">
      <c r="A319" s="118"/>
      <c r="B319" s="118"/>
      <c r="C319" s="119"/>
      <c r="D319" s="118"/>
      <c r="E319" s="118"/>
      <c r="F319" s="118"/>
      <c r="G319" s="119"/>
      <c r="H319" s="119"/>
      <c r="I319" s="119"/>
      <c r="J319" s="119" t="s">
        <v>95</v>
      </c>
      <c r="K319" s="119" t="s">
        <v>110</v>
      </c>
      <c r="L319" s="119" t="s">
        <v>123</v>
      </c>
      <c r="M319" s="51" cm="1">
        <f t="array" ref="M319">IF(L319="",0,_xlfn.SWITCH(L319,"A1",495,"A2",495,"A3",495,"Custom",0,595))</f>
        <v>0</v>
      </c>
      <c r="N319" s="51" cm="1">
        <f t="array" ref="N319">IF(L319="",0,_xlfn.SWITCH(L319,"C1",325,"C2",325,"C3",325,"D1",380,"D2",380,"D3",380,"Custom",0,285))</f>
        <v>0</v>
      </c>
      <c r="O319" s="51">
        <f>IF(L319="",0,_xlfn.SWITCH(L319,"A1",375,"B1",375,"C1",375,"D1",375,"A2",310,"B2",310,"C2",310,"D2",310,"Custom",0,260))</f>
        <v>0</v>
      </c>
      <c r="P319" s="51">
        <f>IFERROR(IF(OR(M319=0,N319=0),0,(M319+N319)*2+11),0)</f>
        <v>0</v>
      </c>
      <c r="Q319" s="51">
        <f>IFERROR(IF(OR(N319=0,O319=0),0,(N319+O319)-16),0)</f>
        <v>0</v>
      </c>
      <c r="R319" s="53">
        <f>P319*Q319/1000000</f>
        <v>0</v>
      </c>
      <c r="S319" s="129">
        <f>IF(L319="Custom", R319*'[1]RFQ_Matalan Carton'!$M$40, IFERROR(VLOOKUP(L319,'[1]Carton Sizes Chart'!$A$4:$E$15,5,FALSE),0))</f>
        <v>0</v>
      </c>
      <c r="T319" s="124">
        <f>S319</f>
        <v>0</v>
      </c>
      <c r="U319" s="124">
        <f>I319*T319</f>
        <v>0</v>
      </c>
      <c r="V319" s="123">
        <f>((T319*I319)-W319)*4%</f>
        <v>0</v>
      </c>
      <c r="W319" s="124">
        <f>S319*I319*5%</f>
        <v>0</v>
      </c>
    </row>
    <row r="320" spans="1:23">
      <c r="A320" s="118"/>
      <c r="B320" s="118"/>
      <c r="C320" s="119"/>
      <c r="D320" s="118"/>
      <c r="E320" s="118"/>
      <c r="F320" s="118"/>
      <c r="G320" s="119"/>
      <c r="H320" s="119"/>
      <c r="I320" s="119"/>
      <c r="J320" s="119" t="s">
        <v>95</v>
      </c>
      <c r="K320" s="119" t="s">
        <v>110</v>
      </c>
      <c r="L320" s="119" t="s">
        <v>123</v>
      </c>
      <c r="M320" s="51" cm="1">
        <f t="array" ref="M320">IF(L320="",0,_xlfn.SWITCH(L320,"A1",495,"A2",495,"A3",495,"Custom",0,595))</f>
        <v>0</v>
      </c>
      <c r="N320" s="51" cm="1">
        <f t="array" ref="N320">IF(L320="",0,_xlfn.SWITCH(L320,"C1",325,"C2",325,"C3",325,"D1",380,"D2",380,"D3",380,"Custom",0,285))</f>
        <v>0</v>
      </c>
      <c r="O320" s="51">
        <f>IF(L320="",0,_xlfn.SWITCH(L320,"A1",375,"B1",375,"C1",375,"D1",375,"A2",310,"B2",310,"C2",310,"D2",310,"Custom",0,260))</f>
        <v>0</v>
      </c>
      <c r="P320" s="51">
        <f>IFERROR(IF(OR(M320=0,N320=0),0,(M320+N320)*2+11),0)</f>
        <v>0</v>
      </c>
      <c r="Q320" s="51">
        <f>IFERROR(IF(OR(N320=0,O320=0),0,(N320+O320)-16),0)</f>
        <v>0</v>
      </c>
      <c r="R320" s="53">
        <f>P320*Q320/1000000</f>
        <v>0</v>
      </c>
      <c r="S320" s="129">
        <f>IF(L320="Custom", R320*'[1]RFQ_Matalan Carton'!$M$40, IFERROR(VLOOKUP(L320,'[1]Carton Sizes Chart'!$A$4:$E$15,5,FALSE),0))</f>
        <v>0</v>
      </c>
      <c r="T320" s="124">
        <f>S320</f>
        <v>0</v>
      </c>
      <c r="U320" s="124">
        <f>I320*T320</f>
        <v>0</v>
      </c>
      <c r="V320" s="123">
        <f>((T320*I320)-W320)*4%</f>
        <v>0</v>
      </c>
      <c r="W320" s="124">
        <f>S320*I320*5%</f>
        <v>0</v>
      </c>
    </row>
    <row r="321" spans="1:23">
      <c r="A321" s="118"/>
      <c r="B321" s="118"/>
      <c r="C321" s="119"/>
      <c r="D321" s="118"/>
      <c r="E321" s="118"/>
      <c r="F321" s="118"/>
      <c r="G321" s="119"/>
      <c r="H321" s="119"/>
      <c r="I321" s="119"/>
      <c r="J321" s="119" t="s">
        <v>95</v>
      </c>
      <c r="K321" s="119" t="s">
        <v>110</v>
      </c>
      <c r="L321" s="119" t="s">
        <v>123</v>
      </c>
      <c r="M321" s="51" cm="1">
        <f t="array" ref="M321">IF(L321="",0,_xlfn.SWITCH(L321,"A1",495,"A2",495,"A3",495,"Custom",0,595))</f>
        <v>0</v>
      </c>
      <c r="N321" s="51" cm="1">
        <f t="array" ref="N321">IF(L321="",0,_xlfn.SWITCH(L321,"C1",325,"C2",325,"C3",325,"D1",380,"D2",380,"D3",380,"Custom",0,285))</f>
        <v>0</v>
      </c>
      <c r="O321" s="51">
        <f>IF(L321="",0,_xlfn.SWITCH(L321,"A1",375,"B1",375,"C1",375,"D1",375,"A2",310,"B2",310,"C2",310,"D2",310,"Custom",0,260))</f>
        <v>0</v>
      </c>
      <c r="P321" s="51">
        <f>IFERROR(IF(OR(M321=0,N321=0),0,(M321+N321)*2+11),0)</f>
        <v>0</v>
      </c>
      <c r="Q321" s="51">
        <f>IFERROR(IF(OR(N321=0,O321=0),0,(N321+O321)-16),0)</f>
        <v>0</v>
      </c>
      <c r="R321" s="53">
        <f>P321*Q321/1000000</f>
        <v>0</v>
      </c>
      <c r="S321" s="123">
        <f>IFERROR(VLOOKUP(L321,'[3]Carton Sizes Chart'!$A$4:$E$15,5,FALSE),0)</f>
        <v>0</v>
      </c>
      <c r="T321" s="124">
        <f>S321</f>
        <v>0</v>
      </c>
      <c r="U321" s="124">
        <f>I321*T321</f>
        <v>0</v>
      </c>
      <c r="V321" s="123">
        <f>((T321*I321)-W321)*4%</f>
        <v>0</v>
      </c>
      <c r="W321" s="124">
        <f>S321*I321*5%</f>
        <v>0</v>
      </c>
    </row>
    <row r="322" spans="1:23">
      <c r="A322" s="118"/>
      <c r="B322" s="118"/>
      <c r="C322" s="119"/>
      <c r="D322" s="118"/>
      <c r="E322" s="118"/>
      <c r="F322" s="118"/>
      <c r="G322" s="119"/>
      <c r="H322" s="119"/>
      <c r="I322" s="119"/>
      <c r="J322" s="119" t="s">
        <v>95</v>
      </c>
      <c r="K322" s="119" t="s">
        <v>110</v>
      </c>
      <c r="L322" s="119" t="s">
        <v>123</v>
      </c>
      <c r="M322" s="51" cm="1">
        <f t="array" ref="M322">IF(L322="",0,_xlfn.SWITCH(L322,"A1",495,"A2",495,"A3",495,"Custom",0,595))</f>
        <v>0</v>
      </c>
      <c r="N322" s="51" cm="1">
        <f t="array" ref="N322">IF(L322="",0,_xlfn.SWITCH(L322,"C1",325,"C2",325,"C3",325,"D1",380,"D2",380,"D3",380,"Custom",0,285))</f>
        <v>0</v>
      </c>
      <c r="O322" s="51">
        <f>IF(L322="",0,_xlfn.SWITCH(L322,"A1",375,"B1",375,"C1",375,"D1",375,"A2",310,"B2",310,"C2",310,"D2",310,"Custom",0,260))</f>
        <v>0</v>
      </c>
      <c r="P322" s="51">
        <f>IFERROR(IF(OR(M322=0,N322=0),0,(M322+N322)*2+11),0)</f>
        <v>0</v>
      </c>
      <c r="Q322" s="51">
        <f>IFERROR(IF(OR(N322=0,O322=0),0,(N322+O322)-16),0)</f>
        <v>0</v>
      </c>
      <c r="R322" s="53">
        <f>P322*Q322/1000000</f>
        <v>0</v>
      </c>
      <c r="S322" s="129">
        <f>IF(L322="Custom", R322*'[1]RFQ_Matalan Carton'!$M$40, IFERROR(VLOOKUP(L322,'[1]Carton Sizes Chart'!$A$4:$E$15,5,FALSE),0))</f>
        <v>0</v>
      </c>
      <c r="T322" s="124">
        <f>S322</f>
        <v>0</v>
      </c>
      <c r="U322" s="124">
        <f>I322*T322</f>
        <v>0</v>
      </c>
      <c r="V322" s="123">
        <f>((T322*I322)-W322)*4%</f>
        <v>0</v>
      </c>
      <c r="W322" s="124">
        <f>S322*I322*5%</f>
        <v>0</v>
      </c>
    </row>
    <row r="323" spans="1:23">
      <c r="A323" s="118"/>
      <c r="B323" s="118"/>
      <c r="C323" s="119"/>
      <c r="D323" s="118"/>
      <c r="E323" s="118"/>
      <c r="F323" s="118"/>
      <c r="G323" s="119"/>
      <c r="H323" s="119"/>
      <c r="I323" s="119"/>
      <c r="J323" s="119" t="s">
        <v>95</v>
      </c>
      <c r="K323" s="119" t="s">
        <v>110</v>
      </c>
      <c r="L323" s="119" t="s">
        <v>123</v>
      </c>
      <c r="M323" s="51" cm="1">
        <f t="array" ref="M323">IF(L323="",0,_xlfn.SWITCH(L323,"A1",495,"A2",495,"A3",495,"Custom",0,595))</f>
        <v>0</v>
      </c>
      <c r="N323" s="51" cm="1">
        <f t="array" ref="N323">IF(L323="",0,_xlfn.SWITCH(L323,"C1",325,"C2",325,"C3",325,"D1",380,"D2",380,"D3",380,"Custom",0,285))</f>
        <v>0</v>
      </c>
      <c r="O323" s="51">
        <f>IF(L323="",0,_xlfn.SWITCH(L323,"A1",375,"B1",375,"C1",375,"D1",375,"A2",310,"B2",310,"C2",310,"D2",310,"Custom",0,260))</f>
        <v>0</v>
      </c>
      <c r="P323" s="51">
        <f>IFERROR(IF(OR(M323=0,N323=0),0,(M323+N323)*2+11),0)</f>
        <v>0</v>
      </c>
      <c r="Q323" s="51">
        <f>IFERROR(IF(OR(N323=0,O323=0),0,(N323+O323)-16),0)</f>
        <v>0</v>
      </c>
      <c r="R323" s="53">
        <f>P323*Q323/1000000</f>
        <v>0</v>
      </c>
      <c r="S323" s="129">
        <f>IF(L323="Custom", R323*'[1]RFQ_Matalan Carton'!$M$40, IFERROR(VLOOKUP(L323,'[1]Carton Sizes Chart'!$A$4:$E$15,5,FALSE),0))</f>
        <v>0</v>
      </c>
      <c r="T323" s="124">
        <f>S323</f>
        <v>0</v>
      </c>
      <c r="U323" s="124">
        <f>I323*T323</f>
        <v>0</v>
      </c>
      <c r="V323" s="123">
        <f>((T323*I323)-W323)*4%</f>
        <v>0</v>
      </c>
      <c r="W323" s="124">
        <f>S323*I323*5%</f>
        <v>0</v>
      </c>
    </row>
    <row r="324" spans="1:23">
      <c r="A324" s="118"/>
      <c r="B324" s="118"/>
      <c r="C324" s="119"/>
      <c r="D324" s="118"/>
      <c r="E324" s="118"/>
      <c r="F324" s="118"/>
      <c r="G324" s="119"/>
      <c r="H324" s="119"/>
      <c r="I324" s="119"/>
      <c r="J324" s="119" t="s">
        <v>95</v>
      </c>
      <c r="K324" s="119" t="s">
        <v>110</v>
      </c>
      <c r="L324" s="119" t="s">
        <v>123</v>
      </c>
      <c r="M324" s="51" cm="1">
        <f t="array" ref="M324">IF(L324="",0,_xlfn.SWITCH(L324,"A1",495,"A2",495,"A3",495,"Custom",0,595))</f>
        <v>0</v>
      </c>
      <c r="N324" s="51" cm="1">
        <f t="array" ref="N324">IF(L324="",0,_xlfn.SWITCH(L324,"C1",325,"C2",325,"C3",325,"D1",380,"D2",380,"D3",380,"Custom",0,285))</f>
        <v>0</v>
      </c>
      <c r="O324" s="51">
        <f>IF(L324="",0,_xlfn.SWITCH(L324,"A1",375,"B1",375,"C1",375,"D1",375,"A2",310,"B2",310,"C2",310,"D2",310,"Custom",0,260))</f>
        <v>0</v>
      </c>
      <c r="P324" s="51">
        <f>IFERROR(IF(OR(M324=0,N324=0),0,(M324+N324)*2+11),0)</f>
        <v>0</v>
      </c>
      <c r="Q324" s="51">
        <f>IFERROR(IF(OR(N324=0,O324=0),0,(N324+O324)-16),0)</f>
        <v>0</v>
      </c>
      <c r="R324" s="53">
        <f>P324*Q324/1000000</f>
        <v>0</v>
      </c>
      <c r="S324" s="129">
        <f>IF(L324="Custom", R324*'[1]RFQ_Matalan Carton'!$M$40, IFERROR(VLOOKUP(L324,'[1]Carton Sizes Chart'!$A$4:$E$15,5,FALSE),0))</f>
        <v>0</v>
      </c>
      <c r="T324" s="124">
        <f>S324</f>
        <v>0</v>
      </c>
      <c r="U324" s="124">
        <f>I324*T324</f>
        <v>0</v>
      </c>
      <c r="V324" s="123">
        <f>((T324*I324)-W324)*4%</f>
        <v>0</v>
      </c>
      <c r="W324" s="124">
        <f>S324*I324*5%</f>
        <v>0</v>
      </c>
    </row>
    <row r="325" spans="1:23">
      <c r="A325" s="118"/>
      <c r="B325" s="118"/>
      <c r="C325" s="119"/>
      <c r="D325" s="118"/>
      <c r="E325" s="118"/>
      <c r="F325" s="118"/>
      <c r="G325" s="119"/>
      <c r="H325" s="119"/>
      <c r="I325" s="119"/>
      <c r="J325" s="119" t="s">
        <v>95</v>
      </c>
      <c r="K325" s="119" t="s">
        <v>110</v>
      </c>
      <c r="L325" s="119" t="s">
        <v>123</v>
      </c>
      <c r="M325" s="51" cm="1">
        <f t="array" ref="M325">IF(L325="",0,_xlfn.SWITCH(L325,"A1",495,"A2",495,"A3",495,"Custom",0,595))</f>
        <v>0</v>
      </c>
      <c r="N325" s="51" cm="1">
        <f t="array" ref="N325">IF(L325="",0,_xlfn.SWITCH(L325,"C1",325,"C2",325,"C3",325,"D1",380,"D2",380,"D3",380,"Custom",0,285))</f>
        <v>0</v>
      </c>
      <c r="O325" s="51">
        <f>IF(L325="",0,_xlfn.SWITCH(L325,"A1",375,"B1",375,"C1",375,"D1",375,"A2",310,"B2",310,"C2",310,"D2",310,"Custom",0,260))</f>
        <v>0</v>
      </c>
      <c r="P325" s="51">
        <f>IFERROR(IF(OR(M325=0,N325=0),0,(M325+N325)*2+11),0)</f>
        <v>0</v>
      </c>
      <c r="Q325" s="51">
        <f>IFERROR(IF(OR(N325=0,O325=0),0,(N325+O325)-16),0)</f>
        <v>0</v>
      </c>
      <c r="R325" s="53">
        <f>P325*Q325/1000000</f>
        <v>0</v>
      </c>
      <c r="S325" s="129">
        <f>IF(L325="Custom", R325*'[1]RFQ_Matalan Carton'!$M$40, IFERROR(VLOOKUP(L325,'[1]Carton Sizes Chart'!$A$4:$E$15,5,FALSE),0))</f>
        <v>0</v>
      </c>
      <c r="T325" s="124">
        <f>S325</f>
        <v>0</v>
      </c>
      <c r="U325" s="124">
        <f>I325*T325</f>
        <v>0</v>
      </c>
      <c r="V325" s="123">
        <f>((T325*I325)-W325)*4%</f>
        <v>0</v>
      </c>
      <c r="W325" s="124">
        <f>S325*I325*5%</f>
        <v>0</v>
      </c>
    </row>
    <row r="326" spans="1:23">
      <c r="A326" s="118"/>
      <c r="B326" s="118"/>
      <c r="C326" s="119"/>
      <c r="D326" s="118"/>
      <c r="E326" s="118"/>
      <c r="F326" s="118"/>
      <c r="G326" s="119"/>
      <c r="H326" s="119"/>
      <c r="I326" s="119"/>
      <c r="J326" s="119" t="s">
        <v>95</v>
      </c>
      <c r="K326" s="119" t="s">
        <v>110</v>
      </c>
      <c r="L326" s="119" t="s">
        <v>123</v>
      </c>
      <c r="M326" s="51" cm="1">
        <f t="array" ref="M326">IF(L326="",0,_xlfn.SWITCH(L326,"A1",495,"A2",495,"A3",495,"Custom",0,595))</f>
        <v>0</v>
      </c>
      <c r="N326" s="51" cm="1">
        <f t="array" ref="N326">IF(L326="",0,_xlfn.SWITCH(L326,"C1",325,"C2",325,"C3",325,"D1",380,"D2",380,"D3",380,"Custom",0,285))</f>
        <v>0</v>
      </c>
      <c r="O326" s="51">
        <f>IF(L326="",0,_xlfn.SWITCH(L326,"A1",375,"B1",375,"C1",375,"D1",375,"A2",310,"B2",310,"C2",310,"D2",310,"Custom",0,260))</f>
        <v>0</v>
      </c>
      <c r="P326" s="51">
        <f>IFERROR(IF(OR(M326=0,N326=0),0,(M326+N326)*2+11),0)</f>
        <v>0</v>
      </c>
      <c r="Q326" s="51">
        <f>IFERROR(IF(OR(N326=0,O326=0),0,(N326+O326)-16),0)</f>
        <v>0</v>
      </c>
      <c r="R326" s="53">
        <f>P326*Q326/1000000</f>
        <v>0</v>
      </c>
      <c r="S326" s="129">
        <f>IF(L326="Custom", R326*'[1]RFQ_Matalan Carton'!$M$40, IFERROR(VLOOKUP(L326,'[1]Carton Sizes Chart'!$A$4:$E$15,5,FALSE),0))</f>
        <v>0</v>
      </c>
      <c r="T326" s="124">
        <f>S326</f>
        <v>0</v>
      </c>
      <c r="U326" s="124">
        <f>I326*T326</f>
        <v>0</v>
      </c>
      <c r="V326" s="123">
        <f>((T326*I326)-W326)*4%</f>
        <v>0</v>
      </c>
      <c r="W326" s="124">
        <f>S326*I326*5%</f>
        <v>0</v>
      </c>
    </row>
    <row r="327" spans="1:23">
      <c r="A327" s="118"/>
      <c r="B327" s="118"/>
      <c r="C327" s="119"/>
      <c r="D327" s="118"/>
      <c r="E327" s="118"/>
      <c r="F327" s="118"/>
      <c r="G327" s="119"/>
      <c r="H327" s="119"/>
      <c r="I327" s="119"/>
      <c r="J327" s="119" t="s">
        <v>95</v>
      </c>
      <c r="K327" s="119" t="s">
        <v>110</v>
      </c>
      <c r="L327" s="119" t="s">
        <v>123</v>
      </c>
      <c r="M327" s="51" cm="1">
        <f t="array" ref="M327">IF(L327="",0,_xlfn.SWITCH(L327,"A1",495,"A2",495,"A3",495,"Custom",0,595))</f>
        <v>0</v>
      </c>
      <c r="N327" s="51" cm="1">
        <f t="array" ref="N327">IF(L327="",0,_xlfn.SWITCH(L327,"C1",325,"C2",325,"C3",325,"D1",380,"D2",380,"D3",380,"Custom",0,285))</f>
        <v>0</v>
      </c>
      <c r="O327" s="51">
        <f>IF(L327="",0,_xlfn.SWITCH(L327,"A1",375,"B1",375,"C1",375,"D1",375,"A2",310,"B2",310,"C2",310,"D2",310,"Custom",0,260))</f>
        <v>0</v>
      </c>
      <c r="P327" s="51">
        <f>IFERROR(IF(OR(M327=0,N327=0),0,(M327+N327)*2+11),0)</f>
        <v>0</v>
      </c>
      <c r="Q327" s="51">
        <f>IFERROR(IF(OR(N327=0,O327=0),0,(N327+O327)-16),0)</f>
        <v>0</v>
      </c>
      <c r="R327" s="53">
        <f>P327*Q327/1000000</f>
        <v>0</v>
      </c>
      <c r="S327" s="129">
        <f>IF(L327="Custom", R327*'[1]RFQ_Matalan Carton'!$M$40, IFERROR(VLOOKUP(L327,'[1]Carton Sizes Chart'!$A$4:$E$15,5,FALSE),0))</f>
        <v>0</v>
      </c>
      <c r="T327" s="124">
        <f>S327</f>
        <v>0</v>
      </c>
      <c r="U327" s="124">
        <f>I327*T327</f>
        <v>0</v>
      </c>
      <c r="V327" s="123">
        <f>((T327*I327)-W327)*4%</f>
        <v>0</v>
      </c>
      <c r="W327" s="124">
        <f>S327*I327*5%</f>
        <v>0</v>
      </c>
    </row>
    <row r="328" spans="1:23">
      <c r="A328" s="118"/>
      <c r="B328" s="118"/>
      <c r="C328" s="119"/>
      <c r="D328" s="118"/>
      <c r="E328" s="118"/>
      <c r="F328" s="118"/>
      <c r="G328" s="119"/>
      <c r="H328" s="119"/>
      <c r="I328" s="119"/>
      <c r="J328" s="119" t="s">
        <v>95</v>
      </c>
      <c r="K328" s="119" t="s">
        <v>110</v>
      </c>
      <c r="L328" s="119" t="s">
        <v>123</v>
      </c>
      <c r="M328" s="51" cm="1">
        <f t="array" ref="M328">IF(L328="",0,_xlfn.SWITCH(L328,"A1",495,"A2",495,"A3",495,"Custom",0,595))</f>
        <v>0</v>
      </c>
      <c r="N328" s="51" cm="1">
        <f t="array" ref="N328">IF(L328="",0,_xlfn.SWITCH(L328,"C1",325,"C2",325,"C3",325,"D1",380,"D2",380,"D3",380,"Custom",0,285))</f>
        <v>0</v>
      </c>
      <c r="O328" s="51">
        <f>IF(L328="",0,_xlfn.SWITCH(L328,"A1",375,"B1",375,"C1",375,"D1",375,"A2",310,"B2",310,"C2",310,"D2",310,"Custom",0,260))</f>
        <v>0</v>
      </c>
      <c r="P328" s="51">
        <f>IFERROR(IF(OR(M328=0,N328=0),0,(M328+N328)*2+11),0)</f>
        <v>0</v>
      </c>
      <c r="Q328" s="51">
        <f>IFERROR(IF(OR(N328=0,O328=0),0,(N328+O328)-16),0)</f>
        <v>0</v>
      </c>
      <c r="R328" s="53">
        <f>P328*Q328/1000000</f>
        <v>0</v>
      </c>
      <c r="S328" s="129">
        <f>IF(L328="Custom", R328*'[1]RFQ_Matalan Carton'!$M$40, IFERROR(VLOOKUP(L328,'[1]Carton Sizes Chart'!$A$4:$E$15,5,FALSE),0))</f>
        <v>0</v>
      </c>
      <c r="T328" s="124">
        <f>S328</f>
        <v>0</v>
      </c>
      <c r="U328" s="124">
        <f>I328*T328</f>
        <v>0</v>
      </c>
      <c r="V328" s="123">
        <f>((T328*I328)-W328)*4%</f>
        <v>0</v>
      </c>
      <c r="W328" s="124">
        <f>S328*I328*5%</f>
        <v>0</v>
      </c>
    </row>
    <row r="329" spans="1:23">
      <c r="A329" s="118"/>
      <c r="B329" s="118"/>
      <c r="C329" s="119"/>
      <c r="D329" s="118"/>
      <c r="E329" s="118"/>
      <c r="F329" s="118"/>
      <c r="G329" s="119"/>
      <c r="H329" s="119"/>
      <c r="I329" s="119"/>
      <c r="J329" s="119" t="s">
        <v>95</v>
      </c>
      <c r="K329" s="119" t="s">
        <v>110</v>
      </c>
      <c r="L329" s="119" t="s">
        <v>123</v>
      </c>
      <c r="M329" s="51" cm="1">
        <f t="array" ref="M329">IF(L329="",0,_xlfn.SWITCH(L329,"A1",495,"A2",495,"A3",495,"Custom",0,595))</f>
        <v>0</v>
      </c>
      <c r="N329" s="51" cm="1">
        <f t="array" ref="N329">IF(L329="",0,_xlfn.SWITCH(L329,"C1",325,"C2",325,"C3",325,"D1",380,"D2",380,"D3",380,"Custom",0,285))</f>
        <v>0</v>
      </c>
      <c r="O329" s="51">
        <f>IF(L329="",0,_xlfn.SWITCH(L329,"A1",375,"B1",375,"C1",375,"D1",375,"A2",310,"B2",310,"C2",310,"D2",310,"Custom",0,260))</f>
        <v>0</v>
      </c>
      <c r="P329" s="51">
        <f>IFERROR(IF(OR(M329=0,N329=0),0,(M329+N329)*2+11),0)</f>
        <v>0</v>
      </c>
      <c r="Q329" s="51">
        <f>IFERROR(IF(OR(N329=0,O329=0),0,(N329+O329)-16),0)</f>
        <v>0</v>
      </c>
      <c r="R329" s="53">
        <f>P329*Q329/1000000</f>
        <v>0</v>
      </c>
      <c r="S329" s="123">
        <f>IFERROR(VLOOKUP(L329,'[3]Carton Sizes Chart'!$A$4:$E$15,5,FALSE),0)</f>
        <v>0</v>
      </c>
      <c r="T329" s="124">
        <f>S329</f>
        <v>0</v>
      </c>
      <c r="U329" s="124">
        <f>I329*T329</f>
        <v>0</v>
      </c>
      <c r="V329" s="123">
        <f>((T329*I329)-W329)*4%</f>
        <v>0</v>
      </c>
      <c r="W329" s="124">
        <f>S329*I329*5%</f>
        <v>0</v>
      </c>
    </row>
    <row r="330" spans="1:23">
      <c r="A330" s="118"/>
      <c r="B330" s="118"/>
      <c r="C330" s="119"/>
      <c r="D330" s="118"/>
      <c r="E330" s="118"/>
      <c r="F330" s="118"/>
      <c r="G330" s="119"/>
      <c r="H330" s="119"/>
      <c r="I330" s="119"/>
      <c r="J330" s="119" t="s">
        <v>95</v>
      </c>
      <c r="K330" s="119" t="s">
        <v>110</v>
      </c>
      <c r="L330" s="119" t="s">
        <v>123</v>
      </c>
      <c r="M330" s="51" cm="1">
        <f t="array" ref="M330">IF(L330="",0,_xlfn.SWITCH(L330,"A1",495,"A2",495,"A3",495,"Custom",0,595))</f>
        <v>0</v>
      </c>
      <c r="N330" s="51" cm="1">
        <f t="array" ref="N330">IF(L330="",0,_xlfn.SWITCH(L330,"C1",325,"C2",325,"C3",325,"D1",380,"D2",380,"D3",380,"Custom",0,285))</f>
        <v>0</v>
      </c>
      <c r="O330" s="51">
        <f>IF(L330="",0,_xlfn.SWITCH(L330,"A1",375,"B1",375,"C1",375,"D1",375,"A2",310,"B2",310,"C2",310,"D2",310,"Custom",0,260))</f>
        <v>0</v>
      </c>
      <c r="P330" s="51">
        <f>IFERROR(IF(OR(M330=0,N330=0),0,(M330+N330)*2+11),0)</f>
        <v>0</v>
      </c>
      <c r="Q330" s="51">
        <f>IFERROR(IF(OR(N330=0,O330=0),0,(N330+O330)-16),0)</f>
        <v>0</v>
      </c>
      <c r="R330" s="53">
        <f>P330*Q330/1000000</f>
        <v>0</v>
      </c>
      <c r="S330" s="123">
        <f>IFERROR(VLOOKUP(L330,'[3]Carton Sizes Chart'!$A$4:$E$15,5,FALSE),0)</f>
        <v>0</v>
      </c>
      <c r="T330" s="124">
        <f>S330</f>
        <v>0</v>
      </c>
      <c r="U330" s="124">
        <f>I330*T330</f>
        <v>0</v>
      </c>
      <c r="V330" s="123">
        <f>((T330*I330)-W330)*4%</f>
        <v>0</v>
      </c>
      <c r="W330" s="124">
        <f>S330*I330*5%</f>
        <v>0</v>
      </c>
    </row>
    <row r="331" spans="1:23">
      <c r="A331" s="118"/>
      <c r="B331" s="118"/>
      <c r="C331" s="119"/>
      <c r="D331" s="118"/>
      <c r="E331" s="118"/>
      <c r="F331" s="118"/>
      <c r="G331" s="119"/>
      <c r="H331" s="119"/>
      <c r="I331" s="119"/>
      <c r="J331" s="119" t="s">
        <v>95</v>
      </c>
      <c r="K331" s="119" t="s">
        <v>110</v>
      </c>
      <c r="L331" s="119" t="s">
        <v>123</v>
      </c>
      <c r="M331" s="51" cm="1">
        <f t="array" ref="M331">IF(L331="",0,_xlfn.SWITCH(L331,"A1",495,"A2",495,"A3",495,"Custom",0,595))</f>
        <v>0</v>
      </c>
      <c r="N331" s="51" cm="1">
        <f t="array" ref="N331">IF(L331="",0,_xlfn.SWITCH(L331,"C1",325,"C2",325,"C3",325,"D1",380,"D2",380,"D3",380,"Custom",0,285))</f>
        <v>0</v>
      </c>
      <c r="O331" s="51">
        <f>IF(L331="",0,_xlfn.SWITCH(L331,"A1",375,"B1",375,"C1",375,"D1",375,"A2",310,"B2",310,"C2",310,"D2",310,"Custom",0,260))</f>
        <v>0</v>
      </c>
      <c r="P331" s="51">
        <f>IFERROR(IF(OR(M331=0,N331=0),0,(M331+N331)*2+11),0)</f>
        <v>0</v>
      </c>
      <c r="Q331" s="51">
        <f>IFERROR(IF(OR(N331=0,O331=0),0,(N331+O331)-16),0)</f>
        <v>0</v>
      </c>
      <c r="R331" s="53">
        <f>P331*Q331/1000000</f>
        <v>0</v>
      </c>
      <c r="S331" s="123">
        <f>IFERROR(VLOOKUP(L331,'[3]Carton Sizes Chart'!$A$4:$E$15,5,FALSE),0)</f>
        <v>0</v>
      </c>
      <c r="T331" s="124">
        <f>S331</f>
        <v>0</v>
      </c>
      <c r="U331" s="124">
        <f>I331*T331</f>
        <v>0</v>
      </c>
      <c r="V331" s="123">
        <f>((T331*I331)-W331)*4%</f>
        <v>0</v>
      </c>
      <c r="W331" s="124">
        <f>S331*I331*5%</f>
        <v>0</v>
      </c>
    </row>
    <row r="332" spans="1:23">
      <c r="A332" s="118"/>
      <c r="B332" s="118"/>
      <c r="C332" s="119"/>
      <c r="D332" s="118"/>
      <c r="E332" s="118"/>
      <c r="F332" s="118"/>
      <c r="G332" s="119"/>
      <c r="H332" s="119"/>
      <c r="I332" s="119"/>
      <c r="J332" s="119" t="s">
        <v>95</v>
      </c>
      <c r="K332" s="119" t="s">
        <v>110</v>
      </c>
      <c r="L332" s="119" t="s">
        <v>123</v>
      </c>
      <c r="M332" s="51" cm="1">
        <f t="array" ref="M332">IF(L332="",0,_xlfn.SWITCH(L332,"A1",495,"A2",495,"A3",495,"Custom",0,595))</f>
        <v>0</v>
      </c>
      <c r="N332" s="51" cm="1">
        <f t="array" ref="N332">IF(L332="",0,_xlfn.SWITCH(L332,"C1",325,"C2",325,"C3",325,"D1",380,"D2",380,"D3",380,"Custom",0,285))</f>
        <v>0</v>
      </c>
      <c r="O332" s="51">
        <f>IF(L332="",0,_xlfn.SWITCH(L332,"A1",375,"B1",375,"C1",375,"D1",375,"A2",310,"B2",310,"C2",310,"D2",310,"Custom",0,260))</f>
        <v>0</v>
      </c>
      <c r="P332" s="51">
        <f>IFERROR(IF(OR(M332=0,N332=0),0,(M332+N332)*2+11),0)</f>
        <v>0</v>
      </c>
      <c r="Q332" s="51">
        <f>IFERROR(IF(OR(N332=0,O332=0),0,(N332+O332)-16),0)</f>
        <v>0</v>
      </c>
      <c r="R332" s="53">
        <f>P332*Q332/1000000</f>
        <v>0</v>
      </c>
      <c r="S332" s="123">
        <f>IFERROR(VLOOKUP(L332,'[3]Carton Sizes Chart'!$A$4:$E$15,5,FALSE),0)</f>
        <v>0</v>
      </c>
      <c r="T332" s="124">
        <f>S332</f>
        <v>0</v>
      </c>
      <c r="U332" s="124">
        <f>I332*T332</f>
        <v>0</v>
      </c>
      <c r="V332" s="123">
        <f>((T332*I332)-W332)*4%</f>
        <v>0</v>
      </c>
      <c r="W332" s="124">
        <f>S332*I332*5%</f>
        <v>0</v>
      </c>
    </row>
    <row r="333" spans="1:23">
      <c r="A333" s="118"/>
      <c r="B333" s="118"/>
      <c r="C333" s="119"/>
      <c r="D333" s="118"/>
      <c r="E333" s="118"/>
      <c r="F333" s="118"/>
      <c r="G333" s="119"/>
      <c r="H333" s="119"/>
      <c r="I333" s="119"/>
      <c r="J333" s="119" t="s">
        <v>95</v>
      </c>
      <c r="K333" s="119" t="s">
        <v>110</v>
      </c>
      <c r="L333" s="119" t="s">
        <v>123</v>
      </c>
      <c r="M333" s="51" cm="1">
        <f t="array" ref="M333">IF(L333="",0,_xlfn.SWITCH(L333,"A1",495,"A2",495,"A3",495,"Custom",0,595))</f>
        <v>0</v>
      </c>
      <c r="N333" s="51" cm="1">
        <f t="array" ref="N333">IF(L333="",0,_xlfn.SWITCH(L333,"C1",325,"C2",325,"C3",325,"D1",380,"D2",380,"D3",380,"Custom",0,285))</f>
        <v>0</v>
      </c>
      <c r="O333" s="51">
        <f>IF(L333="",0,_xlfn.SWITCH(L333,"A1",375,"B1",375,"C1",375,"D1",375,"A2",310,"B2",310,"C2",310,"D2",310,"Custom",0,260))</f>
        <v>0</v>
      </c>
      <c r="P333" s="51">
        <f>IFERROR(IF(OR(M333=0,N333=0),0,(M333+N333)*2+11),0)</f>
        <v>0</v>
      </c>
      <c r="Q333" s="51">
        <f>IFERROR(IF(OR(N333=0,O333=0),0,(N333+O333)-16),0)</f>
        <v>0</v>
      </c>
      <c r="R333" s="53">
        <f>P333*Q333/1000000</f>
        <v>0</v>
      </c>
      <c r="S333" s="123">
        <f>IFERROR(VLOOKUP(L333,'[3]Carton Sizes Chart'!$A$4:$E$15,5,FALSE),0)</f>
        <v>0</v>
      </c>
      <c r="T333" s="124">
        <f>S333</f>
        <v>0</v>
      </c>
      <c r="U333" s="124">
        <f>I333*T333</f>
        <v>0</v>
      </c>
      <c r="V333" s="123">
        <f>((T333*I333)-W333)*4%</f>
        <v>0</v>
      </c>
      <c r="W333" s="124">
        <f>S333*I333*5%</f>
        <v>0</v>
      </c>
    </row>
    <row r="334" spans="1:23">
      <c r="A334" s="118"/>
      <c r="B334" s="118"/>
      <c r="C334" s="119"/>
      <c r="D334" s="118"/>
      <c r="E334" s="118"/>
      <c r="F334" s="118"/>
      <c r="G334" s="119"/>
      <c r="H334" s="119"/>
      <c r="I334" s="119"/>
      <c r="J334" s="119" t="s">
        <v>95</v>
      </c>
      <c r="K334" s="119" t="s">
        <v>110</v>
      </c>
      <c r="L334" s="119" t="s">
        <v>123</v>
      </c>
      <c r="M334" s="51" cm="1">
        <f t="array" ref="M334">IF(L334="",0,_xlfn.SWITCH(L334,"A1",495,"A2",495,"A3",495,"Custom",0,595))</f>
        <v>0</v>
      </c>
      <c r="N334" s="51" cm="1">
        <f t="array" ref="N334">IF(L334="",0,_xlfn.SWITCH(L334,"C1",325,"C2",325,"C3",325,"D1",380,"D2",380,"D3",380,"Custom",0,285))</f>
        <v>0</v>
      </c>
      <c r="O334" s="51">
        <f>IF(L334="",0,_xlfn.SWITCH(L334,"A1",375,"B1",375,"C1",375,"D1",375,"A2",310,"B2",310,"C2",310,"D2",310,"Custom",0,260))</f>
        <v>0</v>
      </c>
      <c r="P334" s="51">
        <f>IFERROR(IF(OR(M334=0,N334=0),0,(M334+N334)*2+11),0)</f>
        <v>0</v>
      </c>
      <c r="Q334" s="51">
        <f>IFERROR(IF(OR(N334=0,O334=0),0,(N334+O334)-16),0)</f>
        <v>0</v>
      </c>
      <c r="R334" s="53">
        <f>P334*Q334/1000000</f>
        <v>0</v>
      </c>
      <c r="S334" s="123">
        <f>IFERROR(VLOOKUP(L334,'[3]Carton Sizes Chart'!$A$4:$E$15,5,FALSE),0)</f>
        <v>0</v>
      </c>
      <c r="T334" s="124">
        <f>S334</f>
        <v>0</v>
      </c>
      <c r="U334" s="124">
        <f>I334*T334</f>
        <v>0</v>
      </c>
      <c r="V334" s="123">
        <f>((T334*I334)-W334)*4%</f>
        <v>0</v>
      </c>
      <c r="W334" s="124">
        <f>S334*I334*5%</f>
        <v>0</v>
      </c>
    </row>
    <row r="335" spans="1:23">
      <c r="A335" s="118"/>
      <c r="B335" s="118"/>
      <c r="C335" s="119"/>
      <c r="D335" s="118"/>
      <c r="E335" s="118"/>
      <c r="F335" s="118"/>
      <c r="G335" s="119"/>
      <c r="H335" s="119"/>
      <c r="I335" s="119"/>
      <c r="J335" s="119" t="s">
        <v>95</v>
      </c>
      <c r="K335" s="119" t="s">
        <v>110</v>
      </c>
      <c r="L335" s="119" t="s">
        <v>123</v>
      </c>
      <c r="M335" s="51" cm="1">
        <f t="array" ref="M335">IF(L335="",0,_xlfn.SWITCH(L335,"A1",495,"A2",495,"A3",495,"Custom",0,595))</f>
        <v>0</v>
      </c>
      <c r="N335" s="51" cm="1">
        <f t="array" ref="N335">IF(L335="",0,_xlfn.SWITCH(L335,"C1",325,"C2",325,"C3",325,"D1",380,"D2",380,"D3",380,"Custom",0,285))</f>
        <v>0</v>
      </c>
      <c r="O335" s="51">
        <f>IF(L335="",0,_xlfn.SWITCH(L335,"A1",375,"B1",375,"C1",375,"D1",375,"A2",310,"B2",310,"C2",310,"D2",310,"Custom",0,260))</f>
        <v>0</v>
      </c>
      <c r="P335" s="51">
        <f>IFERROR(IF(OR(M335=0,N335=0),0,(M335+N335)*2+11),0)</f>
        <v>0</v>
      </c>
      <c r="Q335" s="51">
        <f>IFERROR(IF(OR(N335=0,O335=0),0,(N335+O335)-16),0)</f>
        <v>0</v>
      </c>
      <c r="R335" s="53">
        <f>P335*Q335/1000000</f>
        <v>0</v>
      </c>
      <c r="S335" s="123">
        <f>IFERROR(VLOOKUP(L335,'[3]Carton Sizes Chart'!$A$4:$E$15,5,FALSE),0)</f>
        <v>0</v>
      </c>
      <c r="T335" s="124">
        <f>S335</f>
        <v>0</v>
      </c>
      <c r="U335" s="124">
        <f>I335*T335</f>
        <v>0</v>
      </c>
      <c r="V335" s="123">
        <f>((T335*I335)-W335)*4%</f>
        <v>0</v>
      </c>
      <c r="W335" s="124">
        <f>S335*I335*5%</f>
        <v>0</v>
      </c>
    </row>
    <row r="336" spans="1:23">
      <c r="A336" s="118"/>
      <c r="B336" s="118"/>
      <c r="C336" s="119"/>
      <c r="D336" s="118"/>
      <c r="E336" s="118"/>
      <c r="F336" s="118"/>
      <c r="G336" s="119"/>
      <c r="H336" s="119"/>
      <c r="I336" s="119"/>
      <c r="J336" s="119" t="s">
        <v>95</v>
      </c>
      <c r="K336" s="119" t="s">
        <v>110</v>
      </c>
      <c r="L336" s="119" t="s">
        <v>123</v>
      </c>
      <c r="M336" s="51" cm="1">
        <f t="array" ref="M336">IF(L336="",0,_xlfn.SWITCH(L336,"A1",495,"A2",495,"A3",495,"Custom",0,595))</f>
        <v>0</v>
      </c>
      <c r="N336" s="51" cm="1">
        <f t="array" ref="N336">IF(L336="",0,_xlfn.SWITCH(L336,"C1",325,"C2",325,"C3",325,"D1",380,"D2",380,"D3",380,"Custom",0,285))</f>
        <v>0</v>
      </c>
      <c r="O336" s="51">
        <f>IF(L336="",0,_xlfn.SWITCH(L336,"A1",375,"B1",375,"C1",375,"D1",375,"A2",310,"B2",310,"C2",310,"D2",310,"Custom",0,260))</f>
        <v>0</v>
      </c>
      <c r="P336" s="51">
        <f>IFERROR(IF(OR(M336=0,N336=0),0,(M336+N336)*2+11),0)</f>
        <v>0</v>
      </c>
      <c r="Q336" s="51">
        <f>IFERROR(IF(OR(N336=0,O336=0),0,(N336+O336)-16),0)</f>
        <v>0</v>
      </c>
      <c r="R336" s="53">
        <f>P336*Q336/1000000</f>
        <v>0</v>
      </c>
      <c r="S336" s="129">
        <f>IF(L336="Custom", R336*'[1]RFQ_Matalan Carton'!$M$40, IFERROR(VLOOKUP(L336,'[1]Carton Sizes Chart'!$A$4:$E$15,5,FALSE),0))</f>
        <v>0</v>
      </c>
      <c r="T336" s="124">
        <f>S336</f>
        <v>0</v>
      </c>
      <c r="U336" s="124">
        <f>I336*T336</f>
        <v>0</v>
      </c>
      <c r="V336" s="123">
        <f>((T336*I336)-W336)*4%</f>
        <v>0</v>
      </c>
      <c r="W336" s="124">
        <f>S336*I336*5%</f>
        <v>0</v>
      </c>
    </row>
    <row r="337" spans="1:23">
      <c r="A337" s="118"/>
      <c r="B337" s="118"/>
      <c r="C337" s="119"/>
      <c r="D337" s="118"/>
      <c r="E337" s="118"/>
      <c r="F337" s="118"/>
      <c r="G337" s="119"/>
      <c r="H337" s="119"/>
      <c r="I337" s="119"/>
      <c r="J337" s="119" t="s">
        <v>95</v>
      </c>
      <c r="K337" s="119" t="s">
        <v>110</v>
      </c>
      <c r="L337" s="119" t="s">
        <v>123</v>
      </c>
      <c r="M337" s="51" cm="1">
        <f t="array" ref="M337">IF(L337="",0,_xlfn.SWITCH(L337,"A1",495,"A2",495,"A3",495,"Custom",0,595))</f>
        <v>0</v>
      </c>
      <c r="N337" s="51" cm="1">
        <f t="array" ref="N337">IF(L337="",0,_xlfn.SWITCH(L337,"C1",325,"C2",325,"C3",325,"D1",380,"D2",380,"D3",380,"Custom",0,285))</f>
        <v>0</v>
      </c>
      <c r="O337" s="51">
        <f>IF(L337="",0,_xlfn.SWITCH(L337,"A1",375,"B1",375,"C1",375,"D1",375,"A2",310,"B2",310,"C2",310,"D2",310,"Custom",0,260))</f>
        <v>0</v>
      </c>
      <c r="P337" s="51">
        <f>IFERROR(IF(OR(M337=0,N337=0),0,(M337+N337)*2+11),0)</f>
        <v>0</v>
      </c>
      <c r="Q337" s="51">
        <f>IFERROR(IF(OR(N337=0,O337=0),0,(N337+O337)-16),0)</f>
        <v>0</v>
      </c>
      <c r="R337" s="53">
        <f>P337*Q337/1000000</f>
        <v>0</v>
      </c>
      <c r="S337" s="123">
        <f>IFERROR(VLOOKUP(L337,'[3]Carton Sizes Chart'!$A$4:$E$15,5,FALSE),0)</f>
        <v>0</v>
      </c>
      <c r="T337" s="124">
        <f>S337</f>
        <v>0</v>
      </c>
      <c r="U337" s="124">
        <f>I337*T337</f>
        <v>0</v>
      </c>
      <c r="V337" s="123">
        <f>((T337*I337)-W337)*4%</f>
        <v>0</v>
      </c>
      <c r="W337" s="124">
        <f>S337*I337*5%</f>
        <v>0</v>
      </c>
    </row>
    <row r="338" spans="1:23">
      <c r="A338" s="118"/>
      <c r="B338" s="118"/>
      <c r="C338" s="119"/>
      <c r="D338" s="118"/>
      <c r="E338" s="118"/>
      <c r="F338" s="118"/>
      <c r="G338" s="119"/>
      <c r="H338" s="119"/>
      <c r="I338" s="119"/>
      <c r="J338" s="119" t="s">
        <v>95</v>
      </c>
      <c r="K338" s="119" t="s">
        <v>110</v>
      </c>
      <c r="L338" s="119" t="s">
        <v>123</v>
      </c>
      <c r="M338" s="51" cm="1">
        <f t="array" ref="M338">IF(L338="",0,_xlfn.SWITCH(L338,"A1",495,"A2",495,"A3",495,"Custom",0,595))</f>
        <v>0</v>
      </c>
      <c r="N338" s="51" cm="1">
        <f t="array" ref="N338">IF(L338="",0,_xlfn.SWITCH(L338,"C1",325,"C2",325,"C3",325,"D1",380,"D2",380,"D3",380,"Custom",0,285))</f>
        <v>0</v>
      </c>
      <c r="O338" s="51">
        <f>IF(L338="",0,_xlfn.SWITCH(L338,"A1",375,"B1",375,"C1",375,"D1",375,"A2",310,"B2",310,"C2",310,"D2",310,"Custom",0,260))</f>
        <v>0</v>
      </c>
      <c r="P338" s="51">
        <f>IFERROR(IF(OR(M338=0,N338=0),0,(M338+N338)*2+11),0)</f>
        <v>0</v>
      </c>
      <c r="Q338" s="51">
        <f>IFERROR(IF(OR(N338=0,O338=0),0,(N338+O338)-16),0)</f>
        <v>0</v>
      </c>
      <c r="R338" s="53">
        <f>P338*Q338/1000000</f>
        <v>0</v>
      </c>
      <c r="S338" s="123">
        <f>IFERROR(VLOOKUP(L338,'[3]Carton Sizes Chart'!$A$4:$E$15,5,FALSE),0)</f>
        <v>0</v>
      </c>
      <c r="T338" s="124">
        <f>S338</f>
        <v>0</v>
      </c>
      <c r="U338" s="124">
        <f>I338*T338</f>
        <v>0</v>
      </c>
      <c r="V338" s="123">
        <f>((T338*I338)-W338)*4%</f>
        <v>0</v>
      </c>
      <c r="W338" s="124">
        <f>S338*I338*5%</f>
        <v>0</v>
      </c>
    </row>
    <row r="339" spans="1:23">
      <c r="A339" s="118"/>
      <c r="B339" s="118"/>
      <c r="C339" s="119"/>
      <c r="D339" s="118"/>
      <c r="E339" s="118"/>
      <c r="F339" s="118"/>
      <c r="G339" s="119"/>
      <c r="H339" s="119"/>
      <c r="I339" s="119"/>
      <c r="J339" s="119" t="s">
        <v>95</v>
      </c>
      <c r="K339" s="119" t="s">
        <v>110</v>
      </c>
      <c r="L339" s="119" t="s">
        <v>123</v>
      </c>
      <c r="M339" s="51" cm="1">
        <f t="array" ref="M339">IF(L339="",0,_xlfn.SWITCH(L339,"A1",495,"A2",495,"A3",495,"Custom",0,595))</f>
        <v>0</v>
      </c>
      <c r="N339" s="51" cm="1">
        <f t="array" ref="N339">IF(L339="",0,_xlfn.SWITCH(L339,"C1",325,"C2",325,"C3",325,"D1",380,"D2",380,"D3",380,"Custom",0,285))</f>
        <v>0</v>
      </c>
      <c r="O339" s="51">
        <f>IF(L339="",0,_xlfn.SWITCH(L339,"A1",375,"B1",375,"C1",375,"D1",375,"A2",310,"B2",310,"C2",310,"D2",310,"Custom",0,260))</f>
        <v>0</v>
      </c>
      <c r="P339" s="51">
        <f>IFERROR(IF(OR(M339=0,N339=0),0,(M339+N339)*2+11),0)</f>
        <v>0</v>
      </c>
      <c r="Q339" s="51">
        <f>IFERROR(IF(OR(N339=0,O339=0),0,(N339+O339)-16),0)</f>
        <v>0</v>
      </c>
      <c r="R339" s="53">
        <f>P339*Q339/1000000</f>
        <v>0</v>
      </c>
      <c r="S339" s="123">
        <f>IFERROR(VLOOKUP(L339,'[3]Carton Sizes Chart'!$A$4:$E$15,5,FALSE),0)</f>
        <v>0</v>
      </c>
      <c r="T339" s="124">
        <f>S339</f>
        <v>0</v>
      </c>
      <c r="U339" s="124">
        <f>I339*T339</f>
        <v>0</v>
      </c>
      <c r="V339" s="123">
        <f>((T339*I339)-W339)*4%</f>
        <v>0</v>
      </c>
      <c r="W339" s="124">
        <f>S339*I339*5%</f>
        <v>0</v>
      </c>
    </row>
    <row r="340" spans="1:23">
      <c r="A340" s="118"/>
      <c r="B340" s="118"/>
      <c r="C340" s="119"/>
      <c r="D340" s="118"/>
      <c r="E340" s="118"/>
      <c r="F340" s="118"/>
      <c r="G340" s="119"/>
      <c r="H340" s="119"/>
      <c r="I340" s="119"/>
      <c r="J340" s="119" t="s">
        <v>95</v>
      </c>
      <c r="K340" s="119" t="s">
        <v>110</v>
      </c>
      <c r="L340" s="119" t="s">
        <v>123</v>
      </c>
      <c r="M340" s="51" cm="1">
        <f t="array" ref="M340">IF(L340="",0,_xlfn.SWITCH(L340,"A1",495,"A2",495,"A3",495,"Custom",0,595))</f>
        <v>0</v>
      </c>
      <c r="N340" s="51" cm="1">
        <f t="array" ref="N340">IF(L340="",0,_xlfn.SWITCH(L340,"C1",325,"C2",325,"C3",325,"D1",380,"D2",380,"D3",380,"Custom",0,285))</f>
        <v>0</v>
      </c>
      <c r="O340" s="51">
        <f>IF(L340="",0,_xlfn.SWITCH(L340,"A1",375,"B1",375,"C1",375,"D1",375,"A2",310,"B2",310,"C2",310,"D2",310,"Custom",0,260))</f>
        <v>0</v>
      </c>
      <c r="P340" s="51">
        <f>IFERROR(IF(OR(M340=0,N340=0),0,(M340+N340)*2+11),0)</f>
        <v>0</v>
      </c>
      <c r="Q340" s="51">
        <f>IFERROR(IF(OR(N340=0,O340=0),0,(N340+O340)-16),0)</f>
        <v>0</v>
      </c>
      <c r="R340" s="53">
        <f>P340*Q340/1000000</f>
        <v>0</v>
      </c>
      <c r="S340" s="123">
        <f>IFERROR(VLOOKUP(L340,'[3]Carton Sizes Chart'!$A$4:$E$15,5,FALSE),0)</f>
        <v>0</v>
      </c>
      <c r="T340" s="124">
        <f>S340</f>
        <v>0</v>
      </c>
      <c r="U340" s="124">
        <f>I340*T340</f>
        <v>0</v>
      </c>
      <c r="V340" s="123">
        <f>((T340*I340)-W340)*4%</f>
        <v>0</v>
      </c>
      <c r="W340" s="124">
        <f>S340*I340*5%</f>
        <v>0</v>
      </c>
    </row>
    <row r="341" spans="1:23">
      <c r="A341" s="118"/>
      <c r="B341" s="118"/>
      <c r="C341" s="119"/>
      <c r="D341" s="118"/>
      <c r="E341" s="118"/>
      <c r="F341" s="118"/>
      <c r="G341" s="119"/>
      <c r="H341" s="119"/>
      <c r="I341" s="119"/>
      <c r="J341" s="119" t="s">
        <v>95</v>
      </c>
      <c r="K341" s="119" t="s">
        <v>110</v>
      </c>
      <c r="L341" s="119" t="s">
        <v>123</v>
      </c>
      <c r="M341" s="51" cm="1">
        <f t="array" ref="M341">IF(L341="",0,_xlfn.SWITCH(L341,"A1",495,"A2",495,"A3",495,"Custom",0,595))</f>
        <v>0</v>
      </c>
      <c r="N341" s="51" cm="1">
        <f t="array" ref="N341">IF(L341="",0,_xlfn.SWITCH(L341,"C1",325,"C2",325,"C3",325,"D1",380,"D2",380,"D3",380,"Custom",0,285))</f>
        <v>0</v>
      </c>
      <c r="O341" s="51">
        <f>IF(L341="",0,_xlfn.SWITCH(L341,"A1",375,"B1",375,"C1",375,"D1",375,"A2",310,"B2",310,"C2",310,"D2",310,"Custom",0,260))</f>
        <v>0</v>
      </c>
      <c r="P341" s="51">
        <f>IFERROR(IF(OR(M341=0,N341=0),0,(M341+N341)*2+11),0)</f>
        <v>0</v>
      </c>
      <c r="Q341" s="51">
        <f>IFERROR(IF(OR(N341=0,O341=0),0,(N341+O341)-16),0)</f>
        <v>0</v>
      </c>
      <c r="R341" s="53">
        <f>P341*Q341/1000000</f>
        <v>0</v>
      </c>
      <c r="S341" s="129">
        <f>IF(L341="Custom", R341*'[1]RFQ_Matalan Carton'!$M$40, IFERROR(VLOOKUP(L341,'[1]Carton Sizes Chart'!$A$4:$E$15,5,FALSE),0))</f>
        <v>0</v>
      </c>
      <c r="T341" s="124">
        <f>S341</f>
        <v>0</v>
      </c>
      <c r="U341" s="124">
        <f>I341*T341</f>
        <v>0</v>
      </c>
      <c r="V341" s="123">
        <f>((T341*I341)-W341)*4%</f>
        <v>0</v>
      </c>
      <c r="W341" s="124">
        <f>S341*I341*5%</f>
        <v>0</v>
      </c>
    </row>
    <row r="342" spans="1:23">
      <c r="A342" s="118"/>
      <c r="B342" s="118"/>
      <c r="C342" s="119"/>
      <c r="D342" s="118"/>
      <c r="E342" s="118"/>
      <c r="F342" s="118"/>
      <c r="G342" s="119"/>
      <c r="H342" s="119"/>
      <c r="I342" s="119"/>
      <c r="J342" s="119" t="s">
        <v>95</v>
      </c>
      <c r="K342" s="119" t="s">
        <v>110</v>
      </c>
      <c r="L342" s="119" t="s">
        <v>123</v>
      </c>
      <c r="M342" s="51" cm="1">
        <f t="array" ref="M342">IF(L342="",0,_xlfn.SWITCH(L342,"A1",495,"A2",495,"A3",495,"Custom",0,595))</f>
        <v>0</v>
      </c>
      <c r="N342" s="51" cm="1">
        <f t="array" ref="N342">IF(L342="",0,_xlfn.SWITCH(L342,"C1",325,"C2",325,"C3",325,"D1",380,"D2",380,"D3",380,"Custom",0,285))</f>
        <v>0</v>
      </c>
      <c r="O342" s="51">
        <f>IF(L342="",0,_xlfn.SWITCH(L342,"A1",375,"B1",375,"C1",375,"D1",375,"A2",310,"B2",310,"C2",310,"D2",310,"Custom",0,260))</f>
        <v>0</v>
      </c>
      <c r="P342" s="51">
        <f>IFERROR(IF(OR(M342=0,N342=0),0,(M342+N342)*2+11),0)</f>
        <v>0</v>
      </c>
      <c r="Q342" s="51">
        <f>IFERROR(IF(OR(N342=0,O342=0),0,(N342+O342)-16),0)</f>
        <v>0</v>
      </c>
      <c r="R342" s="53">
        <f>P342*Q342/1000000</f>
        <v>0</v>
      </c>
      <c r="S342" s="129">
        <f>IF(L342="Custom", R342*'[1]RFQ_Matalan Carton'!$M$40, IFERROR(VLOOKUP(L342,'[1]Carton Sizes Chart'!$A$4:$E$15,5,FALSE),0))</f>
        <v>0</v>
      </c>
      <c r="T342" s="124">
        <f>S342</f>
        <v>0</v>
      </c>
      <c r="U342" s="124">
        <f>I342*T342</f>
        <v>0</v>
      </c>
      <c r="V342" s="123">
        <f>((T342*I342)-W342)*4%</f>
        <v>0</v>
      </c>
      <c r="W342" s="124">
        <f>S342*I342*5%</f>
        <v>0</v>
      </c>
    </row>
    <row r="343" spans="1:23">
      <c r="A343" s="118"/>
      <c r="B343" s="118"/>
      <c r="C343" s="119"/>
      <c r="D343" s="118"/>
      <c r="E343" s="118"/>
      <c r="F343" s="118"/>
      <c r="G343" s="119"/>
      <c r="H343" s="119"/>
      <c r="I343" s="119"/>
      <c r="J343" s="119" t="s">
        <v>95</v>
      </c>
      <c r="K343" s="119" t="s">
        <v>110</v>
      </c>
      <c r="L343" s="119" t="s">
        <v>123</v>
      </c>
      <c r="M343" s="51" cm="1">
        <f t="array" ref="M343">IF(L343="",0,_xlfn.SWITCH(L343,"A1",495,"A2",495,"A3",495,"Custom",0,595))</f>
        <v>0</v>
      </c>
      <c r="N343" s="51" cm="1">
        <f t="array" ref="N343">IF(L343="",0,_xlfn.SWITCH(L343,"C1",325,"C2",325,"C3",325,"D1",380,"D2",380,"D3",380,"Custom",0,285))</f>
        <v>0</v>
      </c>
      <c r="O343" s="51">
        <f>IF(L343="",0,_xlfn.SWITCH(L343,"A1",375,"B1",375,"C1",375,"D1",375,"A2",310,"B2",310,"C2",310,"D2",310,"Custom",0,260))</f>
        <v>0</v>
      </c>
      <c r="P343" s="51">
        <f>IFERROR(IF(OR(M343=0,N343=0),0,(M343+N343)*2+11),0)</f>
        <v>0</v>
      </c>
      <c r="Q343" s="51">
        <f>IFERROR(IF(OR(N343=0,O343=0),0,(N343+O343)-16),0)</f>
        <v>0</v>
      </c>
      <c r="R343" s="53">
        <f>P343*Q343/1000000</f>
        <v>0</v>
      </c>
      <c r="S343" s="123">
        <f>IFERROR(VLOOKUP(L343,'[3]Carton Sizes Chart'!$A$4:$E$15,5,FALSE),0)</f>
        <v>0</v>
      </c>
      <c r="T343" s="124">
        <f>S343</f>
        <v>0</v>
      </c>
      <c r="U343" s="124">
        <f>I343*T343</f>
        <v>0</v>
      </c>
      <c r="V343" s="123">
        <f>((T343*I343)-W343)*4%</f>
        <v>0</v>
      </c>
      <c r="W343" s="124">
        <f>S343*I343*5%</f>
        <v>0</v>
      </c>
    </row>
    <row r="344" spans="1:23">
      <c r="A344" s="118"/>
      <c r="B344" s="118"/>
      <c r="C344" s="119"/>
      <c r="D344" s="118"/>
      <c r="E344" s="118"/>
      <c r="F344" s="118"/>
      <c r="G344" s="119"/>
      <c r="H344" s="119"/>
      <c r="I344" s="119"/>
      <c r="J344" s="119" t="s">
        <v>95</v>
      </c>
      <c r="K344" s="119" t="s">
        <v>110</v>
      </c>
      <c r="L344" s="119" t="s">
        <v>123</v>
      </c>
      <c r="M344" s="51" cm="1">
        <f t="array" ref="M344">IF(L344="",0,_xlfn.SWITCH(L344,"A1",495,"A2",495,"A3",495,"Custom",0,595))</f>
        <v>0</v>
      </c>
      <c r="N344" s="51" cm="1">
        <f t="array" ref="N344">IF(L344="",0,_xlfn.SWITCH(L344,"C1",325,"C2",325,"C3",325,"D1",380,"D2",380,"D3",380,"Custom",0,285))</f>
        <v>0</v>
      </c>
      <c r="O344" s="51">
        <f>IF(L344="",0,_xlfn.SWITCH(L344,"A1",375,"B1",375,"C1",375,"D1",375,"A2",310,"B2",310,"C2",310,"D2",310,"Custom",0,260))</f>
        <v>0</v>
      </c>
      <c r="P344" s="51">
        <f>IFERROR(IF(OR(M344=0,N344=0),0,(M344+N344)*2+11),0)</f>
        <v>0</v>
      </c>
      <c r="Q344" s="51">
        <f>IFERROR(IF(OR(N344=0,O344=0),0,(N344+O344)-16),0)</f>
        <v>0</v>
      </c>
      <c r="R344" s="53">
        <f>P344*Q344/1000000</f>
        <v>0</v>
      </c>
      <c r="S344" s="123">
        <f>IFERROR(VLOOKUP(L344,'[3]Carton Sizes Chart'!$A$4:$E$15,5,FALSE),0)</f>
        <v>0</v>
      </c>
      <c r="T344" s="124">
        <f>S344</f>
        <v>0</v>
      </c>
      <c r="U344" s="124">
        <f>I344*T344</f>
        <v>0</v>
      </c>
      <c r="V344" s="123">
        <f>((T344*I344)-W344)*4%</f>
        <v>0</v>
      </c>
      <c r="W344" s="124">
        <f>S344*I344*5%</f>
        <v>0</v>
      </c>
    </row>
    <row r="345" spans="1:23">
      <c r="A345" s="118"/>
      <c r="B345" s="118"/>
      <c r="C345" s="119"/>
      <c r="D345" s="118"/>
      <c r="E345" s="118"/>
      <c r="F345" s="118"/>
      <c r="G345" s="119"/>
      <c r="H345" s="119"/>
      <c r="I345" s="119"/>
      <c r="J345" s="119" t="s">
        <v>95</v>
      </c>
      <c r="K345" s="119" t="s">
        <v>110</v>
      </c>
      <c r="L345" s="119" t="s">
        <v>123</v>
      </c>
      <c r="M345" s="51" cm="1">
        <f t="array" ref="M345">IF(L345="",0,_xlfn.SWITCH(L345,"A1",495,"A2",495,"A3",495,"Custom",0,595))</f>
        <v>0</v>
      </c>
      <c r="N345" s="51" cm="1">
        <f t="array" ref="N345">IF(L345="",0,_xlfn.SWITCH(L345,"C1",325,"C2",325,"C3",325,"D1",380,"D2",380,"D3",380,"Custom",0,285))</f>
        <v>0</v>
      </c>
      <c r="O345" s="51">
        <f>IF(L345="",0,_xlfn.SWITCH(L345,"A1",375,"B1",375,"C1",375,"D1",375,"A2",310,"B2",310,"C2",310,"D2",310,"Custom",0,260))</f>
        <v>0</v>
      </c>
      <c r="P345" s="51">
        <f>IFERROR(IF(OR(M345=0,N345=0),0,(M345+N345)*2+11),0)</f>
        <v>0</v>
      </c>
      <c r="Q345" s="51">
        <f>IFERROR(IF(OR(N345=0,O345=0),0,(N345+O345)-16),0)</f>
        <v>0</v>
      </c>
      <c r="R345" s="53">
        <f>P345*Q345/1000000</f>
        <v>0</v>
      </c>
      <c r="S345" s="123">
        <f>IFERROR(VLOOKUP(L345,'[3]Carton Sizes Chart'!$A$4:$E$15,5,FALSE),0)</f>
        <v>0</v>
      </c>
      <c r="T345" s="124">
        <f>S345</f>
        <v>0</v>
      </c>
      <c r="U345" s="124">
        <f>I345*T345</f>
        <v>0</v>
      </c>
      <c r="V345" s="123">
        <f>((T345*I345)-W345)*4%</f>
        <v>0</v>
      </c>
      <c r="W345" s="124">
        <f>S345*I345*5%</f>
        <v>0</v>
      </c>
    </row>
    <row r="346" spans="1:23">
      <c r="A346" s="118"/>
      <c r="B346" s="118"/>
      <c r="C346" s="119"/>
      <c r="D346" s="118"/>
      <c r="E346" s="118"/>
      <c r="F346" s="118"/>
      <c r="G346" s="119"/>
      <c r="H346" s="119"/>
      <c r="I346" s="119"/>
      <c r="J346" s="119" t="s">
        <v>95</v>
      </c>
      <c r="K346" s="119" t="s">
        <v>110</v>
      </c>
      <c r="L346" s="119" t="s">
        <v>123</v>
      </c>
      <c r="M346" s="51" cm="1">
        <f t="array" ref="M346">IF(L346="",0,_xlfn.SWITCH(L346,"A1",495,"A2",495,"A3",495,"Custom",0,595))</f>
        <v>0</v>
      </c>
      <c r="N346" s="51" cm="1">
        <f t="array" ref="N346">IF(L346="",0,_xlfn.SWITCH(L346,"C1",325,"C2",325,"C3",325,"D1",380,"D2",380,"D3",380,"Custom",0,285))</f>
        <v>0</v>
      </c>
      <c r="O346" s="51">
        <f>IF(L346="",0,_xlfn.SWITCH(L346,"A1",375,"B1",375,"C1",375,"D1",375,"A2",310,"B2",310,"C2",310,"D2",310,"Custom",0,260))</f>
        <v>0</v>
      </c>
      <c r="P346" s="51">
        <f>IFERROR(IF(OR(M346=0,N346=0),0,(M346+N346)*2+11),0)</f>
        <v>0</v>
      </c>
      <c r="Q346" s="51">
        <f>IFERROR(IF(OR(N346=0,O346=0),0,(N346+O346)-16),0)</f>
        <v>0</v>
      </c>
      <c r="R346" s="53">
        <f>P346*Q346/1000000</f>
        <v>0</v>
      </c>
      <c r="S346" s="123">
        <f>IFERROR(VLOOKUP(L346,'[3]Carton Sizes Chart'!$A$4:$E$15,5,FALSE),0)</f>
        <v>0</v>
      </c>
      <c r="T346" s="124">
        <f>S346</f>
        <v>0</v>
      </c>
      <c r="U346" s="124">
        <f>I346*T346</f>
        <v>0</v>
      </c>
      <c r="V346" s="123">
        <f>((T346*I346)-W346)*4%</f>
        <v>0</v>
      </c>
      <c r="W346" s="124">
        <f>S346*I346*5%</f>
        <v>0</v>
      </c>
    </row>
    <row r="347" spans="1:23">
      <c r="A347" s="118"/>
      <c r="B347" s="118"/>
      <c r="C347" s="119"/>
      <c r="D347" s="118"/>
      <c r="E347" s="118"/>
      <c r="F347" s="118"/>
      <c r="G347" s="119"/>
      <c r="H347" s="119"/>
      <c r="I347" s="119"/>
      <c r="J347" s="119" t="s">
        <v>95</v>
      </c>
      <c r="K347" s="119" t="s">
        <v>110</v>
      </c>
      <c r="L347" s="119" t="s">
        <v>123</v>
      </c>
      <c r="M347" s="51" cm="1">
        <f t="array" ref="M347">IF(L347="",0,_xlfn.SWITCH(L347,"A1",495,"A2",495,"A3",495,"Custom",0,595))</f>
        <v>0</v>
      </c>
      <c r="N347" s="51" cm="1">
        <f t="array" ref="N347">IF(L347="",0,_xlfn.SWITCH(L347,"C1",325,"C2",325,"C3",325,"D1",380,"D2",380,"D3",380,"Custom",0,285))</f>
        <v>0</v>
      </c>
      <c r="O347" s="51">
        <f>IF(L347="",0,_xlfn.SWITCH(L347,"A1",375,"B1",375,"C1",375,"D1",375,"A2",310,"B2",310,"C2",310,"D2",310,"Custom",0,260))</f>
        <v>0</v>
      </c>
      <c r="P347" s="51">
        <f>IFERROR(IF(OR(M347=0,N347=0),0,(M347+N347)*2+11),0)</f>
        <v>0</v>
      </c>
      <c r="Q347" s="51">
        <f>IFERROR(IF(OR(N347=0,O347=0),0,(N347+O347)-16),0)</f>
        <v>0</v>
      </c>
      <c r="R347" s="53">
        <f>P347*Q347/1000000</f>
        <v>0</v>
      </c>
      <c r="S347" s="129">
        <f>IF(L347="Custom", R347*'[1]RFQ_Matalan Carton'!$M$40, IFERROR(VLOOKUP(L347,'[1]Carton Sizes Chart'!$A$4:$E$15,5,FALSE),0))</f>
        <v>0</v>
      </c>
      <c r="T347" s="124">
        <f>S347</f>
        <v>0</v>
      </c>
      <c r="U347" s="124">
        <f>I347*T347</f>
        <v>0</v>
      </c>
      <c r="V347" s="123">
        <f>((T347*I347)-W347)*4%</f>
        <v>0</v>
      </c>
      <c r="W347" s="124">
        <f>S347*I347*5%</f>
        <v>0</v>
      </c>
    </row>
    <row r="348" spans="1:23">
      <c r="A348" s="118"/>
      <c r="B348" s="118"/>
      <c r="C348" s="119"/>
      <c r="D348" s="118"/>
      <c r="E348" s="118"/>
      <c r="F348" s="118"/>
      <c r="G348" s="119"/>
      <c r="H348" s="119"/>
      <c r="I348" s="119"/>
      <c r="J348" s="119" t="s">
        <v>95</v>
      </c>
      <c r="K348" s="119" t="s">
        <v>110</v>
      </c>
      <c r="L348" s="119" t="s">
        <v>123</v>
      </c>
      <c r="M348" s="51" cm="1">
        <f t="array" ref="M348">IF(L348="",0,_xlfn.SWITCH(L348,"A1",495,"A2",495,"A3",495,"Custom",0,595))</f>
        <v>0</v>
      </c>
      <c r="N348" s="51" cm="1">
        <f t="array" ref="N348">IF(L348="",0,_xlfn.SWITCH(L348,"C1",325,"C2",325,"C3",325,"D1",380,"D2",380,"D3",380,"Custom",0,285))</f>
        <v>0</v>
      </c>
      <c r="O348" s="51">
        <f>IF(L348="",0,_xlfn.SWITCH(L348,"A1",375,"B1",375,"C1",375,"D1",375,"A2",310,"B2",310,"C2",310,"D2",310,"Custom",0,260))</f>
        <v>0</v>
      </c>
      <c r="P348" s="51">
        <f>IFERROR(IF(OR(M348=0,N348=0),0,(M348+N348)*2+11),0)</f>
        <v>0</v>
      </c>
      <c r="Q348" s="51">
        <f>IFERROR(IF(OR(N348=0,O348=0),0,(N348+O348)-16),0)</f>
        <v>0</v>
      </c>
      <c r="R348" s="53">
        <f>P348*Q348/1000000</f>
        <v>0</v>
      </c>
      <c r="S348" s="129">
        <f>IF(L348="Custom", R348*'[1]RFQ_Matalan Carton'!$M$40, IFERROR(VLOOKUP(L348,'[1]Carton Sizes Chart'!$A$4:$E$15,5,FALSE),0))</f>
        <v>0</v>
      </c>
      <c r="T348" s="124">
        <f>S348</f>
        <v>0</v>
      </c>
      <c r="U348" s="124">
        <f>I348*T348</f>
        <v>0</v>
      </c>
      <c r="V348" s="123">
        <f>((T348*I348)-W348)*4%</f>
        <v>0</v>
      </c>
      <c r="W348" s="124">
        <f>S348*I348*5%</f>
        <v>0</v>
      </c>
    </row>
    <row r="349" spans="1:23">
      <c r="A349" s="118"/>
      <c r="B349" s="118"/>
      <c r="C349" s="119"/>
      <c r="D349" s="118"/>
      <c r="E349" s="118"/>
      <c r="F349" s="118"/>
      <c r="G349" s="119"/>
      <c r="H349" s="119"/>
      <c r="I349" s="119"/>
      <c r="J349" s="119" t="s">
        <v>95</v>
      </c>
      <c r="K349" s="119" t="s">
        <v>110</v>
      </c>
      <c r="L349" s="119" t="s">
        <v>123</v>
      </c>
      <c r="M349" s="51" cm="1">
        <f t="array" ref="M349">IF(L349="",0,_xlfn.SWITCH(L349,"A1",495,"A2",495,"A3",495,"Custom",0,595))</f>
        <v>0</v>
      </c>
      <c r="N349" s="51" cm="1">
        <f t="array" ref="N349">IF(L349="",0,_xlfn.SWITCH(L349,"C1",325,"C2",325,"C3",325,"D1",380,"D2",380,"D3",380,"Custom",0,285))</f>
        <v>0</v>
      </c>
      <c r="O349" s="51">
        <f>IF(L349="",0,_xlfn.SWITCH(L349,"A1",375,"B1",375,"C1",375,"D1",375,"A2",310,"B2",310,"C2",310,"D2",310,"Custom",0,260))</f>
        <v>0</v>
      </c>
      <c r="P349" s="51">
        <f>IFERROR(IF(OR(M349=0,N349=0),0,(M349+N349)*2+11),0)</f>
        <v>0</v>
      </c>
      <c r="Q349" s="51">
        <f>IFERROR(IF(OR(N349=0,O349=0),0,(N349+O349)-16),0)</f>
        <v>0</v>
      </c>
      <c r="R349" s="53">
        <f>P349*Q349/1000000</f>
        <v>0</v>
      </c>
      <c r="S349" s="129">
        <f>IF(L349="Custom", R349*'[1]RFQ_Matalan Carton'!$M$40, IFERROR(VLOOKUP(L349,'[1]Carton Sizes Chart'!$A$4:$E$15,5,FALSE),0))</f>
        <v>0</v>
      </c>
      <c r="T349" s="124">
        <f>S349</f>
        <v>0</v>
      </c>
      <c r="U349" s="124">
        <f>I349*T349</f>
        <v>0</v>
      </c>
      <c r="V349" s="123">
        <f>((T349*I349)-W349)*4%</f>
        <v>0</v>
      </c>
      <c r="W349" s="124">
        <f>S349*I349*5%</f>
        <v>0</v>
      </c>
    </row>
    <row r="350" spans="1:23">
      <c r="A350" s="118"/>
      <c r="B350" s="118"/>
      <c r="C350" s="119"/>
      <c r="D350" s="118"/>
      <c r="E350" s="118"/>
      <c r="F350" s="118"/>
      <c r="G350" s="119"/>
      <c r="H350" s="119"/>
      <c r="I350" s="119"/>
      <c r="J350" s="119" t="s">
        <v>95</v>
      </c>
      <c r="K350" s="119" t="s">
        <v>110</v>
      </c>
      <c r="L350" s="119" t="s">
        <v>123</v>
      </c>
      <c r="M350" s="51" cm="1">
        <f t="array" ref="M350">IF(L350="",0,_xlfn.SWITCH(L350,"A1",495,"A2",495,"A3",495,"Custom",0,595))</f>
        <v>0</v>
      </c>
      <c r="N350" s="51" cm="1">
        <f t="array" ref="N350">IF(L350="",0,_xlfn.SWITCH(L350,"C1",325,"C2",325,"C3",325,"D1",380,"D2",380,"D3",380,"Custom",0,285))</f>
        <v>0</v>
      </c>
      <c r="O350" s="51">
        <f>IF(L350="",0,_xlfn.SWITCH(L350,"A1",375,"B1",375,"C1",375,"D1",375,"A2",310,"B2",310,"C2",310,"D2",310,"Custom",0,260))</f>
        <v>0</v>
      </c>
      <c r="P350" s="51">
        <f>IFERROR(IF(OR(M350=0,N350=0),0,(M350+N350)*2+11),0)</f>
        <v>0</v>
      </c>
      <c r="Q350" s="51">
        <f>IFERROR(IF(OR(N350=0,O350=0),0,(N350+O350)-16),0)</f>
        <v>0</v>
      </c>
      <c r="R350" s="53">
        <f>P350*Q350/1000000</f>
        <v>0</v>
      </c>
      <c r="S350" s="129">
        <f>IF(L350="Custom", R350*'[1]RFQ_Matalan Carton'!$M$40, IFERROR(VLOOKUP(L350,'[1]Carton Sizes Chart'!$A$4:$E$15,5,FALSE),0))</f>
        <v>0</v>
      </c>
      <c r="T350" s="124">
        <f>S350</f>
        <v>0</v>
      </c>
      <c r="U350" s="124">
        <f>I350*T350</f>
        <v>0</v>
      </c>
      <c r="V350" s="123">
        <f>((T350*I350)-W350)*4%</f>
        <v>0</v>
      </c>
      <c r="W350" s="124">
        <f>S350*I350*5%</f>
        <v>0</v>
      </c>
    </row>
    <row r="351" spans="1:23">
      <c r="A351" s="118"/>
      <c r="B351" s="118"/>
      <c r="C351" s="119"/>
      <c r="D351" s="118"/>
      <c r="E351" s="118"/>
      <c r="F351" s="118"/>
      <c r="G351" s="119"/>
      <c r="H351" s="119"/>
      <c r="I351" s="119"/>
      <c r="J351" s="119" t="s">
        <v>95</v>
      </c>
      <c r="K351" s="119" t="s">
        <v>110</v>
      </c>
      <c r="L351" s="119" t="s">
        <v>123</v>
      </c>
      <c r="M351" s="51" cm="1">
        <f t="array" ref="M351">IF(L351="",0,_xlfn.SWITCH(L351,"A1",495,"A2",495,"A3",495,"Custom",0,595))</f>
        <v>0</v>
      </c>
      <c r="N351" s="51" cm="1">
        <f t="array" ref="N351">IF(L351="",0,_xlfn.SWITCH(L351,"C1",325,"C2",325,"C3",325,"D1",380,"D2",380,"D3",380,"Custom",0,285))</f>
        <v>0</v>
      </c>
      <c r="O351" s="51">
        <f>IF(L351="",0,_xlfn.SWITCH(L351,"A1",375,"B1",375,"C1",375,"D1",375,"A2",310,"B2",310,"C2",310,"D2",310,"Custom",0,260))</f>
        <v>0</v>
      </c>
      <c r="P351" s="51">
        <f>IFERROR(IF(OR(M351=0,N351=0),0,(M351+N351)*2+11),0)</f>
        <v>0</v>
      </c>
      <c r="Q351" s="51">
        <f>IFERROR(IF(OR(N351=0,O351=0),0,(N351+O351)-16),0)</f>
        <v>0</v>
      </c>
      <c r="R351" s="53">
        <f>P351*Q351/1000000</f>
        <v>0</v>
      </c>
      <c r="S351" s="129">
        <f>IF(L351="Custom", R351*'[1]RFQ_Matalan Carton'!$M$40, IFERROR(VLOOKUP(L351,'[1]Carton Sizes Chart'!$A$4:$E$15,5,FALSE),0))</f>
        <v>0</v>
      </c>
      <c r="T351" s="124">
        <f>S351</f>
        <v>0</v>
      </c>
      <c r="U351" s="124">
        <f>I351*T351</f>
        <v>0</v>
      </c>
      <c r="V351" s="123">
        <f>((T351*I351)-W351)*4%</f>
        <v>0</v>
      </c>
      <c r="W351" s="124">
        <f>S351*I351*5%</f>
        <v>0</v>
      </c>
    </row>
    <row r="352" spans="1:23">
      <c r="A352" s="118"/>
      <c r="B352" s="118"/>
      <c r="C352" s="119"/>
      <c r="D352" s="118"/>
      <c r="E352" s="118"/>
      <c r="F352" s="118"/>
      <c r="G352" s="119"/>
      <c r="H352" s="119"/>
      <c r="I352" s="119"/>
      <c r="J352" s="119" t="s">
        <v>95</v>
      </c>
      <c r="K352" s="119" t="s">
        <v>110</v>
      </c>
      <c r="L352" s="119" t="s">
        <v>123</v>
      </c>
      <c r="M352" s="51" cm="1">
        <f t="array" ref="M352">IF(L352="",0,_xlfn.SWITCH(L352,"A1",495,"A2",495,"A3",495,"Custom",0,595))</f>
        <v>0</v>
      </c>
      <c r="N352" s="51" cm="1">
        <f t="array" ref="N352">IF(L352="",0,_xlfn.SWITCH(L352,"C1",325,"C2",325,"C3",325,"D1",380,"D2",380,"D3",380,"Custom",0,285))</f>
        <v>0</v>
      </c>
      <c r="O352" s="51">
        <f>IF(L352="",0,_xlfn.SWITCH(L352,"A1",375,"B1",375,"C1",375,"D1",375,"A2",310,"B2",310,"C2",310,"D2",310,"Custom",0,260))</f>
        <v>0</v>
      </c>
      <c r="P352" s="51">
        <f>IFERROR(IF(OR(M352=0,N352=0),0,(M352+N352)*2+11),0)</f>
        <v>0</v>
      </c>
      <c r="Q352" s="51">
        <f>IFERROR(IF(OR(N352=0,O352=0),0,(N352+O352)-16),0)</f>
        <v>0</v>
      </c>
      <c r="R352" s="53">
        <f>P352*Q352/1000000</f>
        <v>0</v>
      </c>
      <c r="S352" s="129">
        <f>IF(L352="Custom", R352*'[1]RFQ_Matalan Carton'!$M$40, IFERROR(VLOOKUP(L352,'[1]Carton Sizes Chart'!$A$4:$E$15,5,FALSE),0))</f>
        <v>0</v>
      </c>
      <c r="T352" s="124">
        <f>S352</f>
        <v>0</v>
      </c>
      <c r="U352" s="124">
        <f>I352*T352</f>
        <v>0</v>
      </c>
      <c r="V352" s="123">
        <f>((T352*I352)-W352)*4%</f>
        <v>0</v>
      </c>
      <c r="W352" s="124">
        <f>S352*I352*5%</f>
        <v>0</v>
      </c>
    </row>
    <row r="353" spans="1:23">
      <c r="A353" s="118"/>
      <c r="B353" s="118"/>
      <c r="C353" s="119"/>
      <c r="D353" s="118"/>
      <c r="E353" s="118"/>
      <c r="F353" s="118"/>
      <c r="G353" s="119"/>
      <c r="H353" s="119"/>
      <c r="I353" s="119"/>
      <c r="J353" s="119" t="s">
        <v>95</v>
      </c>
      <c r="K353" s="119" t="s">
        <v>110</v>
      </c>
      <c r="L353" s="119" t="s">
        <v>123</v>
      </c>
      <c r="M353" s="51" cm="1">
        <f t="array" ref="M353">IF(L353="",0,_xlfn.SWITCH(L353,"A1",495,"A2",495,"A3",495,"Custom",0,595))</f>
        <v>0</v>
      </c>
      <c r="N353" s="51" cm="1">
        <f t="array" ref="N353">IF(L353="",0,_xlfn.SWITCH(L353,"C1",325,"C2",325,"C3",325,"D1",380,"D2",380,"D3",380,"Custom",0,285))</f>
        <v>0</v>
      </c>
      <c r="O353" s="51">
        <f>IF(L353="",0,_xlfn.SWITCH(L353,"A1",375,"B1",375,"C1",375,"D1",375,"A2",310,"B2",310,"C2",310,"D2",310,"Custom",0,260))</f>
        <v>0</v>
      </c>
      <c r="P353" s="51">
        <f>IFERROR(IF(OR(M353=0,N353=0),0,(M353+N353)*2+11),0)</f>
        <v>0</v>
      </c>
      <c r="Q353" s="51">
        <f>IFERROR(IF(OR(N353=0,O353=0),0,(N353+O353)-16),0)</f>
        <v>0</v>
      </c>
      <c r="R353" s="53">
        <f>P353*Q353/1000000</f>
        <v>0</v>
      </c>
      <c r="S353" s="129">
        <f>IF(L353="Custom", R353*'[1]RFQ_Matalan Carton'!$M$40, IFERROR(VLOOKUP(L353,'[1]Carton Sizes Chart'!$A$4:$E$15,5,FALSE),0))</f>
        <v>0</v>
      </c>
      <c r="T353" s="124">
        <f>S353</f>
        <v>0</v>
      </c>
      <c r="U353" s="124">
        <f>I353*T353</f>
        <v>0</v>
      </c>
      <c r="V353" s="123">
        <f>((T353*I353)-W353)*4%</f>
        <v>0</v>
      </c>
      <c r="W353" s="124">
        <f>S353*I353*5%</f>
        <v>0</v>
      </c>
    </row>
    <row r="354" spans="1:23">
      <c r="A354" s="118"/>
      <c r="B354" s="118"/>
      <c r="C354" s="119"/>
      <c r="D354" s="118"/>
      <c r="E354" s="118"/>
      <c r="F354" s="118"/>
      <c r="G354" s="119"/>
      <c r="H354" s="121"/>
      <c r="I354" s="121"/>
      <c r="J354" s="119" t="s">
        <v>95</v>
      </c>
      <c r="K354" s="119" t="s">
        <v>110</v>
      </c>
      <c r="L354" s="119" t="s">
        <v>123</v>
      </c>
      <c r="M354" s="51" cm="1">
        <f t="array" ref="M354">IF(L354="",0,_xlfn.SWITCH(L354,"A1",495,"A2",495,"A3",495,"Custom",0,595))</f>
        <v>0</v>
      </c>
      <c r="N354" s="51" cm="1">
        <f t="array" ref="N354">IF(L354="",0,_xlfn.SWITCH(L354,"C1",325,"C2",325,"C3",325,"D1",380,"D2",380,"D3",380,"Custom",0,285))</f>
        <v>0</v>
      </c>
      <c r="O354" s="51">
        <f>IF(L354="",0,_xlfn.SWITCH(L354,"A1",375,"B1",375,"C1",375,"D1",375,"A2",310,"B2",310,"C2",310,"D2",310,"Custom",0,260))</f>
        <v>0</v>
      </c>
      <c r="P354" s="51">
        <f>IFERROR(IF(OR(M354=0,N354=0),0,(M354+N354)*2+11),0)</f>
        <v>0</v>
      </c>
      <c r="Q354" s="51">
        <f>IFERROR(IF(OR(N354=0,O354=0),0,(N354+O354)-16),0)</f>
        <v>0</v>
      </c>
      <c r="R354" s="53">
        <f>P354*Q354/1000000</f>
        <v>0</v>
      </c>
      <c r="S354" s="123">
        <f>IFERROR(VLOOKUP(L354,'[3]Carton Sizes Chart'!$A$4:$E$15,5,FALSE),0)</f>
        <v>0</v>
      </c>
      <c r="T354" s="124">
        <f>S354</f>
        <v>0</v>
      </c>
      <c r="U354" s="124">
        <f>I354*T354</f>
        <v>0</v>
      </c>
      <c r="V354" s="123">
        <f>((T354*I354)-W354)*4%</f>
        <v>0</v>
      </c>
      <c r="W354" s="124">
        <f>S354*I354*5%</f>
        <v>0</v>
      </c>
    </row>
    <row r="355" spans="1:23">
      <c r="A355" s="118"/>
      <c r="B355" s="118"/>
      <c r="C355" s="119"/>
      <c r="D355" s="118"/>
      <c r="E355" s="118"/>
      <c r="F355" s="118"/>
      <c r="G355" s="119"/>
      <c r="H355" s="119"/>
      <c r="I355" s="119"/>
      <c r="J355" s="119" t="s">
        <v>95</v>
      </c>
      <c r="K355" s="119" t="s">
        <v>110</v>
      </c>
      <c r="L355" s="119" t="s">
        <v>123</v>
      </c>
      <c r="M355" s="51" cm="1">
        <f t="array" ref="M355">IF(L355="",0,_xlfn.SWITCH(L355,"A1",495,"A2",495,"A3",495,"Custom",0,595))</f>
        <v>0</v>
      </c>
      <c r="N355" s="51" cm="1">
        <f t="array" ref="N355">IF(L355="",0,_xlfn.SWITCH(L355,"C1",325,"C2",325,"C3",325,"D1",380,"D2",380,"D3",380,"Custom",0,285))</f>
        <v>0</v>
      </c>
      <c r="O355" s="51">
        <f>IF(L355="",0,_xlfn.SWITCH(L355,"A1",375,"B1",375,"C1",375,"D1",375,"A2",310,"B2",310,"C2",310,"D2",310,"Custom",0,260))</f>
        <v>0</v>
      </c>
      <c r="P355" s="51">
        <f>IFERROR(IF(OR(M355=0,N355=0),0,(M355+N355)*2+11),0)</f>
        <v>0</v>
      </c>
      <c r="Q355" s="51">
        <f>IFERROR(IF(OR(N355=0,O355=0),0,(N355+O355)-16),0)</f>
        <v>0</v>
      </c>
      <c r="R355" s="53">
        <f>P355*Q355/1000000</f>
        <v>0</v>
      </c>
      <c r="S355" s="123">
        <f>IFERROR(VLOOKUP(L355,'[3]Carton Sizes Chart'!$A$4:$E$15,5,FALSE),0)</f>
        <v>0</v>
      </c>
      <c r="T355" s="124">
        <f>S355</f>
        <v>0</v>
      </c>
      <c r="U355" s="124">
        <f>I355*T355</f>
        <v>0</v>
      </c>
      <c r="V355" s="123">
        <f>((T355*I355)-W355)*4%</f>
        <v>0</v>
      </c>
      <c r="W355" s="124">
        <f>S355*I355*5%</f>
        <v>0</v>
      </c>
    </row>
    <row r="356" spans="1:23">
      <c r="A356" s="118"/>
      <c r="B356" s="118"/>
      <c r="C356" s="119"/>
      <c r="D356" s="118"/>
      <c r="E356" s="118"/>
      <c r="F356" s="118"/>
      <c r="G356" s="119"/>
      <c r="H356" s="119"/>
      <c r="I356" s="119"/>
      <c r="J356" s="119" t="s">
        <v>95</v>
      </c>
      <c r="K356" s="119" t="s">
        <v>110</v>
      </c>
      <c r="L356" s="119" t="s">
        <v>123</v>
      </c>
      <c r="M356" s="51" cm="1">
        <f t="array" ref="M356">IF(L356="",0,_xlfn.SWITCH(L356,"A1",495,"A2",495,"A3",495,"Custom",0,595))</f>
        <v>0</v>
      </c>
      <c r="N356" s="51" cm="1">
        <f t="array" ref="N356">IF(L356="",0,_xlfn.SWITCH(L356,"C1",325,"C2",325,"C3",325,"D1",380,"D2",380,"D3",380,"Custom",0,285))</f>
        <v>0</v>
      </c>
      <c r="O356" s="51">
        <f>IF(L356="",0,_xlfn.SWITCH(L356,"A1",375,"B1",375,"C1",375,"D1",375,"A2",310,"B2",310,"C2",310,"D2",310,"Custom",0,260))</f>
        <v>0</v>
      </c>
      <c r="P356" s="51">
        <f>IFERROR(IF(OR(M356=0,N356=0),0,(M356+N356)*2+11),0)</f>
        <v>0</v>
      </c>
      <c r="Q356" s="51">
        <f>IFERROR(IF(OR(N356=0,O356=0),0,(N356+O356)-16),0)</f>
        <v>0</v>
      </c>
      <c r="R356" s="53">
        <f>P356*Q356/1000000</f>
        <v>0</v>
      </c>
      <c r="S356" s="123">
        <f>IFERROR(VLOOKUP(L356,'[3]Carton Sizes Chart'!$A$4:$E$15,5,FALSE),0)</f>
        <v>0</v>
      </c>
      <c r="T356" s="124">
        <f>S356</f>
        <v>0</v>
      </c>
      <c r="U356" s="124">
        <f>I356*T356</f>
        <v>0</v>
      </c>
      <c r="V356" s="123">
        <f>((T356*I356)-W356)*4%</f>
        <v>0</v>
      </c>
      <c r="W356" s="124">
        <f>S356*I356*5%</f>
        <v>0</v>
      </c>
    </row>
    <row r="357" spans="1:23">
      <c r="A357" s="118"/>
      <c r="B357" s="118"/>
      <c r="C357" s="119"/>
      <c r="D357" s="118"/>
      <c r="E357" s="118"/>
      <c r="F357" s="118"/>
      <c r="G357" s="119"/>
      <c r="H357" s="119"/>
      <c r="I357" s="119"/>
      <c r="J357" s="119" t="s">
        <v>95</v>
      </c>
      <c r="K357" s="119" t="s">
        <v>110</v>
      </c>
      <c r="L357" s="119" t="s">
        <v>123</v>
      </c>
      <c r="M357" s="51" cm="1">
        <f t="array" ref="M357">IF(L357="",0,_xlfn.SWITCH(L357,"A1",495,"A2",495,"A3",495,"Custom",0,595))</f>
        <v>0</v>
      </c>
      <c r="N357" s="51" cm="1">
        <f t="array" ref="N357">IF(L357="",0,_xlfn.SWITCH(L357,"C1",325,"C2",325,"C3",325,"D1",380,"D2",380,"D3",380,"Custom",0,285))</f>
        <v>0</v>
      </c>
      <c r="O357" s="51">
        <f>IF(L357="",0,_xlfn.SWITCH(L357,"A1",375,"B1",375,"C1",375,"D1",375,"A2",310,"B2",310,"C2",310,"D2",310,"Custom",0,260))</f>
        <v>0</v>
      </c>
      <c r="P357" s="51">
        <f>IFERROR(IF(OR(M357=0,N357=0),0,(M357+N357)*2+11),0)</f>
        <v>0</v>
      </c>
      <c r="Q357" s="51">
        <f>IFERROR(IF(OR(N357=0,O357=0),0,(N357+O357)-16),0)</f>
        <v>0</v>
      </c>
      <c r="R357" s="53">
        <f>P357*Q357/1000000</f>
        <v>0</v>
      </c>
      <c r="S357" s="123">
        <f>IFERROR(VLOOKUP(L357,'[3]Carton Sizes Chart'!$A$4:$E$15,5,FALSE),0)</f>
        <v>0</v>
      </c>
      <c r="T357" s="124">
        <f>S357</f>
        <v>0</v>
      </c>
      <c r="U357" s="124">
        <f>I357*T357</f>
        <v>0</v>
      </c>
      <c r="V357" s="123">
        <f>((T357*I357)-W357)*4%</f>
        <v>0</v>
      </c>
      <c r="W357" s="124">
        <f>S357*I357*5%</f>
        <v>0</v>
      </c>
    </row>
    <row r="358" spans="1:23">
      <c r="A358" s="118"/>
      <c r="B358" s="118"/>
      <c r="C358" s="119"/>
      <c r="D358" s="118"/>
      <c r="E358" s="118"/>
      <c r="F358" s="118"/>
      <c r="G358" s="119"/>
      <c r="H358" s="119"/>
      <c r="I358" s="119"/>
      <c r="J358" s="119" t="s">
        <v>95</v>
      </c>
      <c r="K358" s="119" t="s">
        <v>110</v>
      </c>
      <c r="L358" s="119" t="s">
        <v>123</v>
      </c>
      <c r="M358" s="51" cm="1">
        <f t="array" ref="M358">IF(L358="",0,_xlfn.SWITCH(L358,"A1",495,"A2",495,"A3",495,"Custom",0,595))</f>
        <v>0</v>
      </c>
      <c r="N358" s="51" cm="1">
        <f t="array" ref="N358">IF(L358="",0,_xlfn.SWITCH(L358,"C1",325,"C2",325,"C3",325,"D1",380,"D2",380,"D3",380,"Custom",0,285))</f>
        <v>0</v>
      </c>
      <c r="O358" s="51">
        <f>IF(L358="",0,_xlfn.SWITCH(L358,"A1",375,"B1",375,"C1",375,"D1",375,"A2",310,"B2",310,"C2",310,"D2",310,"Custom",0,260))</f>
        <v>0</v>
      </c>
      <c r="P358" s="51">
        <f>IFERROR(IF(OR(M358=0,N358=0),0,(M358+N358)*2+11),0)</f>
        <v>0</v>
      </c>
      <c r="Q358" s="51">
        <f>IFERROR(IF(OR(N358=0,O358=0),0,(N358+O358)-16),0)</f>
        <v>0</v>
      </c>
      <c r="R358" s="53">
        <f>P358*Q358/1000000</f>
        <v>0</v>
      </c>
      <c r="S358" s="123">
        <f>IFERROR(VLOOKUP(L358,'[3]Carton Sizes Chart'!$A$4:$E$15,5,FALSE),0)</f>
        <v>0</v>
      </c>
      <c r="T358" s="124">
        <f>S358</f>
        <v>0</v>
      </c>
      <c r="U358" s="124">
        <f>I358*T358</f>
        <v>0</v>
      </c>
      <c r="V358" s="123">
        <f>((T358*I358)-W358)*4%</f>
        <v>0</v>
      </c>
      <c r="W358" s="124">
        <f>S358*I358*5%</f>
        <v>0</v>
      </c>
    </row>
    <row r="359" spans="1:23">
      <c r="A359" s="118"/>
      <c r="B359" s="118"/>
      <c r="C359" s="119"/>
      <c r="D359" s="118"/>
      <c r="E359" s="118"/>
      <c r="F359" s="118"/>
      <c r="G359" s="119"/>
      <c r="H359" s="119"/>
      <c r="I359" s="119"/>
      <c r="J359" s="119" t="s">
        <v>95</v>
      </c>
      <c r="K359" s="119" t="s">
        <v>110</v>
      </c>
      <c r="L359" s="119" t="s">
        <v>123</v>
      </c>
      <c r="M359" s="51" cm="1">
        <f t="array" ref="M359">IF(L359="",0,_xlfn.SWITCH(L359,"A1",495,"A2",495,"A3",495,"Custom",0,595))</f>
        <v>0</v>
      </c>
      <c r="N359" s="51" cm="1">
        <f t="array" ref="N359">IF(L359="",0,_xlfn.SWITCH(L359,"C1",325,"C2",325,"C3",325,"D1",380,"D2",380,"D3",380,"Custom",0,285))</f>
        <v>0</v>
      </c>
      <c r="O359" s="51">
        <f>IF(L359="",0,_xlfn.SWITCH(L359,"A1",375,"B1",375,"C1",375,"D1",375,"A2",310,"B2",310,"C2",310,"D2",310,"Custom",0,260))</f>
        <v>0</v>
      </c>
      <c r="P359" s="51">
        <f>IFERROR(IF(OR(M359=0,N359=0),0,(M359+N359)*2+11),0)</f>
        <v>0</v>
      </c>
      <c r="Q359" s="51">
        <f>IFERROR(IF(OR(N359=0,O359=0),0,(N359+O359)-16),0)</f>
        <v>0</v>
      </c>
      <c r="R359" s="53">
        <f>P359*Q359/1000000</f>
        <v>0</v>
      </c>
      <c r="S359" s="123">
        <f>IFERROR(VLOOKUP(L359,'[3]Carton Sizes Chart'!$A$4:$E$15,5,FALSE),0)</f>
        <v>0</v>
      </c>
      <c r="T359" s="124">
        <f>S359</f>
        <v>0</v>
      </c>
      <c r="U359" s="124">
        <f>I359*T359</f>
        <v>0</v>
      </c>
      <c r="V359" s="123">
        <f>((T359*I359)-W359)*4%</f>
        <v>0</v>
      </c>
      <c r="W359" s="124">
        <f>S359*I359*5%</f>
        <v>0</v>
      </c>
    </row>
    <row r="360" spans="1:23">
      <c r="A360" s="118"/>
      <c r="B360" s="118"/>
      <c r="C360" s="119"/>
      <c r="D360" s="118"/>
      <c r="E360" s="118"/>
      <c r="F360" s="118"/>
      <c r="G360" s="119"/>
      <c r="H360" s="119"/>
      <c r="I360" s="119"/>
      <c r="J360" s="119" t="s">
        <v>95</v>
      </c>
      <c r="K360" s="119" t="s">
        <v>110</v>
      </c>
      <c r="L360" s="119" t="s">
        <v>123</v>
      </c>
      <c r="M360" s="51" cm="1">
        <f t="array" ref="M360">IF(L360="",0,_xlfn.SWITCH(L360,"A1",495,"A2",495,"A3",495,"Custom",0,595))</f>
        <v>0</v>
      </c>
      <c r="N360" s="51" cm="1">
        <f t="array" ref="N360">IF(L360="",0,_xlfn.SWITCH(L360,"C1",325,"C2",325,"C3",325,"D1",380,"D2",380,"D3",380,"Custom",0,285))</f>
        <v>0</v>
      </c>
      <c r="O360" s="51">
        <f>IF(L360="",0,_xlfn.SWITCH(L360,"A1",375,"B1",375,"C1",375,"D1",375,"A2",310,"B2",310,"C2",310,"D2",310,"Custom",0,260))</f>
        <v>0</v>
      </c>
      <c r="P360" s="51">
        <f>IFERROR(IF(OR(M360=0,N360=0),0,(M360+N360)*2+11),0)</f>
        <v>0</v>
      </c>
      <c r="Q360" s="51">
        <f>IFERROR(IF(OR(N360=0,O360=0),0,(N360+O360)-16),0)</f>
        <v>0</v>
      </c>
      <c r="R360" s="53">
        <f>P360*Q360/1000000</f>
        <v>0</v>
      </c>
      <c r="S360" s="129">
        <f>IF(L360="Custom", R360*'[1]RFQ_Matalan Carton'!$M$40, IFERROR(VLOOKUP(L360,'[1]Carton Sizes Chart'!$A$4:$E$15,5,FALSE),0))</f>
        <v>0</v>
      </c>
      <c r="T360" s="124">
        <f>S360</f>
        <v>0</v>
      </c>
      <c r="U360" s="124">
        <f>I360*T360</f>
        <v>0</v>
      </c>
      <c r="V360" s="123">
        <f>((T360*I360)-W360)*4%</f>
        <v>0</v>
      </c>
      <c r="W360" s="124">
        <f>S360*I360*5%</f>
        <v>0</v>
      </c>
    </row>
    <row r="361" spans="1:23">
      <c r="A361" s="118"/>
      <c r="B361" s="118"/>
      <c r="C361" s="119"/>
      <c r="D361" s="118"/>
      <c r="E361" s="118"/>
      <c r="F361" s="118"/>
      <c r="G361" s="119"/>
      <c r="H361" s="119"/>
      <c r="I361" s="119"/>
      <c r="J361" s="119" t="s">
        <v>95</v>
      </c>
      <c r="K361" s="119" t="s">
        <v>110</v>
      </c>
      <c r="L361" s="119" t="s">
        <v>123</v>
      </c>
      <c r="M361" s="51" cm="1">
        <f t="array" ref="M361">IF(L361="",0,_xlfn.SWITCH(L361,"A1",495,"A2",495,"A3",495,"Custom",0,595))</f>
        <v>0</v>
      </c>
      <c r="N361" s="51" cm="1">
        <f t="array" ref="N361">IF(L361="",0,_xlfn.SWITCH(L361,"C1",325,"C2",325,"C3",325,"D1",380,"D2",380,"D3",380,"Custom",0,285))</f>
        <v>0</v>
      </c>
      <c r="O361" s="51">
        <f>IF(L361="",0,_xlfn.SWITCH(L361,"A1",375,"B1",375,"C1",375,"D1",375,"A2",310,"B2",310,"C2",310,"D2",310,"Custom",0,260))</f>
        <v>0</v>
      </c>
      <c r="P361" s="51">
        <f>IFERROR(IF(OR(M361=0,N361=0),0,(M361+N361)*2+11),0)</f>
        <v>0</v>
      </c>
      <c r="Q361" s="51">
        <f>IFERROR(IF(OR(N361=0,O361=0),0,(N361+O361)-16),0)</f>
        <v>0</v>
      </c>
      <c r="R361" s="53">
        <f>P361*Q361/1000000</f>
        <v>0</v>
      </c>
      <c r="S361" s="123">
        <f>IFERROR(VLOOKUP(L361,'[3]Carton Sizes Chart'!$A$4:$E$15,5,FALSE),0)</f>
        <v>0</v>
      </c>
      <c r="T361" s="124">
        <f>S361</f>
        <v>0</v>
      </c>
      <c r="U361" s="124">
        <f>I361*T361</f>
        <v>0</v>
      </c>
      <c r="V361" s="123">
        <f>((T361*I361)-W361)*4%</f>
        <v>0</v>
      </c>
      <c r="W361" s="124">
        <f>S361*I361*5%</f>
        <v>0</v>
      </c>
    </row>
    <row r="362" spans="1:23">
      <c r="A362" s="118"/>
      <c r="B362" s="118"/>
      <c r="C362" s="119"/>
      <c r="D362" s="118"/>
      <c r="E362" s="118"/>
      <c r="F362" s="118"/>
      <c r="G362" s="119"/>
      <c r="H362" s="119"/>
      <c r="I362" s="119"/>
      <c r="J362" s="119" t="s">
        <v>95</v>
      </c>
      <c r="K362" s="119" t="s">
        <v>110</v>
      </c>
      <c r="L362" s="119" t="s">
        <v>123</v>
      </c>
      <c r="M362" s="51" cm="1">
        <f t="array" ref="M362">IF(L362="",0,_xlfn.SWITCH(L362,"A1",495,"A2",495,"A3",495,"Custom",0,595))</f>
        <v>0</v>
      </c>
      <c r="N362" s="51" cm="1">
        <f t="array" ref="N362">IF(L362="",0,_xlfn.SWITCH(L362,"C1",325,"C2",325,"C3",325,"D1",380,"D2",380,"D3",380,"Custom",0,285))</f>
        <v>0</v>
      </c>
      <c r="O362" s="51">
        <f>IF(L362="",0,_xlfn.SWITCH(L362,"A1",375,"B1",375,"C1",375,"D1",375,"A2",310,"B2",310,"C2",310,"D2",310,"Custom",0,260))</f>
        <v>0</v>
      </c>
      <c r="P362" s="51">
        <f>IFERROR(IF(OR(M362=0,N362=0),0,(M362+N362)*2+11),0)</f>
        <v>0</v>
      </c>
      <c r="Q362" s="51">
        <f>IFERROR(IF(OR(N362=0,O362=0),0,(N362+O362)-16),0)</f>
        <v>0</v>
      </c>
      <c r="R362" s="53">
        <f>P362*Q362/1000000</f>
        <v>0</v>
      </c>
      <c r="S362" s="123">
        <f>IFERROR(VLOOKUP(L362,'[3]Carton Sizes Chart'!$A$4:$E$15,5,FALSE),0)</f>
        <v>0</v>
      </c>
      <c r="T362" s="124">
        <f>S362</f>
        <v>0</v>
      </c>
      <c r="U362" s="124">
        <f>I362*T362</f>
        <v>0</v>
      </c>
      <c r="V362" s="123">
        <f>((T362*I362)-W362)*4%</f>
        <v>0</v>
      </c>
      <c r="W362" s="124">
        <f>S362*I362*5%</f>
        <v>0</v>
      </c>
    </row>
    <row r="363" spans="1:23">
      <c r="A363" s="118"/>
      <c r="B363" s="118"/>
      <c r="C363" s="119"/>
      <c r="D363" s="118"/>
      <c r="E363" s="118"/>
      <c r="F363" s="118"/>
      <c r="G363" s="119"/>
      <c r="H363" s="119"/>
      <c r="I363" s="119"/>
      <c r="J363" s="119" t="s">
        <v>95</v>
      </c>
      <c r="K363" s="119" t="s">
        <v>110</v>
      </c>
      <c r="L363" s="119" t="s">
        <v>123</v>
      </c>
      <c r="M363" s="51" cm="1">
        <f t="array" ref="M363">IF(L363="",0,_xlfn.SWITCH(L363,"A1",495,"A2",495,"A3",495,"Custom",0,595))</f>
        <v>0</v>
      </c>
      <c r="N363" s="51" cm="1">
        <f t="array" ref="N363">IF(L363="",0,_xlfn.SWITCH(L363,"C1",325,"C2",325,"C3",325,"D1",380,"D2",380,"D3",380,"Custom",0,285))</f>
        <v>0</v>
      </c>
      <c r="O363" s="51">
        <f>IF(L363="",0,_xlfn.SWITCH(L363,"A1",375,"B1",375,"C1",375,"D1",375,"A2",310,"B2",310,"C2",310,"D2",310,"Custom",0,260))</f>
        <v>0</v>
      </c>
      <c r="P363" s="51">
        <f>IFERROR(IF(OR(M363=0,N363=0),0,(M363+N363)*2+11),0)</f>
        <v>0</v>
      </c>
      <c r="Q363" s="51">
        <f>IFERROR(IF(OR(N363=0,O363=0),0,(N363+O363)-16),0)</f>
        <v>0</v>
      </c>
      <c r="R363" s="53">
        <f>P363*Q363/1000000</f>
        <v>0</v>
      </c>
      <c r="S363" s="123">
        <f>IFERROR(VLOOKUP(L363,'[3]Carton Sizes Chart'!$A$4:$E$15,5,FALSE),0)</f>
        <v>0</v>
      </c>
      <c r="T363" s="124">
        <f>S363</f>
        <v>0</v>
      </c>
      <c r="U363" s="124">
        <f>I363*T363</f>
        <v>0</v>
      </c>
      <c r="V363" s="123">
        <f>((T363*I363)-W363)*4%</f>
        <v>0</v>
      </c>
      <c r="W363" s="124">
        <f>S363*I363*5%</f>
        <v>0</v>
      </c>
    </row>
    <row r="364" spans="1:23">
      <c r="A364" s="118"/>
      <c r="B364" s="118"/>
      <c r="C364" s="119"/>
      <c r="D364" s="118"/>
      <c r="E364" s="118"/>
      <c r="F364" s="118"/>
      <c r="G364" s="119"/>
      <c r="H364" s="119"/>
      <c r="I364" s="119"/>
      <c r="J364" s="119" t="s">
        <v>95</v>
      </c>
      <c r="K364" s="119" t="s">
        <v>110</v>
      </c>
      <c r="L364" s="119" t="s">
        <v>123</v>
      </c>
      <c r="M364" s="51" cm="1">
        <f t="array" ref="M364">IF(L364="",0,_xlfn.SWITCH(L364,"A1",495,"A2",495,"A3",495,"Custom",0,595))</f>
        <v>0</v>
      </c>
      <c r="N364" s="51" cm="1">
        <f t="array" ref="N364">IF(L364="",0,_xlfn.SWITCH(L364,"C1",325,"C2",325,"C3",325,"D1",380,"D2",380,"D3",380,"Custom",0,285))</f>
        <v>0</v>
      </c>
      <c r="O364" s="51">
        <f>IF(L364="",0,_xlfn.SWITCH(L364,"A1",375,"B1",375,"C1",375,"D1",375,"A2",310,"B2",310,"C2",310,"D2",310,"Custom",0,260))</f>
        <v>0</v>
      </c>
      <c r="P364" s="51">
        <f>IFERROR(IF(OR(M364=0,N364=0),0,(M364+N364)*2+11),0)</f>
        <v>0</v>
      </c>
      <c r="Q364" s="51">
        <f>IFERROR(IF(OR(N364=0,O364=0),0,(N364+O364)-16),0)</f>
        <v>0</v>
      </c>
      <c r="R364" s="53">
        <f>P364*Q364/1000000</f>
        <v>0</v>
      </c>
      <c r="S364" s="129">
        <f>IF(L364="Custom", R364*'[1]RFQ_Matalan Carton'!$M$40, IFERROR(VLOOKUP(L364,'[1]Carton Sizes Chart'!$A$4:$E$15,5,FALSE),0))</f>
        <v>0</v>
      </c>
      <c r="T364" s="124">
        <f>S364</f>
        <v>0</v>
      </c>
      <c r="U364" s="124">
        <f>I364*T364</f>
        <v>0</v>
      </c>
      <c r="V364" s="123">
        <f>((T364*I364)-W364)*4%</f>
        <v>0</v>
      </c>
      <c r="W364" s="124">
        <f>S364*I364*5%</f>
        <v>0</v>
      </c>
    </row>
    <row r="365" spans="1:23">
      <c r="A365" s="118"/>
      <c r="B365" s="118"/>
      <c r="C365" s="119"/>
      <c r="D365" s="118"/>
      <c r="E365" s="118"/>
      <c r="F365" s="118"/>
      <c r="G365" s="119"/>
      <c r="H365" s="119"/>
      <c r="I365" s="119"/>
      <c r="J365" s="119" t="s">
        <v>95</v>
      </c>
      <c r="K365" s="119" t="s">
        <v>110</v>
      </c>
      <c r="L365" s="119" t="s">
        <v>123</v>
      </c>
      <c r="M365" s="51" cm="1">
        <f t="array" ref="M365">IF(L365="",0,_xlfn.SWITCH(L365,"A1",495,"A2",495,"A3",495,"Custom",0,595))</f>
        <v>0</v>
      </c>
      <c r="N365" s="51" cm="1">
        <f t="array" ref="N365">IF(L365="",0,_xlfn.SWITCH(L365,"C1",325,"C2",325,"C3",325,"D1",380,"D2",380,"D3",380,"Custom",0,285))</f>
        <v>0</v>
      </c>
      <c r="O365" s="51">
        <f>IF(L365="",0,_xlfn.SWITCH(L365,"A1",375,"B1",375,"C1",375,"D1",375,"A2",310,"B2",310,"C2",310,"D2",310,"Custom",0,260))</f>
        <v>0</v>
      </c>
      <c r="P365" s="51">
        <f>IFERROR(IF(OR(M365=0,N365=0),0,(M365+N365)*2+11),0)</f>
        <v>0</v>
      </c>
      <c r="Q365" s="51">
        <f>IFERROR(IF(OR(N365=0,O365=0),0,(N365+O365)-16),0)</f>
        <v>0</v>
      </c>
      <c r="R365" s="53">
        <f>P365*Q365/1000000</f>
        <v>0</v>
      </c>
      <c r="S365" s="129">
        <f>IF(L365="Custom", R365*'[1]RFQ_Matalan Carton'!$M$40, IFERROR(VLOOKUP(L365,'[1]Carton Sizes Chart'!$A$4:$E$15,5,FALSE),0))</f>
        <v>0</v>
      </c>
      <c r="T365" s="124">
        <f>S365</f>
        <v>0</v>
      </c>
      <c r="U365" s="124">
        <f>I365*T365</f>
        <v>0</v>
      </c>
      <c r="V365" s="123">
        <f>((T365*I365)-W365)*4%</f>
        <v>0</v>
      </c>
      <c r="W365" s="124">
        <f>S365*I365*5%</f>
        <v>0</v>
      </c>
    </row>
    <row r="366" spans="1:23">
      <c r="A366" s="118"/>
      <c r="B366" s="118"/>
      <c r="C366" s="119"/>
      <c r="D366" s="118"/>
      <c r="E366" s="118"/>
      <c r="F366" s="118"/>
      <c r="G366" s="119"/>
      <c r="H366" s="119"/>
      <c r="I366" s="119"/>
      <c r="J366" s="119" t="s">
        <v>95</v>
      </c>
      <c r="K366" s="119" t="s">
        <v>110</v>
      </c>
      <c r="L366" s="119" t="s">
        <v>123</v>
      </c>
      <c r="M366" s="51" cm="1">
        <f t="array" ref="M366">IF(L366="",0,_xlfn.SWITCH(L366,"A1",495,"A2",495,"A3",495,"Custom",0,595))</f>
        <v>0</v>
      </c>
      <c r="N366" s="51" cm="1">
        <f t="array" ref="N366">IF(L366="",0,_xlfn.SWITCH(L366,"C1",325,"C2",325,"C3",325,"D1",380,"D2",380,"D3",380,"Custom",0,285))</f>
        <v>0</v>
      </c>
      <c r="O366" s="51">
        <f>IF(L366="",0,_xlfn.SWITCH(L366,"A1",375,"B1",375,"C1",375,"D1",375,"A2",310,"B2",310,"C2",310,"D2",310,"Custom",0,260))</f>
        <v>0</v>
      </c>
      <c r="P366" s="51">
        <f>IFERROR(IF(OR(M366=0,N366=0),0,(M366+N366)*2+11),0)</f>
        <v>0</v>
      </c>
      <c r="Q366" s="51">
        <f>IFERROR(IF(OR(N366=0,O366=0),0,(N366+O366)-16),0)</f>
        <v>0</v>
      </c>
      <c r="R366" s="53">
        <f>P366*Q366/1000000</f>
        <v>0</v>
      </c>
      <c r="S366" s="123">
        <f>IFERROR(VLOOKUP(L366,'[3]Carton Sizes Chart'!$A$4:$E$15,5,FALSE),0)</f>
        <v>0</v>
      </c>
      <c r="T366" s="124">
        <f>S366</f>
        <v>0</v>
      </c>
      <c r="U366" s="124">
        <f>I366*T366</f>
        <v>0</v>
      </c>
      <c r="V366" s="123">
        <f>((T366*I366)-W366)*4%</f>
        <v>0</v>
      </c>
      <c r="W366" s="124">
        <f>S366*I366*5%</f>
        <v>0</v>
      </c>
    </row>
    <row r="367" spans="1:23">
      <c r="A367" s="118"/>
      <c r="B367" s="118"/>
      <c r="C367" s="119"/>
      <c r="D367" s="118"/>
      <c r="E367" s="118"/>
      <c r="F367" s="118"/>
      <c r="G367" s="119"/>
      <c r="H367" s="119"/>
      <c r="I367" s="119"/>
      <c r="J367" s="119" t="s">
        <v>95</v>
      </c>
      <c r="K367" s="119" t="s">
        <v>110</v>
      </c>
      <c r="L367" s="119" t="s">
        <v>123</v>
      </c>
      <c r="M367" s="51" cm="1">
        <f t="array" ref="M367">IF(L367="",0,_xlfn.SWITCH(L367,"A1",495,"A2",495,"A3",495,"Custom",0,595))</f>
        <v>0</v>
      </c>
      <c r="N367" s="51" cm="1">
        <f t="array" ref="N367">IF(L367="",0,_xlfn.SWITCH(L367,"C1",325,"C2",325,"C3",325,"D1",380,"D2",380,"D3",380,"Custom",0,285))</f>
        <v>0</v>
      </c>
      <c r="O367" s="51">
        <f>IF(L367="",0,_xlfn.SWITCH(L367,"A1",375,"B1",375,"C1",375,"D1",375,"A2",310,"B2",310,"C2",310,"D2",310,"Custom",0,260))</f>
        <v>0</v>
      </c>
      <c r="P367" s="51">
        <f>IFERROR(IF(OR(M367=0,N367=0),0,(M367+N367)*2+11),0)</f>
        <v>0</v>
      </c>
      <c r="Q367" s="51">
        <f>IFERROR(IF(OR(N367=0,O367=0),0,(N367+O367)-16),0)</f>
        <v>0</v>
      </c>
      <c r="R367" s="53">
        <f>P367*Q367/1000000</f>
        <v>0</v>
      </c>
      <c r="S367" s="123">
        <f>IFERROR(VLOOKUP(L367,'[3]Carton Sizes Chart'!$A$4:$E$15,5,FALSE),0)</f>
        <v>0</v>
      </c>
      <c r="T367" s="124">
        <f>S367</f>
        <v>0</v>
      </c>
      <c r="U367" s="124">
        <f>I367*T367</f>
        <v>0</v>
      </c>
      <c r="V367" s="123">
        <f>((T367*I367)-W367)*4%</f>
        <v>0</v>
      </c>
      <c r="W367" s="124">
        <f>S367*I367*5%</f>
        <v>0</v>
      </c>
    </row>
    <row r="368" spans="1:23">
      <c r="A368" s="118"/>
      <c r="B368" s="118"/>
      <c r="C368" s="119"/>
      <c r="D368" s="118"/>
      <c r="E368" s="118"/>
      <c r="F368" s="118"/>
      <c r="G368" s="119"/>
      <c r="H368" s="119"/>
      <c r="I368" s="119"/>
      <c r="J368" s="119" t="s">
        <v>95</v>
      </c>
      <c r="K368" s="119" t="s">
        <v>110</v>
      </c>
      <c r="L368" s="119" t="s">
        <v>123</v>
      </c>
      <c r="M368" s="51" cm="1">
        <f t="array" ref="M368">IF(L368="",0,_xlfn.SWITCH(L368,"A1",495,"A2",495,"A3",495,"Custom",0,595))</f>
        <v>0</v>
      </c>
      <c r="N368" s="51" cm="1">
        <f t="array" ref="N368">IF(L368="",0,_xlfn.SWITCH(L368,"C1",325,"C2",325,"C3",325,"D1",380,"D2",380,"D3",380,"Custom",0,285))</f>
        <v>0</v>
      </c>
      <c r="O368" s="51">
        <f>IF(L368="",0,_xlfn.SWITCH(L368,"A1",375,"B1",375,"C1",375,"D1",375,"A2",310,"B2",310,"C2",310,"D2",310,"Custom",0,260))</f>
        <v>0</v>
      </c>
      <c r="P368" s="51">
        <f>IFERROR(IF(OR(M368=0,N368=0),0,(M368+N368)*2+11),0)</f>
        <v>0</v>
      </c>
      <c r="Q368" s="51">
        <f>IFERROR(IF(OR(N368=0,O368=0),0,(N368+O368)-16),0)</f>
        <v>0</v>
      </c>
      <c r="R368" s="53">
        <f>P368*Q368/1000000</f>
        <v>0</v>
      </c>
      <c r="S368" s="123">
        <f>IFERROR(VLOOKUP(L368,'[3]Carton Sizes Chart'!$A$4:$E$15,5,FALSE),0)</f>
        <v>0</v>
      </c>
      <c r="T368" s="124">
        <f>S368</f>
        <v>0</v>
      </c>
      <c r="U368" s="124">
        <f>I368*T368</f>
        <v>0</v>
      </c>
      <c r="V368" s="123">
        <f>((T368*I368)-W368)*4%</f>
        <v>0</v>
      </c>
      <c r="W368" s="124">
        <f>S368*I368*5%</f>
        <v>0</v>
      </c>
    </row>
    <row r="369" spans="1:23">
      <c r="A369" s="118"/>
      <c r="B369" s="118"/>
      <c r="C369" s="119"/>
      <c r="D369" s="118"/>
      <c r="E369" s="118"/>
      <c r="F369" s="118"/>
      <c r="G369" s="119"/>
      <c r="H369" s="119"/>
      <c r="I369" s="119"/>
      <c r="J369" s="119" t="s">
        <v>95</v>
      </c>
      <c r="K369" s="119" t="s">
        <v>110</v>
      </c>
      <c r="L369" s="119" t="s">
        <v>123</v>
      </c>
      <c r="M369" s="51" cm="1">
        <f t="array" ref="M369">IF(L369="",0,_xlfn.SWITCH(L369,"A1",495,"A2",495,"A3",495,"Custom",0,595))</f>
        <v>0</v>
      </c>
      <c r="N369" s="51" cm="1">
        <f t="array" ref="N369">IF(L369="",0,_xlfn.SWITCH(L369,"C1",325,"C2",325,"C3",325,"D1",380,"D2",380,"D3",380,"Custom",0,285))</f>
        <v>0</v>
      </c>
      <c r="O369" s="51">
        <f>IF(L369="",0,_xlfn.SWITCH(L369,"A1",375,"B1",375,"C1",375,"D1",375,"A2",310,"B2",310,"C2",310,"D2",310,"Custom",0,260))</f>
        <v>0</v>
      </c>
      <c r="P369" s="51">
        <f>IFERROR(IF(OR(M369=0,N369=0),0,(M369+N369)*2+11),0)</f>
        <v>0</v>
      </c>
      <c r="Q369" s="51">
        <f>IFERROR(IF(OR(N369=0,O369=0),0,(N369+O369)-16),0)</f>
        <v>0</v>
      </c>
      <c r="R369" s="53">
        <f>P369*Q369/1000000</f>
        <v>0</v>
      </c>
      <c r="S369" s="123">
        <f>IFERROR(VLOOKUP(L369,'[3]Carton Sizes Chart'!$A$4:$E$15,5,FALSE),0)</f>
        <v>0</v>
      </c>
      <c r="T369" s="124">
        <f>S369</f>
        <v>0</v>
      </c>
      <c r="U369" s="124">
        <f>I369*T369</f>
        <v>0</v>
      </c>
      <c r="V369" s="123">
        <f>((T369*I369)-W369)*4%</f>
        <v>0</v>
      </c>
      <c r="W369" s="124">
        <f>S369*I369*5%</f>
        <v>0</v>
      </c>
    </row>
    <row r="370" spans="1:23">
      <c r="A370" s="118"/>
      <c r="B370" s="118"/>
      <c r="C370" s="119"/>
      <c r="D370" s="118"/>
      <c r="E370" s="118"/>
      <c r="F370" s="118"/>
      <c r="G370" s="119"/>
      <c r="H370" s="119"/>
      <c r="I370" s="119"/>
      <c r="J370" s="119" t="s">
        <v>95</v>
      </c>
      <c r="K370" s="119" t="s">
        <v>110</v>
      </c>
      <c r="L370" s="119" t="s">
        <v>123</v>
      </c>
      <c r="M370" s="51" cm="1">
        <f t="array" ref="M370">IF(L370="",0,_xlfn.SWITCH(L370,"A1",495,"A2",495,"A3",495,"Custom",0,595))</f>
        <v>0</v>
      </c>
      <c r="N370" s="51" cm="1">
        <f t="array" ref="N370">IF(L370="",0,_xlfn.SWITCH(L370,"C1",325,"C2",325,"C3",325,"D1",380,"D2",380,"D3",380,"Custom",0,285))</f>
        <v>0</v>
      </c>
      <c r="O370" s="51">
        <f>IF(L370="",0,_xlfn.SWITCH(L370,"A1",375,"B1",375,"C1",375,"D1",375,"A2",310,"B2",310,"C2",310,"D2",310,"Custom",0,260))</f>
        <v>0</v>
      </c>
      <c r="P370" s="51">
        <f>IFERROR(IF(OR(M370=0,N370=0),0,(M370+N370)*2+11),0)</f>
        <v>0</v>
      </c>
      <c r="Q370" s="51">
        <f>IFERROR(IF(OR(N370=0,O370=0),0,(N370+O370)-16),0)</f>
        <v>0</v>
      </c>
      <c r="R370" s="53">
        <f>P370*Q370/1000000</f>
        <v>0</v>
      </c>
      <c r="S370" s="129">
        <f>IF(L370="Custom", R370*'[1]RFQ_Matalan Carton'!$M$40, IFERROR(VLOOKUP(L370,'[1]Carton Sizes Chart'!$A$4:$E$15,5,FALSE),0))</f>
        <v>0</v>
      </c>
      <c r="T370" s="124">
        <f>S370</f>
        <v>0</v>
      </c>
      <c r="U370" s="124">
        <f>I370*T370</f>
        <v>0</v>
      </c>
      <c r="V370" s="123">
        <f>((T370*I370)-W370)*4%</f>
        <v>0</v>
      </c>
      <c r="W370" s="124">
        <f>S370*I370*5%</f>
        <v>0</v>
      </c>
    </row>
    <row r="371" spans="1:23">
      <c r="A371" s="118"/>
      <c r="B371" s="118"/>
      <c r="C371" s="119"/>
      <c r="D371" s="118"/>
      <c r="E371" s="118"/>
      <c r="F371" s="118"/>
      <c r="G371" s="119"/>
      <c r="H371" s="119"/>
      <c r="I371" s="119"/>
      <c r="J371" s="119" t="s">
        <v>95</v>
      </c>
      <c r="K371" s="119" t="s">
        <v>110</v>
      </c>
      <c r="L371" s="119" t="s">
        <v>123</v>
      </c>
      <c r="M371" s="51" cm="1">
        <f t="array" ref="M371">IF(L371="",0,_xlfn.SWITCH(L371,"A1",495,"A2",495,"A3",495,"Custom",0,595))</f>
        <v>0</v>
      </c>
      <c r="N371" s="51" cm="1">
        <f t="array" ref="N371">IF(L371="",0,_xlfn.SWITCH(L371,"C1",325,"C2",325,"C3",325,"D1",380,"D2",380,"D3",380,"Custom",0,285))</f>
        <v>0</v>
      </c>
      <c r="O371" s="51">
        <f>IF(L371="",0,_xlfn.SWITCH(L371,"A1",375,"B1",375,"C1",375,"D1",375,"A2",310,"B2",310,"C2",310,"D2",310,"Custom",0,260))</f>
        <v>0</v>
      </c>
      <c r="P371" s="51">
        <f>IFERROR(IF(OR(M371=0,N371=0),0,(M371+N371)*2+11),0)</f>
        <v>0</v>
      </c>
      <c r="Q371" s="51">
        <f>IFERROR(IF(OR(N371=0,O371=0),0,(N371+O371)-16),0)</f>
        <v>0</v>
      </c>
      <c r="R371" s="53">
        <f>P371*Q371/1000000</f>
        <v>0</v>
      </c>
      <c r="S371" s="129">
        <f>IF(L371="Custom", R371*'[1]RFQ_Matalan Carton'!$M$40, IFERROR(VLOOKUP(L371,'[1]Carton Sizes Chart'!$A$4:$E$15,5,FALSE),0))</f>
        <v>0</v>
      </c>
      <c r="T371" s="124">
        <f>S371</f>
        <v>0</v>
      </c>
      <c r="U371" s="124">
        <f>I371*T371</f>
        <v>0</v>
      </c>
      <c r="V371" s="123">
        <f>((T371*I371)-W371)*4%</f>
        <v>0</v>
      </c>
      <c r="W371" s="124">
        <f>S371*I371*5%</f>
        <v>0</v>
      </c>
    </row>
    <row r="372" spans="1:23">
      <c r="A372" s="118"/>
      <c r="B372" s="118"/>
      <c r="C372" s="119"/>
      <c r="D372" s="118"/>
      <c r="E372" s="118"/>
      <c r="F372" s="118"/>
      <c r="G372" s="119"/>
      <c r="H372" s="119"/>
      <c r="I372" s="119"/>
      <c r="J372" s="119" t="s">
        <v>95</v>
      </c>
      <c r="K372" s="119" t="s">
        <v>110</v>
      </c>
      <c r="L372" s="119" t="s">
        <v>123</v>
      </c>
      <c r="M372" s="51" cm="1">
        <f t="array" ref="M372">IF(L372="",0,_xlfn.SWITCH(L372,"A1",495,"A2",495,"A3",495,"Custom",0,595))</f>
        <v>0</v>
      </c>
      <c r="N372" s="51" cm="1">
        <f t="array" ref="N372">IF(L372="",0,_xlfn.SWITCH(L372,"C1",325,"C2",325,"C3",325,"D1",380,"D2",380,"D3",380,"Custom",0,285))</f>
        <v>0</v>
      </c>
      <c r="O372" s="51">
        <f>IF(L372="",0,_xlfn.SWITCH(L372,"A1",375,"B1",375,"C1",375,"D1",375,"A2",310,"B2",310,"C2",310,"D2",310,"Custom",0,260))</f>
        <v>0</v>
      </c>
      <c r="P372" s="51">
        <f>IFERROR(IF(OR(M372=0,N372=0),0,(M372+N372)*2+11),0)</f>
        <v>0</v>
      </c>
      <c r="Q372" s="51">
        <f>IFERROR(IF(OR(N372=0,O372=0),0,(N372+O372)-16),0)</f>
        <v>0</v>
      </c>
      <c r="R372" s="53">
        <f>P372*Q372/1000000</f>
        <v>0</v>
      </c>
      <c r="S372" s="129">
        <f>IF(L372="Custom", R372*'[1]RFQ_Matalan Carton'!$M$40, IFERROR(VLOOKUP(L372,'[1]Carton Sizes Chart'!$A$4:$E$15,5,FALSE),0))</f>
        <v>0</v>
      </c>
      <c r="T372" s="124">
        <f>S372</f>
        <v>0</v>
      </c>
      <c r="U372" s="124">
        <f>I372*T372</f>
        <v>0</v>
      </c>
      <c r="V372" s="123">
        <f>((T372*I372)-W372)*4%</f>
        <v>0</v>
      </c>
      <c r="W372" s="124">
        <f>S372*I372*5%</f>
        <v>0</v>
      </c>
    </row>
    <row r="373" spans="1:23">
      <c r="A373" s="118"/>
      <c r="B373" s="118"/>
      <c r="C373" s="119"/>
      <c r="D373" s="118"/>
      <c r="E373" s="118"/>
      <c r="F373" s="118"/>
      <c r="G373" s="119"/>
      <c r="H373" s="119"/>
      <c r="I373" s="119"/>
      <c r="J373" s="119" t="s">
        <v>95</v>
      </c>
      <c r="K373" s="119" t="s">
        <v>110</v>
      </c>
      <c r="L373" s="119" t="s">
        <v>123</v>
      </c>
      <c r="M373" s="51" cm="1">
        <f t="array" ref="M373">IF(L373="",0,_xlfn.SWITCH(L373,"A1",495,"A2",495,"A3",495,"Custom",0,595))</f>
        <v>0</v>
      </c>
      <c r="N373" s="51" cm="1">
        <f t="array" ref="N373">IF(L373="",0,_xlfn.SWITCH(L373,"C1",325,"C2",325,"C3",325,"D1",380,"D2",380,"D3",380,"Custom",0,285))</f>
        <v>0</v>
      </c>
      <c r="O373" s="51">
        <f>IF(L373="",0,_xlfn.SWITCH(L373,"A1",375,"B1",375,"C1",375,"D1",375,"A2",310,"B2",310,"C2",310,"D2",310,"Custom",0,260))</f>
        <v>0</v>
      </c>
      <c r="P373" s="51">
        <f>IFERROR(IF(OR(M373=0,N373=0),0,(M373+N373)*2+11),0)</f>
        <v>0</v>
      </c>
      <c r="Q373" s="51">
        <f>IFERROR(IF(OR(N373=0,O373=0),0,(N373+O373)-16),0)</f>
        <v>0</v>
      </c>
      <c r="R373" s="53">
        <f>P373*Q373/1000000</f>
        <v>0</v>
      </c>
      <c r="S373" s="129">
        <f>IF(L373="Custom", R373*'[1]RFQ_Matalan Carton'!$M$40, IFERROR(VLOOKUP(L373,'[1]Carton Sizes Chart'!$A$4:$E$15,5,FALSE),0))</f>
        <v>0</v>
      </c>
      <c r="T373" s="124">
        <f>S373</f>
        <v>0</v>
      </c>
      <c r="U373" s="124">
        <f>I373*T373</f>
        <v>0</v>
      </c>
      <c r="V373" s="123">
        <f>((T373*I373)-W373)*4%</f>
        <v>0</v>
      </c>
      <c r="W373" s="124">
        <f>S373*I373*5%</f>
        <v>0</v>
      </c>
    </row>
    <row r="374" spans="1:23">
      <c r="A374" s="118"/>
      <c r="B374" s="118"/>
      <c r="C374" s="119"/>
      <c r="D374" s="118"/>
      <c r="E374" s="118"/>
      <c r="F374" s="118"/>
      <c r="G374" s="119"/>
      <c r="H374" s="119"/>
      <c r="I374" s="119"/>
      <c r="J374" s="119" t="s">
        <v>95</v>
      </c>
      <c r="K374" s="119" t="s">
        <v>110</v>
      </c>
      <c r="L374" s="119" t="s">
        <v>123</v>
      </c>
      <c r="M374" s="51" cm="1">
        <f t="array" ref="M374">IF(L374="",0,_xlfn.SWITCH(L374,"A1",495,"A2",495,"A3",495,"Custom",0,595))</f>
        <v>0</v>
      </c>
      <c r="N374" s="51" cm="1">
        <f t="array" ref="N374">IF(L374="",0,_xlfn.SWITCH(L374,"C1",325,"C2",325,"C3",325,"D1",380,"D2",380,"D3",380,"Custom",0,285))</f>
        <v>0</v>
      </c>
      <c r="O374" s="51">
        <f>IF(L374="",0,_xlfn.SWITCH(L374,"A1",375,"B1",375,"C1",375,"D1",375,"A2",310,"B2",310,"C2",310,"D2",310,"Custom",0,260))</f>
        <v>0</v>
      </c>
      <c r="P374" s="51">
        <f>IFERROR(IF(OR(M374=0,N374=0),0,(M374+N374)*2+11),0)</f>
        <v>0</v>
      </c>
      <c r="Q374" s="51">
        <f>IFERROR(IF(OR(N374=0,O374=0),0,(N374+O374)-16),0)</f>
        <v>0</v>
      </c>
      <c r="R374" s="53">
        <f>P374*Q374/1000000</f>
        <v>0</v>
      </c>
      <c r="S374" s="123">
        <f>IFERROR(VLOOKUP(L374,'[3]Carton Sizes Chart'!$A$4:$E$15,5,FALSE),0)</f>
        <v>0</v>
      </c>
      <c r="T374" s="124">
        <f>S374</f>
        <v>0</v>
      </c>
      <c r="U374" s="124">
        <f>I374*T374</f>
        <v>0</v>
      </c>
      <c r="V374" s="123">
        <f>((T374*I374)-W374)*4%</f>
        <v>0</v>
      </c>
      <c r="W374" s="124">
        <f>S374*I374*5%</f>
        <v>0</v>
      </c>
    </row>
    <row r="375" spans="1:23">
      <c r="A375" s="118"/>
      <c r="B375" s="118"/>
      <c r="C375" s="119"/>
      <c r="D375" s="118"/>
      <c r="E375" s="118"/>
      <c r="F375" s="118"/>
      <c r="G375" s="119"/>
      <c r="H375" s="119"/>
      <c r="I375" s="119"/>
      <c r="J375" s="119" t="s">
        <v>95</v>
      </c>
      <c r="K375" s="119" t="s">
        <v>110</v>
      </c>
      <c r="L375" s="119" t="s">
        <v>123</v>
      </c>
      <c r="M375" s="51" cm="1">
        <f t="array" ref="M375">IF(L375="",0,_xlfn.SWITCH(L375,"A1",495,"A2",495,"A3",495,"Custom",0,595))</f>
        <v>0</v>
      </c>
      <c r="N375" s="51" cm="1">
        <f t="array" ref="N375">IF(L375="",0,_xlfn.SWITCH(L375,"C1",325,"C2",325,"C3",325,"D1",380,"D2",380,"D3",380,"Custom",0,285))</f>
        <v>0</v>
      </c>
      <c r="O375" s="51">
        <f>IF(L375="",0,_xlfn.SWITCH(L375,"A1",375,"B1",375,"C1",375,"D1",375,"A2",310,"B2",310,"C2",310,"D2",310,"Custom",0,260))</f>
        <v>0</v>
      </c>
      <c r="P375" s="51">
        <f>IFERROR(IF(OR(M375=0,N375=0),0,(M375+N375)*2+11),0)</f>
        <v>0</v>
      </c>
      <c r="Q375" s="51">
        <f>IFERROR(IF(OR(N375=0,O375=0),0,(N375+O375)-16),0)</f>
        <v>0</v>
      </c>
      <c r="R375" s="53">
        <f>P375*Q375/1000000</f>
        <v>0</v>
      </c>
      <c r="S375" s="123">
        <f>IFERROR(VLOOKUP(L375,'[3]Carton Sizes Chart'!$A$4:$E$15,5,FALSE),0)</f>
        <v>0</v>
      </c>
      <c r="T375" s="124">
        <f>S375</f>
        <v>0</v>
      </c>
      <c r="U375" s="124">
        <f>I375*T375</f>
        <v>0</v>
      </c>
      <c r="V375" s="123">
        <f>((T375*I375)-W375)*4%</f>
        <v>0</v>
      </c>
      <c r="W375" s="124">
        <f>S375*I375*5%</f>
        <v>0</v>
      </c>
    </row>
    <row r="376" spans="1:23">
      <c r="A376" s="118"/>
      <c r="B376" s="118"/>
      <c r="C376" s="119"/>
      <c r="D376" s="118"/>
      <c r="E376" s="118"/>
      <c r="F376" s="118"/>
      <c r="G376" s="119"/>
      <c r="H376" s="119"/>
      <c r="I376" s="119"/>
      <c r="J376" s="119" t="s">
        <v>95</v>
      </c>
      <c r="K376" s="119" t="s">
        <v>110</v>
      </c>
      <c r="L376" s="119" t="s">
        <v>123</v>
      </c>
      <c r="M376" s="51" cm="1">
        <f t="array" ref="M376">IF(L376="",0,_xlfn.SWITCH(L376,"A1",495,"A2",495,"A3",495,"Custom",0,595))</f>
        <v>0</v>
      </c>
      <c r="N376" s="51" cm="1">
        <f t="array" ref="N376">IF(L376="",0,_xlfn.SWITCH(L376,"C1",325,"C2",325,"C3",325,"D1",380,"D2",380,"D3",380,"Custom",0,285))</f>
        <v>0</v>
      </c>
      <c r="O376" s="51">
        <f>IF(L376="",0,_xlfn.SWITCH(L376,"A1",375,"B1",375,"C1",375,"D1",375,"A2",310,"B2",310,"C2",310,"D2",310,"Custom",0,260))</f>
        <v>0</v>
      </c>
      <c r="P376" s="51">
        <f>IFERROR(IF(OR(M376=0,N376=0),0,(M376+N376)*2+11),0)</f>
        <v>0</v>
      </c>
      <c r="Q376" s="51">
        <f>IFERROR(IF(OR(N376=0,O376=0),0,(N376+O376)-16),0)</f>
        <v>0</v>
      </c>
      <c r="R376" s="53">
        <f>P376*Q376/1000000</f>
        <v>0</v>
      </c>
      <c r="S376" s="123">
        <f>IFERROR(VLOOKUP(L376,'[3]Carton Sizes Chart'!$A$4:$E$15,5,FALSE),0)</f>
        <v>0</v>
      </c>
      <c r="T376" s="124">
        <f>S376</f>
        <v>0</v>
      </c>
      <c r="U376" s="124">
        <f>I376*T376</f>
        <v>0</v>
      </c>
      <c r="V376" s="123">
        <f>((T376*I376)-W376)*4%</f>
        <v>0</v>
      </c>
      <c r="W376" s="124">
        <f>S376*I376*5%</f>
        <v>0</v>
      </c>
    </row>
    <row r="377" spans="1:23">
      <c r="A377" s="118"/>
      <c r="B377" s="118"/>
      <c r="C377" s="119"/>
      <c r="D377" s="118"/>
      <c r="E377" s="118"/>
      <c r="F377" s="118"/>
      <c r="G377" s="119"/>
      <c r="H377" s="119"/>
      <c r="I377" s="119"/>
      <c r="J377" s="119" t="s">
        <v>95</v>
      </c>
      <c r="K377" s="119" t="s">
        <v>110</v>
      </c>
      <c r="L377" s="119" t="s">
        <v>123</v>
      </c>
      <c r="M377" s="51" cm="1">
        <f t="array" ref="M377">IF(L377="",0,_xlfn.SWITCH(L377,"A1",495,"A2",495,"A3",495,"Custom",0,595))</f>
        <v>0</v>
      </c>
      <c r="N377" s="51" cm="1">
        <f t="array" ref="N377">IF(L377="",0,_xlfn.SWITCH(L377,"C1",325,"C2",325,"C3",325,"D1",380,"D2",380,"D3",380,"Custom",0,285))</f>
        <v>0</v>
      </c>
      <c r="O377" s="51">
        <f>IF(L377="",0,_xlfn.SWITCH(L377,"A1",375,"B1",375,"C1",375,"D1",375,"A2",310,"B2",310,"C2",310,"D2",310,"Custom",0,260))</f>
        <v>0</v>
      </c>
      <c r="P377" s="51">
        <f>IFERROR(IF(OR(M377=0,N377=0),0,(M377+N377)*2+11),0)</f>
        <v>0</v>
      </c>
      <c r="Q377" s="51">
        <f>IFERROR(IF(OR(N377=0,O377=0),0,(N377+O377)-16),0)</f>
        <v>0</v>
      </c>
      <c r="R377" s="53">
        <f>P377*Q377/1000000</f>
        <v>0</v>
      </c>
      <c r="S377" s="123">
        <f>IFERROR(VLOOKUP(L377,'[3]Carton Sizes Chart'!$A$4:$E$15,5,FALSE),0)</f>
        <v>0</v>
      </c>
      <c r="T377" s="124">
        <f>S377</f>
        <v>0</v>
      </c>
      <c r="U377" s="124">
        <f>I377*T377</f>
        <v>0</v>
      </c>
      <c r="V377" s="123">
        <f>((T377*I377)-W377)*4%</f>
        <v>0</v>
      </c>
      <c r="W377" s="124">
        <f>S377*I377*5%</f>
        <v>0</v>
      </c>
    </row>
    <row r="378" spans="1:23">
      <c r="A378" s="118"/>
      <c r="B378" s="118"/>
      <c r="C378" s="119"/>
      <c r="D378" s="118"/>
      <c r="E378" s="118"/>
      <c r="F378" s="118"/>
      <c r="G378" s="119"/>
      <c r="H378" s="119"/>
      <c r="I378" s="119"/>
      <c r="J378" s="119" t="s">
        <v>95</v>
      </c>
      <c r="K378" s="119" t="s">
        <v>110</v>
      </c>
      <c r="L378" s="119" t="s">
        <v>123</v>
      </c>
      <c r="M378" s="51" cm="1">
        <f t="array" ref="M378">IF(L378="",0,_xlfn.SWITCH(L378,"A1",495,"A2",495,"A3",495,"Custom",0,595))</f>
        <v>0</v>
      </c>
      <c r="N378" s="51" cm="1">
        <f t="array" ref="N378">IF(L378="",0,_xlfn.SWITCH(L378,"C1",325,"C2",325,"C3",325,"D1",380,"D2",380,"D3",380,"Custom",0,285))</f>
        <v>0</v>
      </c>
      <c r="O378" s="51">
        <f>IF(L378="",0,_xlfn.SWITCH(L378,"A1",375,"B1",375,"C1",375,"D1",375,"A2",310,"B2",310,"C2",310,"D2",310,"Custom",0,260))</f>
        <v>0</v>
      </c>
      <c r="P378" s="51">
        <f>IFERROR(IF(OR(M378=0,N378=0),0,(M378+N378)*2+11),0)</f>
        <v>0</v>
      </c>
      <c r="Q378" s="51">
        <f>IFERROR(IF(OR(N378=0,O378=0),0,(N378+O378)-16),0)</f>
        <v>0</v>
      </c>
      <c r="R378" s="53">
        <f>P378*Q378/1000000</f>
        <v>0</v>
      </c>
      <c r="S378" s="123">
        <f>IFERROR(VLOOKUP(L378,'[3]Carton Sizes Chart'!$A$4:$E$15,5,FALSE),0)</f>
        <v>0</v>
      </c>
      <c r="T378" s="124">
        <f>S378</f>
        <v>0</v>
      </c>
      <c r="U378" s="124">
        <f>I378*T378</f>
        <v>0</v>
      </c>
      <c r="V378" s="123">
        <f>((T378*I378)-W378)*4%</f>
        <v>0</v>
      </c>
      <c r="W378" s="124">
        <f>S378*I378*5%</f>
        <v>0</v>
      </c>
    </row>
    <row r="379" spans="1:23">
      <c r="A379" s="118"/>
      <c r="B379" s="118"/>
      <c r="C379" s="119"/>
      <c r="D379" s="118"/>
      <c r="E379" s="118"/>
      <c r="F379" s="118"/>
      <c r="G379" s="119"/>
      <c r="H379" s="119"/>
      <c r="I379" s="119"/>
      <c r="J379" s="119" t="s">
        <v>95</v>
      </c>
      <c r="K379" s="119" t="s">
        <v>110</v>
      </c>
      <c r="L379" s="119" t="s">
        <v>123</v>
      </c>
      <c r="M379" s="51" cm="1">
        <f t="array" ref="M379">IF(L379="",0,_xlfn.SWITCH(L379,"A1",495,"A2",495,"A3",495,"Custom",0,595))</f>
        <v>0</v>
      </c>
      <c r="N379" s="51" cm="1">
        <f t="array" ref="N379">IF(L379="",0,_xlfn.SWITCH(L379,"C1",325,"C2",325,"C3",325,"D1",380,"D2",380,"D3",380,"Custom",0,285))</f>
        <v>0</v>
      </c>
      <c r="O379" s="51">
        <f>IF(L379="",0,_xlfn.SWITCH(L379,"A1",375,"B1",375,"C1",375,"D1",375,"A2",310,"B2",310,"C2",310,"D2",310,"Custom",0,260))</f>
        <v>0</v>
      </c>
      <c r="P379" s="51">
        <f>IFERROR(IF(OR(M379=0,N379=0),0,(M379+N379)*2+11),0)</f>
        <v>0</v>
      </c>
      <c r="Q379" s="51">
        <f>IFERROR(IF(OR(N379=0,O379=0),0,(N379+O379)-16),0)</f>
        <v>0</v>
      </c>
      <c r="R379" s="53">
        <f>P379*Q379/1000000</f>
        <v>0</v>
      </c>
      <c r="S379" s="129">
        <f>IF(L379="Custom", R379*'[1]RFQ_Matalan Carton'!$M$40, IFERROR(VLOOKUP(L379,'[1]Carton Sizes Chart'!$A$4:$E$15,5,FALSE),0))</f>
        <v>0</v>
      </c>
      <c r="T379" s="124">
        <f>S379</f>
        <v>0</v>
      </c>
      <c r="U379" s="124">
        <f>I379*T379</f>
        <v>0</v>
      </c>
      <c r="V379" s="123">
        <f>((T379*I379)-W379)*4%</f>
        <v>0</v>
      </c>
      <c r="W379" s="124">
        <f>S379*I379*5%</f>
        <v>0</v>
      </c>
    </row>
    <row r="380" spans="1:23">
      <c r="A380" s="118"/>
      <c r="B380" s="118"/>
      <c r="C380" s="119"/>
      <c r="D380" s="118"/>
      <c r="E380" s="118"/>
      <c r="F380" s="118"/>
      <c r="G380" s="119"/>
      <c r="H380" s="119"/>
      <c r="I380" s="119"/>
      <c r="J380" s="119" t="s">
        <v>95</v>
      </c>
      <c r="K380" s="119" t="s">
        <v>110</v>
      </c>
      <c r="L380" s="119" t="s">
        <v>123</v>
      </c>
      <c r="M380" s="51" cm="1">
        <f t="array" ref="M380">IF(L380="",0,_xlfn.SWITCH(L380,"A1",495,"A2",495,"A3",495,"Custom",0,595))</f>
        <v>0</v>
      </c>
      <c r="N380" s="51" cm="1">
        <f t="array" ref="N380">IF(L380="",0,_xlfn.SWITCH(L380,"C1",325,"C2",325,"C3",325,"D1",380,"D2",380,"D3",380,"Custom",0,285))</f>
        <v>0</v>
      </c>
      <c r="O380" s="51">
        <f>IF(L380="",0,_xlfn.SWITCH(L380,"A1",375,"B1",375,"C1",375,"D1",375,"A2",310,"B2",310,"C2",310,"D2",310,"Custom",0,260))</f>
        <v>0</v>
      </c>
      <c r="P380" s="51">
        <f>IFERROR(IF(OR(M380=0,N380=0),0,(M380+N380)*2+11),0)</f>
        <v>0</v>
      </c>
      <c r="Q380" s="51">
        <f>IFERROR(IF(OR(N380=0,O380=0),0,(N380+O380)-16),0)</f>
        <v>0</v>
      </c>
      <c r="R380" s="53">
        <f>P380*Q380/1000000</f>
        <v>0</v>
      </c>
      <c r="S380" s="129">
        <f>IF(L380="Custom", R380*'[1]RFQ_Matalan Carton'!$M$40, IFERROR(VLOOKUP(L380,'[1]Carton Sizes Chart'!$A$4:$E$15,5,FALSE),0))</f>
        <v>0</v>
      </c>
      <c r="T380" s="124">
        <f>S380</f>
        <v>0</v>
      </c>
      <c r="U380" s="124">
        <f>I380*T380</f>
        <v>0</v>
      </c>
      <c r="V380" s="123">
        <f>((T380*I380)-W380)*4%</f>
        <v>0</v>
      </c>
      <c r="W380" s="124">
        <f>S380*I380*5%</f>
        <v>0</v>
      </c>
    </row>
    <row r="381" spans="1:23">
      <c r="A381" s="118"/>
      <c r="B381" s="118"/>
      <c r="C381" s="119"/>
      <c r="D381" s="118"/>
      <c r="E381" s="118"/>
      <c r="F381" s="118"/>
      <c r="G381" s="119"/>
      <c r="H381" s="119"/>
      <c r="I381" s="119"/>
      <c r="J381" s="119" t="s">
        <v>95</v>
      </c>
      <c r="K381" s="119" t="s">
        <v>110</v>
      </c>
      <c r="L381" s="119" t="s">
        <v>123</v>
      </c>
      <c r="M381" s="51" cm="1">
        <f t="array" ref="M381">IF(L381="",0,_xlfn.SWITCH(L381,"A1",495,"A2",495,"A3",495,"Custom",0,595))</f>
        <v>0</v>
      </c>
      <c r="N381" s="51" cm="1">
        <f t="array" ref="N381">IF(L381="",0,_xlfn.SWITCH(L381,"C1",325,"C2",325,"C3",325,"D1",380,"D2",380,"D3",380,"Custom",0,285))</f>
        <v>0</v>
      </c>
      <c r="O381" s="51">
        <f>IF(L381="",0,_xlfn.SWITCH(L381,"A1",375,"B1",375,"C1",375,"D1",375,"A2",310,"B2",310,"C2",310,"D2",310,"Custom",0,260))</f>
        <v>0</v>
      </c>
      <c r="P381" s="51">
        <f>IFERROR(IF(OR(M381=0,N381=0),0,(M381+N381)*2+11),0)</f>
        <v>0</v>
      </c>
      <c r="Q381" s="51">
        <f>IFERROR(IF(OR(N381=0,O381=0),0,(N381+O381)-16),0)</f>
        <v>0</v>
      </c>
      <c r="R381" s="53">
        <f>P381*Q381/1000000</f>
        <v>0</v>
      </c>
      <c r="S381" s="129">
        <f>IF(L381="Custom", R381*'[1]RFQ_Matalan Carton'!$M$40, IFERROR(VLOOKUP(L381,'[1]Carton Sizes Chart'!$A$4:$E$15,5,FALSE),0))</f>
        <v>0</v>
      </c>
      <c r="T381" s="124">
        <f>S381</f>
        <v>0</v>
      </c>
      <c r="U381" s="124">
        <f>I381*T381</f>
        <v>0</v>
      </c>
      <c r="V381" s="123">
        <f>((T381*I381)-W381)*4%</f>
        <v>0</v>
      </c>
      <c r="W381" s="124">
        <f>S381*I381*5%</f>
        <v>0</v>
      </c>
    </row>
    <row r="382" spans="1:23">
      <c r="A382" s="118"/>
      <c r="B382" s="118"/>
      <c r="C382" s="119"/>
      <c r="D382" s="118"/>
      <c r="E382" s="118"/>
      <c r="F382" s="118"/>
      <c r="G382" s="119"/>
      <c r="H382" s="119"/>
      <c r="I382" s="119"/>
      <c r="J382" s="119" t="s">
        <v>95</v>
      </c>
      <c r="K382" s="119" t="s">
        <v>110</v>
      </c>
      <c r="L382" s="119" t="s">
        <v>123</v>
      </c>
      <c r="M382" s="51" cm="1">
        <f t="array" ref="M382">IF(L382="",0,_xlfn.SWITCH(L382,"A1",495,"A2",495,"A3",495,"Custom",0,595))</f>
        <v>0</v>
      </c>
      <c r="N382" s="51" cm="1">
        <f t="array" ref="N382">IF(L382="",0,_xlfn.SWITCH(L382,"C1",325,"C2",325,"C3",325,"D1",380,"D2",380,"D3",380,"Custom",0,285))</f>
        <v>0</v>
      </c>
      <c r="O382" s="51">
        <f>IF(L382="",0,_xlfn.SWITCH(L382,"A1",375,"B1",375,"C1",375,"D1",375,"A2",310,"B2",310,"C2",310,"D2",310,"Custom",0,260))</f>
        <v>0</v>
      </c>
      <c r="P382" s="51">
        <f>IFERROR(IF(OR(M382=0,N382=0),0,(M382+N382)*2+11),0)</f>
        <v>0</v>
      </c>
      <c r="Q382" s="51">
        <f>IFERROR(IF(OR(N382=0,O382=0),0,(N382+O382)-16),0)</f>
        <v>0</v>
      </c>
      <c r="R382" s="53">
        <f>P382*Q382/1000000</f>
        <v>0</v>
      </c>
      <c r="S382" s="129">
        <f>IF(L382="Custom", R382*'[1]RFQ_Matalan Carton'!$M$40, IFERROR(VLOOKUP(L382,'[1]Carton Sizes Chart'!$A$4:$E$15,5,FALSE),0))</f>
        <v>0</v>
      </c>
      <c r="T382" s="124">
        <f>S382</f>
        <v>0</v>
      </c>
      <c r="U382" s="124">
        <f>I382*T382</f>
        <v>0</v>
      </c>
      <c r="V382" s="123">
        <f>((T382*I382)-W382)*4%</f>
        <v>0</v>
      </c>
      <c r="W382" s="124">
        <f>S382*I382*5%</f>
        <v>0</v>
      </c>
    </row>
    <row r="383" spans="1:23">
      <c r="A383" s="118"/>
      <c r="B383" s="118"/>
      <c r="C383" s="119"/>
      <c r="D383" s="118"/>
      <c r="E383" s="118"/>
      <c r="F383" s="118"/>
      <c r="G383" s="119"/>
      <c r="H383" s="119"/>
      <c r="I383" s="119"/>
      <c r="J383" s="119" t="s">
        <v>95</v>
      </c>
      <c r="K383" s="119" t="s">
        <v>110</v>
      </c>
      <c r="L383" s="119" t="s">
        <v>123</v>
      </c>
      <c r="M383" s="51" cm="1">
        <f t="array" ref="M383">IF(L383="",0,_xlfn.SWITCH(L383,"A1",495,"A2",495,"A3",495,"Custom",0,595))</f>
        <v>0</v>
      </c>
      <c r="N383" s="51" cm="1">
        <f t="array" ref="N383">IF(L383="",0,_xlfn.SWITCH(L383,"C1",325,"C2",325,"C3",325,"D1",380,"D2",380,"D3",380,"Custom",0,285))</f>
        <v>0</v>
      </c>
      <c r="O383" s="51">
        <f>IF(L383="",0,_xlfn.SWITCH(L383,"A1",375,"B1",375,"C1",375,"D1",375,"A2",310,"B2",310,"C2",310,"D2",310,"Custom",0,260))</f>
        <v>0</v>
      </c>
      <c r="P383" s="51">
        <f>IFERROR(IF(OR(M383=0,N383=0),0,(M383+N383)*2+11),0)</f>
        <v>0</v>
      </c>
      <c r="Q383" s="51">
        <f>IFERROR(IF(OR(N383=0,O383=0),0,(N383+O383)-16),0)</f>
        <v>0</v>
      </c>
      <c r="R383" s="53">
        <f>P383*Q383/1000000</f>
        <v>0</v>
      </c>
      <c r="S383" s="129">
        <f>IF(L383="Custom", R383*'[1]RFQ_Matalan Carton'!$M$40, IFERROR(VLOOKUP(L383,'[1]Carton Sizes Chart'!$A$4:$E$15,5,FALSE),0))</f>
        <v>0</v>
      </c>
      <c r="T383" s="124">
        <f>S383</f>
        <v>0</v>
      </c>
      <c r="U383" s="124">
        <f>I383*T383</f>
        <v>0</v>
      </c>
      <c r="V383" s="123">
        <f>((T383*I383)-W383)*4%</f>
        <v>0</v>
      </c>
      <c r="W383" s="124">
        <f>S383*I383*5%</f>
        <v>0</v>
      </c>
    </row>
    <row r="384" spans="1:23">
      <c r="A384" s="118"/>
      <c r="B384" s="118"/>
      <c r="C384" s="119"/>
      <c r="D384" s="118"/>
      <c r="E384" s="118"/>
      <c r="F384" s="118"/>
      <c r="G384" s="119"/>
      <c r="H384" s="119"/>
      <c r="I384" s="119"/>
      <c r="J384" s="119" t="s">
        <v>95</v>
      </c>
      <c r="K384" s="119" t="s">
        <v>110</v>
      </c>
      <c r="L384" s="119" t="s">
        <v>123</v>
      </c>
      <c r="M384" s="51" cm="1">
        <f t="array" ref="M384">IF(L384="",0,_xlfn.SWITCH(L384,"A1",495,"A2",495,"A3",495,"Custom",0,595))</f>
        <v>0</v>
      </c>
      <c r="N384" s="51" cm="1">
        <f t="array" ref="N384">IF(L384="",0,_xlfn.SWITCH(L384,"C1",325,"C2",325,"C3",325,"D1",380,"D2",380,"D3",380,"Custom",0,285))</f>
        <v>0</v>
      </c>
      <c r="O384" s="51">
        <f>IF(L384="",0,_xlfn.SWITCH(L384,"A1",375,"B1",375,"C1",375,"D1",375,"A2",310,"B2",310,"C2",310,"D2",310,"Custom",0,260))</f>
        <v>0</v>
      </c>
      <c r="P384" s="51">
        <f>IFERROR(IF(OR(M384=0,N384=0),0,(M384+N384)*2+11),0)</f>
        <v>0</v>
      </c>
      <c r="Q384" s="51">
        <f>IFERROR(IF(OR(N384=0,O384=0),0,(N384+O384)-16),0)</f>
        <v>0</v>
      </c>
      <c r="R384" s="53">
        <f>P384*Q384/1000000</f>
        <v>0</v>
      </c>
      <c r="S384" s="123">
        <f>IFERROR(VLOOKUP(L384,'[3]Carton Sizes Chart'!$A$4:$E$15,5,FALSE),0)</f>
        <v>0</v>
      </c>
      <c r="T384" s="124">
        <f>S384</f>
        <v>0</v>
      </c>
      <c r="U384" s="124">
        <f>I384*T384</f>
        <v>0</v>
      </c>
      <c r="V384" s="123">
        <f>((T384*I384)-W384)*4%</f>
        <v>0</v>
      </c>
      <c r="W384" s="124">
        <f>S384*I384*5%</f>
        <v>0</v>
      </c>
    </row>
    <row r="385" spans="1:23">
      <c r="A385" s="118"/>
      <c r="B385" s="118"/>
      <c r="C385" s="119"/>
      <c r="D385" s="118"/>
      <c r="E385" s="118"/>
      <c r="F385" s="118"/>
      <c r="G385" s="119"/>
      <c r="H385" s="119"/>
      <c r="I385" s="119"/>
      <c r="J385" s="119" t="s">
        <v>95</v>
      </c>
      <c r="K385" s="119" t="s">
        <v>110</v>
      </c>
      <c r="L385" s="119" t="s">
        <v>123</v>
      </c>
      <c r="M385" s="51" cm="1">
        <f t="array" ref="M385">IF(L385="",0,_xlfn.SWITCH(L385,"A1",495,"A2",495,"A3",495,"Custom",0,595))</f>
        <v>0</v>
      </c>
      <c r="N385" s="51" cm="1">
        <f t="array" ref="N385">IF(L385="",0,_xlfn.SWITCH(L385,"C1",325,"C2",325,"C3",325,"D1",380,"D2",380,"D3",380,"Custom",0,285))</f>
        <v>0</v>
      </c>
      <c r="O385" s="51">
        <f>IF(L385="",0,_xlfn.SWITCH(L385,"A1",375,"B1",375,"C1",375,"D1",375,"A2",310,"B2",310,"C2",310,"D2",310,"Custom",0,260))</f>
        <v>0</v>
      </c>
      <c r="P385" s="51">
        <f>IFERROR(IF(OR(M385=0,N385=0),0,(M385+N385)*2+11),0)</f>
        <v>0</v>
      </c>
      <c r="Q385" s="51">
        <f>IFERROR(IF(OR(N385=0,O385=0),0,(N385+O385)-16),0)</f>
        <v>0</v>
      </c>
      <c r="R385" s="53">
        <f>P385*Q385/1000000</f>
        <v>0</v>
      </c>
      <c r="S385" s="123">
        <f>IFERROR(VLOOKUP(L385,'[3]Carton Sizes Chart'!$A$4:$E$15,5,FALSE),0)</f>
        <v>0</v>
      </c>
      <c r="T385" s="124">
        <f>S385</f>
        <v>0</v>
      </c>
      <c r="U385" s="124">
        <f>I385*T385</f>
        <v>0</v>
      </c>
      <c r="V385" s="123">
        <f>((T385*I385)-W385)*4%</f>
        <v>0</v>
      </c>
      <c r="W385" s="124">
        <f>S385*I385*5%</f>
        <v>0</v>
      </c>
    </row>
    <row r="386" spans="1:23">
      <c r="A386" s="118"/>
      <c r="B386" s="118"/>
      <c r="C386" s="119"/>
      <c r="D386" s="118"/>
      <c r="E386" s="118"/>
      <c r="F386" s="118"/>
      <c r="G386" s="119"/>
      <c r="H386" s="119"/>
      <c r="I386" s="119"/>
      <c r="J386" s="119" t="s">
        <v>95</v>
      </c>
      <c r="K386" s="119" t="s">
        <v>110</v>
      </c>
      <c r="L386" s="119" t="s">
        <v>123</v>
      </c>
      <c r="M386" s="51" cm="1">
        <f t="array" ref="M386">IF(L386="",0,_xlfn.SWITCH(L386,"A1",495,"A2",495,"A3",495,"Custom",0,595))</f>
        <v>0</v>
      </c>
      <c r="N386" s="51" cm="1">
        <f t="array" ref="N386">IF(L386="",0,_xlfn.SWITCH(L386,"C1",325,"C2",325,"C3",325,"D1",380,"D2",380,"D3",380,"Custom",0,285))</f>
        <v>0</v>
      </c>
      <c r="O386" s="51">
        <f>IF(L386="",0,_xlfn.SWITCH(L386,"A1",375,"B1",375,"C1",375,"D1",375,"A2",310,"B2",310,"C2",310,"D2",310,"Custom",0,260))</f>
        <v>0</v>
      </c>
      <c r="P386" s="51">
        <f>IFERROR(IF(OR(M386=0,N386=0),0,(M386+N386)*2+11),0)</f>
        <v>0</v>
      </c>
      <c r="Q386" s="51">
        <f>IFERROR(IF(OR(N386=0,O386=0),0,(N386+O386)-16),0)</f>
        <v>0</v>
      </c>
      <c r="R386" s="53">
        <f>P386*Q386/1000000</f>
        <v>0</v>
      </c>
      <c r="S386" s="123">
        <f>IFERROR(VLOOKUP(L386,'[3]Carton Sizes Chart'!$A$4:$E$15,5,FALSE),0)</f>
        <v>0</v>
      </c>
      <c r="T386" s="124">
        <f>S386</f>
        <v>0</v>
      </c>
      <c r="U386" s="124">
        <f>I386*T386</f>
        <v>0</v>
      </c>
      <c r="V386" s="123">
        <f>((T386*I386)-W386)*4%</f>
        <v>0</v>
      </c>
      <c r="W386" s="124">
        <f>S386*I386*5%</f>
        <v>0</v>
      </c>
    </row>
    <row r="387" spans="1:23">
      <c r="A387" s="118"/>
      <c r="B387" s="118"/>
      <c r="C387" s="119"/>
      <c r="D387" s="118"/>
      <c r="E387" s="118"/>
      <c r="F387" s="118"/>
      <c r="G387" s="119"/>
      <c r="H387" s="119"/>
      <c r="I387" s="119"/>
      <c r="J387" s="119" t="s">
        <v>95</v>
      </c>
      <c r="K387" s="119" t="s">
        <v>110</v>
      </c>
      <c r="L387" s="119" t="s">
        <v>123</v>
      </c>
      <c r="M387" s="51" cm="1">
        <f t="array" ref="M387">IF(L387="",0,_xlfn.SWITCH(L387,"A1",495,"A2",495,"A3",495,"Custom",0,595))</f>
        <v>0</v>
      </c>
      <c r="N387" s="51" cm="1">
        <f t="array" ref="N387">IF(L387="",0,_xlfn.SWITCH(L387,"C1",325,"C2",325,"C3",325,"D1",380,"D2",380,"D3",380,"Custom",0,285))</f>
        <v>0</v>
      </c>
      <c r="O387" s="51">
        <f>IF(L387="",0,_xlfn.SWITCH(L387,"A1",375,"B1",375,"C1",375,"D1",375,"A2",310,"B2",310,"C2",310,"D2",310,"Custom",0,260))</f>
        <v>0</v>
      </c>
      <c r="P387" s="51">
        <f>IFERROR(IF(OR(M387=0,N387=0),0,(M387+N387)*2+11),0)</f>
        <v>0</v>
      </c>
      <c r="Q387" s="51">
        <f>IFERROR(IF(OR(N387=0,O387=0),0,(N387+O387)-16),0)</f>
        <v>0</v>
      </c>
      <c r="R387" s="53">
        <f>P387*Q387/1000000</f>
        <v>0</v>
      </c>
      <c r="S387" s="123">
        <f>IFERROR(VLOOKUP(L387,'[3]Carton Sizes Chart'!$A$4:$E$15,5,FALSE),0)</f>
        <v>0</v>
      </c>
      <c r="T387" s="124">
        <f>S387</f>
        <v>0</v>
      </c>
      <c r="U387" s="124">
        <f>I387*T387</f>
        <v>0</v>
      </c>
      <c r="V387" s="123">
        <f>((T387*I387)-W387)*4%</f>
        <v>0</v>
      </c>
      <c r="W387" s="124">
        <f>S387*I387*5%</f>
        <v>0</v>
      </c>
    </row>
    <row r="388" spans="1:23">
      <c r="A388" s="118"/>
      <c r="B388" s="118"/>
      <c r="C388" s="119"/>
      <c r="D388" s="118"/>
      <c r="E388" s="118"/>
      <c r="F388" s="118"/>
      <c r="G388" s="119"/>
      <c r="H388" s="119"/>
      <c r="I388" s="119"/>
      <c r="J388" s="119" t="s">
        <v>95</v>
      </c>
      <c r="K388" s="119" t="s">
        <v>110</v>
      </c>
      <c r="L388" s="119" t="s">
        <v>123</v>
      </c>
      <c r="M388" s="51" cm="1">
        <f t="array" ref="M388">IF(L388="",0,_xlfn.SWITCH(L388,"A1",495,"A2",495,"A3",495,"Custom",0,595))</f>
        <v>0</v>
      </c>
      <c r="N388" s="51" cm="1">
        <f t="array" ref="N388">IF(L388="",0,_xlfn.SWITCH(L388,"C1",325,"C2",325,"C3",325,"D1",380,"D2",380,"D3",380,"Custom",0,285))</f>
        <v>0</v>
      </c>
      <c r="O388" s="51">
        <f>IF(L388="",0,_xlfn.SWITCH(L388,"A1",375,"B1",375,"C1",375,"D1",375,"A2",310,"B2",310,"C2",310,"D2",310,"Custom",0,260))</f>
        <v>0</v>
      </c>
      <c r="P388" s="51">
        <f>IFERROR(IF(OR(M388=0,N388=0),0,(M388+N388)*2+11),0)</f>
        <v>0</v>
      </c>
      <c r="Q388" s="51">
        <f>IFERROR(IF(OR(N388=0,O388=0),0,(N388+O388)-16),0)</f>
        <v>0</v>
      </c>
      <c r="R388" s="53">
        <f>P388*Q388/1000000</f>
        <v>0</v>
      </c>
      <c r="S388" s="123">
        <f>IFERROR(VLOOKUP(L388,'[3]Carton Sizes Chart'!$A$4:$E$15,5,FALSE),0)</f>
        <v>0</v>
      </c>
      <c r="T388" s="124">
        <f>S388</f>
        <v>0</v>
      </c>
      <c r="U388" s="124">
        <f>I388*T388</f>
        <v>0</v>
      </c>
      <c r="V388" s="123">
        <f>((T388*I388)-W388)*4%</f>
        <v>0</v>
      </c>
      <c r="W388" s="124">
        <f>S388*I388*5%</f>
        <v>0</v>
      </c>
    </row>
    <row r="389" spans="1:23">
      <c r="A389" s="118"/>
      <c r="B389" s="118"/>
      <c r="C389" s="119"/>
      <c r="D389" s="118"/>
      <c r="E389" s="118"/>
      <c r="F389" s="118"/>
      <c r="G389" s="119"/>
      <c r="H389" s="119"/>
      <c r="I389" s="119"/>
      <c r="J389" s="119" t="s">
        <v>95</v>
      </c>
      <c r="K389" s="119" t="s">
        <v>110</v>
      </c>
      <c r="L389" s="119" t="s">
        <v>123</v>
      </c>
      <c r="M389" s="51" cm="1">
        <f t="array" ref="M389">IF(L389="",0,_xlfn.SWITCH(L389,"A1",495,"A2",495,"A3",495,"Custom",0,595))</f>
        <v>0</v>
      </c>
      <c r="N389" s="51" cm="1">
        <f t="array" ref="N389">IF(L389="",0,_xlfn.SWITCH(L389,"C1",325,"C2",325,"C3",325,"D1",380,"D2",380,"D3",380,"Custom",0,285))</f>
        <v>0</v>
      </c>
      <c r="O389" s="51">
        <f>IF(L389="",0,_xlfn.SWITCH(L389,"A1",375,"B1",375,"C1",375,"D1",375,"A2",310,"B2",310,"C2",310,"D2",310,"Custom",0,260))</f>
        <v>0</v>
      </c>
      <c r="P389" s="51">
        <f>IFERROR(IF(OR(M389=0,N389=0),0,(M389+N389)*2+11),0)</f>
        <v>0</v>
      </c>
      <c r="Q389" s="51">
        <f>IFERROR(IF(OR(N389=0,O389=0),0,(N389+O389)-16),0)</f>
        <v>0</v>
      </c>
      <c r="R389" s="53">
        <f>P389*Q389/1000000</f>
        <v>0</v>
      </c>
      <c r="S389" s="129">
        <f>IF(L389="Custom", R389*'[1]RFQ_Matalan Carton'!$M$40, IFERROR(VLOOKUP(L389,'[1]Carton Sizes Chart'!$A$4:$E$15,5,FALSE),0))</f>
        <v>0</v>
      </c>
      <c r="T389" s="124">
        <f>S389</f>
        <v>0</v>
      </c>
      <c r="U389" s="124">
        <f>I389*T389</f>
        <v>0</v>
      </c>
      <c r="V389" s="123">
        <f>((T389*I389)-W389)*4%</f>
        <v>0</v>
      </c>
      <c r="W389" s="124">
        <f>S389*I389*5%</f>
        <v>0</v>
      </c>
    </row>
    <row r="390" spans="1:23">
      <c r="A390" s="118"/>
      <c r="B390" s="118"/>
      <c r="C390" s="119"/>
      <c r="D390" s="118"/>
      <c r="E390" s="118"/>
      <c r="F390" s="118"/>
      <c r="G390" s="119"/>
      <c r="H390" s="119"/>
      <c r="I390" s="119"/>
      <c r="J390" s="119" t="s">
        <v>95</v>
      </c>
      <c r="K390" s="119" t="s">
        <v>110</v>
      </c>
      <c r="L390" s="119" t="s">
        <v>123</v>
      </c>
      <c r="M390" s="51" cm="1">
        <f t="array" ref="M390">IF(L390="",0,_xlfn.SWITCH(L390,"A1",495,"A2",495,"A3",495,"Custom",0,595))</f>
        <v>0</v>
      </c>
      <c r="N390" s="51" cm="1">
        <f t="array" ref="N390">IF(L390="",0,_xlfn.SWITCH(L390,"C1",325,"C2",325,"C3",325,"D1",380,"D2",380,"D3",380,"Custom",0,285))</f>
        <v>0</v>
      </c>
      <c r="O390" s="51">
        <f>IF(L390="",0,_xlfn.SWITCH(L390,"A1",375,"B1",375,"C1",375,"D1",375,"A2",310,"B2",310,"C2",310,"D2",310,"Custom",0,260))</f>
        <v>0</v>
      </c>
      <c r="P390" s="51">
        <f>IFERROR(IF(OR(M390=0,N390=0),0,(M390+N390)*2+11),0)</f>
        <v>0</v>
      </c>
      <c r="Q390" s="51">
        <f>IFERROR(IF(OR(N390=0,O390=0),0,(N390+O390)-16),0)</f>
        <v>0</v>
      </c>
      <c r="R390" s="53">
        <f>P390*Q390/1000000</f>
        <v>0</v>
      </c>
      <c r="S390" s="129">
        <f>IF(L390="Custom", R390*'[1]RFQ_Matalan Carton'!$M$40, IFERROR(VLOOKUP(L390,'[1]Carton Sizes Chart'!$A$4:$E$15,5,FALSE),0))</f>
        <v>0</v>
      </c>
      <c r="T390" s="124">
        <f>S390</f>
        <v>0</v>
      </c>
      <c r="U390" s="124">
        <f>I390*T390</f>
        <v>0</v>
      </c>
      <c r="V390" s="123">
        <f>((T390*I390)-W390)*4%</f>
        <v>0</v>
      </c>
      <c r="W390" s="124">
        <f>S390*I390*5%</f>
        <v>0</v>
      </c>
    </row>
    <row r="391" spans="1:23">
      <c r="A391" s="118"/>
      <c r="B391" s="118"/>
      <c r="C391" s="119"/>
      <c r="D391" s="118"/>
      <c r="E391" s="118"/>
      <c r="F391" s="118"/>
      <c r="G391" s="119"/>
      <c r="H391" s="119"/>
      <c r="I391" s="119"/>
      <c r="J391" s="119" t="s">
        <v>95</v>
      </c>
      <c r="K391" s="119" t="s">
        <v>110</v>
      </c>
      <c r="L391" s="119" t="s">
        <v>123</v>
      </c>
      <c r="M391" s="51" cm="1">
        <f t="array" ref="M391">IF(L391="",0,_xlfn.SWITCH(L391,"A1",495,"A2",495,"A3",495,"Custom",0,595))</f>
        <v>0</v>
      </c>
      <c r="N391" s="51" cm="1">
        <f t="array" ref="N391">IF(L391="",0,_xlfn.SWITCH(L391,"C1",325,"C2",325,"C3",325,"D1",380,"D2",380,"D3",380,"Custom",0,285))</f>
        <v>0</v>
      </c>
      <c r="O391" s="51">
        <f>IF(L391="",0,_xlfn.SWITCH(L391,"A1",375,"B1",375,"C1",375,"D1",375,"A2",310,"B2",310,"C2",310,"D2",310,"Custom",0,260))</f>
        <v>0</v>
      </c>
      <c r="P391" s="51">
        <f>IFERROR(IF(OR(M391=0,N391=0),0,(M391+N391)*2+11),0)</f>
        <v>0</v>
      </c>
      <c r="Q391" s="51">
        <f>IFERROR(IF(OR(N391=0,O391=0),0,(N391+O391)-16),0)</f>
        <v>0</v>
      </c>
      <c r="R391" s="53">
        <f>P391*Q391/1000000</f>
        <v>0</v>
      </c>
      <c r="S391" s="129">
        <f>IF(L391="Custom", R391*'[1]RFQ_Matalan Carton'!$M$40, IFERROR(VLOOKUP(L391,'[1]Carton Sizes Chart'!$A$4:$E$15,5,FALSE),0))</f>
        <v>0</v>
      </c>
      <c r="T391" s="124">
        <f>S391</f>
        <v>0</v>
      </c>
      <c r="U391" s="124">
        <f>I391*T391</f>
        <v>0</v>
      </c>
      <c r="V391" s="123">
        <f>((T391*I391)-W391)*4%</f>
        <v>0</v>
      </c>
      <c r="W391" s="124">
        <f>S391*I391*5%</f>
        <v>0</v>
      </c>
    </row>
    <row r="392" spans="1:23">
      <c r="A392" s="118"/>
      <c r="B392" s="118"/>
      <c r="C392" s="119"/>
      <c r="D392" s="118"/>
      <c r="E392" s="118"/>
      <c r="F392" s="118"/>
      <c r="G392" s="119"/>
      <c r="H392" s="119"/>
      <c r="I392" s="119"/>
      <c r="J392" s="119" t="s">
        <v>95</v>
      </c>
      <c r="K392" s="119" t="s">
        <v>110</v>
      </c>
      <c r="L392" s="119" t="s">
        <v>123</v>
      </c>
      <c r="M392" s="51" cm="1">
        <f t="array" ref="M392">IF(L392="",0,_xlfn.SWITCH(L392,"A1",495,"A2",495,"A3",495,"Custom",0,595))</f>
        <v>0</v>
      </c>
      <c r="N392" s="51" cm="1">
        <f t="array" ref="N392">IF(L392="",0,_xlfn.SWITCH(L392,"C1",325,"C2",325,"C3",325,"D1",380,"D2",380,"D3",380,"Custom",0,285))</f>
        <v>0</v>
      </c>
      <c r="O392" s="51">
        <f>IF(L392="",0,_xlfn.SWITCH(L392,"A1",375,"B1",375,"C1",375,"D1",375,"A2",310,"B2",310,"C2",310,"D2",310,"Custom",0,260))</f>
        <v>0</v>
      </c>
      <c r="P392" s="51">
        <f>IFERROR(IF(OR(M392=0,N392=0),0,(M392+N392)*2+11),0)</f>
        <v>0</v>
      </c>
      <c r="Q392" s="51">
        <f>IFERROR(IF(OR(N392=0,O392=0),0,(N392+O392)-16),0)</f>
        <v>0</v>
      </c>
      <c r="R392" s="53">
        <f>P392*Q392/1000000</f>
        <v>0</v>
      </c>
      <c r="S392" s="123">
        <f>IFERROR(VLOOKUP(L392,'[3]Carton Sizes Chart'!$A$4:$E$15,5,FALSE),0)</f>
        <v>0</v>
      </c>
      <c r="T392" s="124">
        <f>S392</f>
        <v>0</v>
      </c>
      <c r="U392" s="124">
        <f>I392*T392</f>
        <v>0</v>
      </c>
      <c r="V392" s="123">
        <f>((T392*I392)-W392)*4%</f>
        <v>0</v>
      </c>
      <c r="W392" s="124">
        <f>S392*I392*5%</f>
        <v>0</v>
      </c>
    </row>
    <row r="393" spans="1:23">
      <c r="A393" s="118"/>
      <c r="B393" s="118"/>
      <c r="C393" s="119"/>
      <c r="D393" s="118"/>
      <c r="E393" s="118"/>
      <c r="F393" s="118"/>
      <c r="G393" s="119"/>
      <c r="H393" s="119"/>
      <c r="I393" s="119"/>
      <c r="J393" s="119" t="s">
        <v>95</v>
      </c>
      <c r="K393" s="119" t="s">
        <v>110</v>
      </c>
      <c r="L393" s="119" t="s">
        <v>123</v>
      </c>
      <c r="M393" s="51" cm="1">
        <f t="array" ref="M393">IF(L393="",0,_xlfn.SWITCH(L393,"A1",495,"A2",495,"A3",495,"Custom",0,595))</f>
        <v>0</v>
      </c>
      <c r="N393" s="51" cm="1">
        <f t="array" ref="N393">IF(L393="",0,_xlfn.SWITCH(L393,"C1",325,"C2",325,"C3",325,"D1",380,"D2",380,"D3",380,"Custom",0,285))</f>
        <v>0</v>
      </c>
      <c r="O393" s="51">
        <f>IF(L393="",0,_xlfn.SWITCH(L393,"A1",375,"B1",375,"C1",375,"D1",375,"A2",310,"B2",310,"C2",310,"D2",310,"Custom",0,260))</f>
        <v>0</v>
      </c>
      <c r="P393" s="51">
        <f>IFERROR(IF(OR(M393=0,N393=0),0,(M393+N393)*2+11),0)</f>
        <v>0</v>
      </c>
      <c r="Q393" s="51">
        <f>IFERROR(IF(OR(N393=0,O393=0),0,(N393+O393)-16),0)</f>
        <v>0</v>
      </c>
      <c r="R393" s="53">
        <f>P393*Q393/1000000</f>
        <v>0</v>
      </c>
      <c r="S393" s="123">
        <f>IFERROR(VLOOKUP(L393,'[3]Carton Sizes Chart'!$A$4:$E$15,5,FALSE),0)</f>
        <v>0</v>
      </c>
      <c r="T393" s="124">
        <f>S393</f>
        <v>0</v>
      </c>
      <c r="U393" s="124">
        <f>I393*T393</f>
        <v>0</v>
      </c>
      <c r="V393" s="123">
        <f>((T393*I393)-W393)*4%</f>
        <v>0</v>
      </c>
      <c r="W393" s="124">
        <f>S393*I393*5%</f>
        <v>0</v>
      </c>
    </row>
    <row r="394" spans="1:23">
      <c r="A394" s="118"/>
      <c r="B394" s="118"/>
      <c r="C394" s="119"/>
      <c r="D394" s="118"/>
      <c r="E394" s="118"/>
      <c r="F394" s="118"/>
      <c r="G394" s="119"/>
      <c r="H394" s="119"/>
      <c r="I394" s="119"/>
      <c r="J394" s="119" t="s">
        <v>95</v>
      </c>
      <c r="K394" s="119" t="s">
        <v>110</v>
      </c>
      <c r="L394" s="119" t="s">
        <v>123</v>
      </c>
      <c r="M394" s="51" cm="1">
        <f t="array" ref="M394">IF(L394="",0,_xlfn.SWITCH(L394,"A1",495,"A2",495,"A3",495,"Custom",0,595))</f>
        <v>0</v>
      </c>
      <c r="N394" s="51" cm="1">
        <f t="array" ref="N394">IF(L394="",0,_xlfn.SWITCH(L394,"C1",325,"C2",325,"C3",325,"D1",380,"D2",380,"D3",380,"Custom",0,285))</f>
        <v>0</v>
      </c>
      <c r="O394" s="51">
        <f>IF(L394="",0,_xlfn.SWITCH(L394,"A1",375,"B1",375,"C1",375,"D1",375,"A2",310,"B2",310,"C2",310,"D2",310,"Custom",0,260))</f>
        <v>0</v>
      </c>
      <c r="P394" s="51">
        <f>IFERROR(IF(OR(M394=0,N394=0),0,(M394+N394)*2+11),0)</f>
        <v>0</v>
      </c>
      <c r="Q394" s="51">
        <f>IFERROR(IF(OR(N394=0,O394=0),0,(N394+O394)-16),0)</f>
        <v>0</v>
      </c>
      <c r="R394" s="53">
        <f>P394*Q394/1000000</f>
        <v>0</v>
      </c>
      <c r="S394" s="123">
        <f>IFERROR(VLOOKUP(L394,'[4]Carton Sizes Chart'!$A$4:$E$15,5,FALSE),0)</f>
        <v>0</v>
      </c>
      <c r="T394" s="124">
        <f>S394</f>
        <v>0</v>
      </c>
      <c r="U394" s="124">
        <f>I394*T394</f>
        <v>0</v>
      </c>
      <c r="V394" s="123">
        <f>((T394*I394)-W394)*4%</f>
        <v>0</v>
      </c>
      <c r="W394" s="124">
        <f>S394*I394*5%</f>
        <v>0</v>
      </c>
    </row>
    <row r="395" spans="1:23">
      <c r="A395" s="118"/>
      <c r="B395" s="118"/>
      <c r="C395" s="119"/>
      <c r="D395" s="118"/>
      <c r="E395" s="118"/>
      <c r="F395" s="118"/>
      <c r="G395" s="119"/>
      <c r="H395" s="119"/>
      <c r="I395" s="119"/>
      <c r="J395" s="119" t="s">
        <v>95</v>
      </c>
      <c r="K395" s="119" t="s">
        <v>110</v>
      </c>
      <c r="L395" s="119" t="s">
        <v>123</v>
      </c>
      <c r="M395" s="51" cm="1">
        <f t="array" ref="M395">IF(L395="",0,_xlfn.SWITCH(L395,"A1",495,"A2",495,"A3",495,"Custom",0,595))</f>
        <v>0</v>
      </c>
      <c r="N395" s="51" cm="1">
        <f t="array" ref="N395">IF(L395="",0,_xlfn.SWITCH(L395,"C1",325,"C2",325,"C3",325,"D1",380,"D2",380,"D3",380,"Custom",0,285))</f>
        <v>0</v>
      </c>
      <c r="O395" s="51">
        <f>IF(L395="",0,_xlfn.SWITCH(L395,"A1",375,"B1",375,"C1",375,"D1",375,"A2",310,"B2",310,"C2",310,"D2",310,"Custom",0,260))</f>
        <v>0</v>
      </c>
      <c r="P395" s="51">
        <f>IFERROR(IF(OR(M395=0,N395=0),0,(M395+N395)*2+11),0)</f>
        <v>0</v>
      </c>
      <c r="Q395" s="51">
        <f>IFERROR(IF(OR(N395=0,O395=0),0,(N395+O395)-16),0)</f>
        <v>0</v>
      </c>
      <c r="R395" s="53">
        <f>P395*Q395/1000000</f>
        <v>0</v>
      </c>
      <c r="S395" s="123">
        <f>IFERROR(VLOOKUP(L395,'[4]Carton Sizes Chart'!$A$4:$E$15,5,FALSE),0)</f>
        <v>0</v>
      </c>
      <c r="T395" s="124">
        <f>S395</f>
        <v>0</v>
      </c>
      <c r="U395" s="124">
        <f>I395*T395</f>
        <v>0</v>
      </c>
      <c r="V395" s="123">
        <f>((T395*I395)-W395)*4%</f>
        <v>0</v>
      </c>
      <c r="W395" s="124">
        <f>S395*I395*5%</f>
        <v>0</v>
      </c>
    </row>
    <row r="396" spans="1:23">
      <c r="A396" s="118"/>
      <c r="B396" s="118"/>
      <c r="C396" s="119"/>
      <c r="D396" s="118"/>
      <c r="E396" s="118"/>
      <c r="F396" s="118"/>
      <c r="G396" s="119"/>
      <c r="H396" s="119"/>
      <c r="I396" s="119"/>
      <c r="J396" s="119" t="s">
        <v>95</v>
      </c>
      <c r="K396" s="119" t="s">
        <v>110</v>
      </c>
      <c r="L396" s="119" t="s">
        <v>123</v>
      </c>
      <c r="M396" s="51" cm="1">
        <f t="array" ref="M396">IF(L396="",0,_xlfn.SWITCH(L396,"A1",495,"A2",495,"A3",495,"Custom",0,595))</f>
        <v>0</v>
      </c>
      <c r="N396" s="51" cm="1">
        <f t="array" ref="N396">IF(L396="",0,_xlfn.SWITCH(L396,"C1",325,"C2",325,"C3",325,"D1",380,"D2",380,"D3",380,"Custom",0,285))</f>
        <v>0</v>
      </c>
      <c r="O396" s="51">
        <f>IF(L396="",0,_xlfn.SWITCH(L396,"A1",375,"B1",375,"C1",375,"D1",375,"A2",310,"B2",310,"C2",310,"D2",310,"Custom",0,260))</f>
        <v>0</v>
      </c>
      <c r="P396" s="51">
        <f>IFERROR(IF(OR(M396=0,N396=0),0,(M396+N396)*2+11),0)</f>
        <v>0</v>
      </c>
      <c r="Q396" s="51">
        <f>IFERROR(IF(OR(N396=0,O396=0),0,(N396+O396)-16),0)</f>
        <v>0</v>
      </c>
      <c r="R396" s="53">
        <f>P396*Q396/1000000</f>
        <v>0</v>
      </c>
      <c r="S396" s="123">
        <f>IFERROR(VLOOKUP(L396,'[4]Carton Sizes Chart'!$A$4:$E$15,5,FALSE),0)</f>
        <v>0</v>
      </c>
      <c r="T396" s="124">
        <f>S396</f>
        <v>0</v>
      </c>
      <c r="U396" s="124">
        <f>I396*T396</f>
        <v>0</v>
      </c>
      <c r="V396" s="123">
        <f>((T396*I396)-W396)*4%</f>
        <v>0</v>
      </c>
      <c r="W396" s="124">
        <f>S396*I396*5%</f>
        <v>0</v>
      </c>
    </row>
    <row r="397" spans="1:23">
      <c r="A397" s="118"/>
      <c r="B397" s="118"/>
      <c r="C397" s="119"/>
      <c r="D397" s="118"/>
      <c r="E397" s="118"/>
      <c r="F397" s="118"/>
      <c r="G397" s="119"/>
      <c r="H397" s="119"/>
      <c r="I397" s="119"/>
      <c r="J397" s="119" t="s">
        <v>95</v>
      </c>
      <c r="K397" s="119" t="s">
        <v>110</v>
      </c>
      <c r="L397" s="119" t="s">
        <v>123</v>
      </c>
      <c r="M397" s="51" cm="1">
        <f t="array" ref="M397">IF(L397="",0,_xlfn.SWITCH(L397,"A1",495,"A2",495,"A3",495,"Custom",0,595))</f>
        <v>0</v>
      </c>
      <c r="N397" s="51" cm="1">
        <f t="array" ref="N397">IF(L397="",0,_xlfn.SWITCH(L397,"C1",325,"C2",325,"C3",325,"D1",380,"D2",380,"D3",380,"Custom",0,285))</f>
        <v>0</v>
      </c>
      <c r="O397" s="51">
        <f>IF(L397="",0,_xlfn.SWITCH(L397,"A1",375,"B1",375,"C1",375,"D1",375,"A2",310,"B2",310,"C2",310,"D2",310,"Custom",0,260))</f>
        <v>0</v>
      </c>
      <c r="P397" s="51">
        <f>IFERROR(IF(OR(M397=0,N397=0),0,(M397+N397)*2+11),0)</f>
        <v>0</v>
      </c>
      <c r="Q397" s="51">
        <f>IFERROR(IF(OR(N397=0,O397=0),0,(N397+O397)-16),0)</f>
        <v>0</v>
      </c>
      <c r="R397" s="53">
        <f>P397*Q397/1000000</f>
        <v>0</v>
      </c>
      <c r="S397" s="123">
        <f>IFERROR(VLOOKUP(L397,'[4]Carton Sizes Chart'!$A$4:$E$15,5,FALSE),0)</f>
        <v>0</v>
      </c>
      <c r="T397" s="124">
        <f>S397</f>
        <v>0</v>
      </c>
      <c r="U397" s="124">
        <f>I397*T397</f>
        <v>0</v>
      </c>
      <c r="V397" s="123">
        <f>((T397*I397)-W397)*4%</f>
        <v>0</v>
      </c>
      <c r="W397" s="124">
        <f>S397*I397*5%</f>
        <v>0</v>
      </c>
    </row>
    <row r="398" spans="1:23">
      <c r="A398" s="118"/>
      <c r="B398" s="118"/>
      <c r="C398" s="119"/>
      <c r="D398" s="118"/>
      <c r="E398" s="118"/>
      <c r="F398" s="118"/>
      <c r="G398" s="119"/>
      <c r="H398" s="119"/>
      <c r="I398" s="119"/>
      <c r="J398" s="119" t="s">
        <v>95</v>
      </c>
      <c r="K398" s="119" t="s">
        <v>110</v>
      </c>
      <c r="L398" s="119" t="s">
        <v>123</v>
      </c>
      <c r="M398" s="51" cm="1">
        <f t="array" ref="M398">IF(L398="",0,_xlfn.SWITCH(L398,"A1",495,"A2",495,"A3",495,"Custom",0,595))</f>
        <v>0</v>
      </c>
      <c r="N398" s="51" cm="1">
        <f t="array" ref="N398">IF(L398="",0,_xlfn.SWITCH(L398,"C1",325,"C2",325,"C3",325,"D1",380,"D2",380,"D3",380,"Custom",0,285))</f>
        <v>0</v>
      </c>
      <c r="O398" s="51">
        <f>IF(L398="",0,_xlfn.SWITCH(L398,"A1",375,"B1",375,"C1",375,"D1",375,"A2",310,"B2",310,"C2",310,"D2",310,"Custom",0,260))</f>
        <v>0</v>
      </c>
      <c r="P398" s="51">
        <f>IFERROR(IF(OR(M398=0,N398=0),0,(M398+N398)*2+11),0)</f>
        <v>0</v>
      </c>
      <c r="Q398" s="51">
        <f>IFERROR(IF(OR(N398=0,O398=0),0,(N398+O398)-16),0)</f>
        <v>0</v>
      </c>
      <c r="R398" s="53">
        <f>P398*Q398/1000000</f>
        <v>0</v>
      </c>
      <c r="S398" s="123">
        <f>IFERROR(VLOOKUP(L398,'[4]Carton Sizes Chart'!$A$4:$E$15,5,FALSE),0)</f>
        <v>0</v>
      </c>
      <c r="T398" s="124">
        <f>S398</f>
        <v>0</v>
      </c>
      <c r="U398" s="124">
        <f>I398*T398</f>
        <v>0</v>
      </c>
      <c r="V398" s="123">
        <f>((T398*I398)-W398)*4%</f>
        <v>0</v>
      </c>
      <c r="W398" s="124">
        <f>S398*I398*5%</f>
        <v>0</v>
      </c>
    </row>
    <row r="399" spans="1:23">
      <c r="A399" s="118"/>
      <c r="B399" s="118"/>
      <c r="C399" s="119"/>
      <c r="D399" s="118"/>
      <c r="E399" s="118"/>
      <c r="F399" s="118"/>
      <c r="G399" s="119"/>
      <c r="H399" s="119"/>
      <c r="I399" s="119"/>
      <c r="J399" s="119" t="s">
        <v>95</v>
      </c>
      <c r="K399" s="119" t="s">
        <v>110</v>
      </c>
      <c r="L399" s="119" t="s">
        <v>123</v>
      </c>
      <c r="M399" s="51" cm="1">
        <f t="array" ref="M399">IF(L399="",0,_xlfn.SWITCH(L399,"A1",495,"A2",495,"A3",495,"Custom",0,595))</f>
        <v>0</v>
      </c>
      <c r="N399" s="51" cm="1">
        <f t="array" ref="N399">IF(L399="",0,_xlfn.SWITCH(L399,"C1",325,"C2",325,"C3",325,"D1",380,"D2",380,"D3",380,"Custom",0,285))</f>
        <v>0</v>
      </c>
      <c r="O399" s="51">
        <f>IF(L399="",0,_xlfn.SWITCH(L399,"A1",375,"B1",375,"C1",375,"D1",375,"A2",310,"B2",310,"C2",310,"D2",310,"Custom",0,260))</f>
        <v>0</v>
      </c>
      <c r="P399" s="51">
        <f>IFERROR(IF(OR(M399=0,N399=0),0,(M399+N399)*2+11),0)</f>
        <v>0</v>
      </c>
      <c r="Q399" s="51">
        <f>IFERROR(IF(OR(N399=0,O399=0),0,(N399+O399)-16),0)</f>
        <v>0</v>
      </c>
      <c r="R399" s="53">
        <f>P399*Q399/1000000</f>
        <v>0</v>
      </c>
      <c r="S399" s="123">
        <f>IFERROR(VLOOKUP(L399,'[4]Carton Sizes Chart'!$A$4:$E$15,5,FALSE),0)</f>
        <v>0</v>
      </c>
      <c r="T399" s="124">
        <f>S399</f>
        <v>0</v>
      </c>
      <c r="U399" s="124">
        <f>I399*T399</f>
        <v>0</v>
      </c>
      <c r="V399" s="123">
        <f>((T399*I399)-W399)*4%</f>
        <v>0</v>
      </c>
      <c r="W399" s="124">
        <f>S399*I399*5%</f>
        <v>0</v>
      </c>
    </row>
    <row r="400" spans="1:23">
      <c r="A400" s="118"/>
      <c r="B400" s="118"/>
      <c r="C400" s="119"/>
      <c r="D400" s="118"/>
      <c r="E400" s="118"/>
      <c r="F400" s="118"/>
      <c r="G400" s="119"/>
      <c r="H400" s="119"/>
      <c r="I400" s="119"/>
      <c r="J400" s="119" t="s">
        <v>95</v>
      </c>
      <c r="K400" s="119" t="s">
        <v>110</v>
      </c>
      <c r="L400" s="119" t="s">
        <v>123</v>
      </c>
      <c r="M400" s="51" cm="1">
        <f t="array" ref="M400">IF(L400="",0,_xlfn.SWITCH(L400,"A1",495,"A2",495,"A3",495,"Custom",0,595))</f>
        <v>0</v>
      </c>
      <c r="N400" s="51" cm="1">
        <f t="array" ref="N400">IF(L400="",0,_xlfn.SWITCH(L400,"C1",325,"C2",325,"C3",325,"D1",380,"D2",380,"D3",380,"Custom",0,285))</f>
        <v>0</v>
      </c>
      <c r="O400" s="51">
        <f>IF(L400="",0,_xlfn.SWITCH(L400,"A1",375,"B1",375,"C1",375,"D1",375,"A2",310,"B2",310,"C2",310,"D2",310,"Custom",0,260))</f>
        <v>0</v>
      </c>
      <c r="P400" s="51">
        <f>IFERROR(IF(OR(M400=0,N400=0),0,(M400+N400)*2+11),0)</f>
        <v>0</v>
      </c>
      <c r="Q400" s="51">
        <f>IFERROR(IF(OR(N400=0,O400=0),0,(N400+O400)-16),0)</f>
        <v>0</v>
      </c>
      <c r="R400" s="53">
        <f>P400*Q400/1000000</f>
        <v>0</v>
      </c>
      <c r="S400" s="123">
        <f>IFERROR(VLOOKUP(L400,'[4]Carton Sizes Chart'!$A$4:$E$15,5,FALSE),0)</f>
        <v>0</v>
      </c>
      <c r="T400" s="124">
        <f>S400</f>
        <v>0</v>
      </c>
      <c r="U400" s="124">
        <f>I400*T400</f>
        <v>0</v>
      </c>
      <c r="V400" s="123">
        <f>((T400*I400)-W400)*4%</f>
        <v>0</v>
      </c>
      <c r="W400" s="124">
        <f>S400*I400*5%</f>
        <v>0</v>
      </c>
    </row>
    <row r="401" spans="1:23">
      <c r="A401" s="118"/>
      <c r="B401" s="118"/>
      <c r="C401" s="119"/>
      <c r="D401" s="118"/>
      <c r="E401" s="118"/>
      <c r="F401" s="118"/>
      <c r="G401" s="119"/>
      <c r="H401" s="119"/>
      <c r="I401" s="119"/>
      <c r="J401" s="119" t="s">
        <v>95</v>
      </c>
      <c r="K401" s="119" t="s">
        <v>110</v>
      </c>
      <c r="L401" s="119" t="s">
        <v>123</v>
      </c>
      <c r="M401" s="51" cm="1">
        <f t="array" ref="M401">IF(L401="",0,_xlfn.SWITCH(L401,"A1",495,"A2",495,"A3",495,"Custom",0,595))</f>
        <v>0</v>
      </c>
      <c r="N401" s="51" cm="1">
        <f t="array" ref="N401">IF(L401="",0,_xlfn.SWITCH(L401,"C1",325,"C2",325,"C3",325,"D1",380,"D2",380,"D3",380,"Custom",0,285))</f>
        <v>0</v>
      </c>
      <c r="O401" s="51">
        <f>IF(L401="",0,_xlfn.SWITCH(L401,"A1",375,"B1",375,"C1",375,"D1",375,"A2",310,"B2",310,"C2",310,"D2",310,"Custom",0,260))</f>
        <v>0</v>
      </c>
      <c r="P401" s="51">
        <f>IFERROR(IF(OR(M401=0,N401=0),0,(M401+N401)*2+11),0)</f>
        <v>0</v>
      </c>
      <c r="Q401" s="51">
        <f>IFERROR(IF(OR(N401=0,O401=0),0,(N401+O401)-16),0)</f>
        <v>0</v>
      </c>
      <c r="R401" s="53">
        <f>P401*Q401/1000000</f>
        <v>0</v>
      </c>
      <c r="S401" s="123">
        <f>IFERROR(VLOOKUP(L401,'[4]Carton Sizes Chart'!$A$4:$E$15,5,FALSE),0)</f>
        <v>0</v>
      </c>
      <c r="T401" s="124">
        <f>S401</f>
        <v>0</v>
      </c>
      <c r="U401" s="124">
        <f>I401*T401</f>
        <v>0</v>
      </c>
      <c r="V401" s="123">
        <f>((T401*I401)-W401)*4%</f>
        <v>0</v>
      </c>
      <c r="W401" s="124">
        <f>S401*I401*5%</f>
        <v>0</v>
      </c>
    </row>
    <row r="402" spans="1:23">
      <c r="A402" s="118"/>
      <c r="B402" s="118"/>
      <c r="C402" s="119"/>
      <c r="D402" s="118"/>
      <c r="E402" s="118"/>
      <c r="F402" s="118"/>
      <c r="G402" s="119"/>
      <c r="H402" s="119"/>
      <c r="I402" s="119"/>
      <c r="J402" s="119" t="s">
        <v>95</v>
      </c>
      <c r="K402" s="119" t="s">
        <v>110</v>
      </c>
      <c r="L402" s="119" t="s">
        <v>123</v>
      </c>
      <c r="M402" s="51" cm="1">
        <f t="array" ref="M402">IF(L402="",0,_xlfn.SWITCH(L402,"A1",495,"A2",495,"A3",495,"Custom",0,595))</f>
        <v>0</v>
      </c>
      <c r="N402" s="51" cm="1">
        <f t="array" ref="N402">IF(L402="",0,_xlfn.SWITCH(L402,"C1",325,"C2",325,"C3",325,"D1",380,"D2",380,"D3",380,"Custom",0,285))</f>
        <v>0</v>
      </c>
      <c r="O402" s="51">
        <f>IF(L402="",0,_xlfn.SWITCH(L402,"A1",375,"B1",375,"C1",375,"D1",375,"A2",310,"B2",310,"C2",310,"D2",310,"Custom",0,260))</f>
        <v>0</v>
      </c>
      <c r="P402" s="51">
        <f>IFERROR(IF(OR(M402=0,N402=0),0,(M402+N402)*2+11),0)</f>
        <v>0</v>
      </c>
      <c r="Q402" s="51">
        <f>IFERROR(IF(OR(N402=0,O402=0),0,(N402+O402)-16),0)</f>
        <v>0</v>
      </c>
      <c r="R402" s="53">
        <f>P402*Q402/1000000</f>
        <v>0</v>
      </c>
      <c r="S402" s="123">
        <f>IFERROR(VLOOKUP(L402,'[4]Carton Sizes Chart'!$A$4:$E$15,5,FALSE),0)</f>
        <v>0</v>
      </c>
      <c r="T402" s="124">
        <f>S402</f>
        <v>0</v>
      </c>
      <c r="U402" s="124">
        <f>I402*T402</f>
        <v>0</v>
      </c>
      <c r="V402" s="123">
        <f>((T402*I402)-W402)*4%</f>
        <v>0</v>
      </c>
      <c r="W402" s="124">
        <f>S402*I402*5%</f>
        <v>0</v>
      </c>
    </row>
    <row r="403" spans="1:23">
      <c r="A403" s="118"/>
      <c r="B403" s="118"/>
      <c r="C403" s="119"/>
      <c r="D403" s="118"/>
      <c r="E403" s="118"/>
      <c r="F403" s="118"/>
      <c r="G403" s="119"/>
      <c r="H403" s="119"/>
      <c r="I403" s="119"/>
      <c r="J403" s="119" t="s">
        <v>95</v>
      </c>
      <c r="K403" s="119" t="s">
        <v>110</v>
      </c>
      <c r="L403" s="119" t="s">
        <v>123</v>
      </c>
      <c r="M403" s="51" cm="1">
        <f t="array" ref="M403">IF(L403="",0,_xlfn.SWITCH(L403,"A1",495,"A2",495,"A3",495,"Custom",0,595))</f>
        <v>0</v>
      </c>
      <c r="N403" s="51" cm="1">
        <f t="array" ref="N403">IF(L403="",0,_xlfn.SWITCH(L403,"C1",325,"C2",325,"C3",325,"D1",380,"D2",380,"D3",380,"Custom",0,285))</f>
        <v>0</v>
      </c>
      <c r="O403" s="51">
        <f>IF(L403="",0,_xlfn.SWITCH(L403,"A1",375,"B1",375,"C1",375,"D1",375,"A2",310,"B2",310,"C2",310,"D2",310,"Custom",0,260))</f>
        <v>0</v>
      </c>
      <c r="P403" s="51">
        <f>IFERROR(IF(OR(M403=0,N403=0),0,(M403+N403)*2+11),0)</f>
        <v>0</v>
      </c>
      <c r="Q403" s="51">
        <f>IFERROR(IF(OR(N403=0,O403=0),0,(N403+O403)-16),0)</f>
        <v>0</v>
      </c>
      <c r="R403" s="53">
        <f>P403*Q403/1000000</f>
        <v>0</v>
      </c>
      <c r="S403" s="123">
        <f>IFERROR(VLOOKUP(L403,'[4]Carton Sizes Chart'!$A$4:$E$15,5,FALSE),0)</f>
        <v>0</v>
      </c>
      <c r="T403" s="124">
        <f>S403</f>
        <v>0</v>
      </c>
      <c r="U403" s="124">
        <f>I403*T403</f>
        <v>0</v>
      </c>
      <c r="V403" s="123">
        <f>((T403*I403)-W403)*4%</f>
        <v>0</v>
      </c>
      <c r="W403" s="124">
        <f>S403*I403*5%</f>
        <v>0</v>
      </c>
    </row>
    <row r="404" spans="1:23">
      <c r="A404" s="118"/>
      <c r="B404" s="120"/>
      <c r="C404" s="119"/>
      <c r="D404" s="118"/>
      <c r="E404" s="118"/>
      <c r="F404" s="118"/>
      <c r="G404" s="119"/>
      <c r="H404" s="119"/>
      <c r="I404" s="119"/>
      <c r="J404" s="119" t="s">
        <v>95</v>
      </c>
      <c r="K404" s="119" t="s">
        <v>110</v>
      </c>
      <c r="L404" s="119" t="s">
        <v>123</v>
      </c>
      <c r="M404" s="51" cm="1">
        <f t="array" ref="M404">IF(L404="",0,_xlfn.SWITCH(L404,"A1",495,"A2",495,"A3",495,"Custom",0,595))</f>
        <v>0</v>
      </c>
      <c r="N404" s="51" cm="1">
        <f t="array" ref="N404">IF(L404="",0,_xlfn.SWITCH(L404,"C1",325,"C2",325,"C3",325,"D1",380,"D2",380,"D3",380,"Custom",0,285))</f>
        <v>0</v>
      </c>
      <c r="O404" s="51">
        <f>IF(L404="",0,_xlfn.SWITCH(L404,"A1",375,"B1",375,"C1",375,"D1",375,"A2",310,"B2",310,"C2",310,"D2",310,"Custom",0,260))</f>
        <v>0</v>
      </c>
      <c r="P404" s="51">
        <f>IFERROR(IF(OR(M404=0,N404=0),0,(M404+N404)*2+11),0)</f>
        <v>0</v>
      </c>
      <c r="Q404" s="51">
        <f>IFERROR(IF(OR(N404=0,O404=0),0,(N404+O404)-16),0)</f>
        <v>0</v>
      </c>
      <c r="R404" s="53">
        <f>P404*Q404/1000000</f>
        <v>0</v>
      </c>
      <c r="S404" s="123">
        <f>IFERROR(VLOOKUP(L404,'[4]Carton Sizes Chart'!$A$4:$E$15,5,FALSE),0)</f>
        <v>0</v>
      </c>
      <c r="T404" s="124">
        <f>S404</f>
        <v>0</v>
      </c>
      <c r="U404" s="124">
        <f>I404*T404</f>
        <v>0</v>
      </c>
      <c r="V404" s="123">
        <f>((T404*I404)-W404)*4%</f>
        <v>0</v>
      </c>
      <c r="W404" s="124">
        <f>S404*I404*5%</f>
        <v>0</v>
      </c>
    </row>
    <row r="405" spans="1:23">
      <c r="A405" s="118"/>
      <c r="B405" s="118"/>
      <c r="C405" s="119"/>
      <c r="D405" s="118"/>
      <c r="E405" s="118"/>
      <c r="F405" s="118"/>
      <c r="G405" s="119"/>
      <c r="H405" s="119"/>
      <c r="I405" s="119"/>
      <c r="J405" s="119" t="s">
        <v>95</v>
      </c>
      <c r="K405" s="119" t="s">
        <v>110</v>
      </c>
      <c r="L405" s="119" t="s">
        <v>123</v>
      </c>
      <c r="M405" s="51" cm="1">
        <f t="array" ref="M405">IF(L405="",0,_xlfn.SWITCH(L405,"A1",495,"A2",495,"A3",495,"Custom",0,595))</f>
        <v>0</v>
      </c>
      <c r="N405" s="51" cm="1">
        <f t="array" ref="N405">IF(L405="",0,_xlfn.SWITCH(L405,"C1",325,"C2",325,"C3",325,"D1",380,"D2",380,"D3",380,"Custom",0,285))</f>
        <v>0</v>
      </c>
      <c r="O405" s="51">
        <f>IF(L405="",0,_xlfn.SWITCH(L405,"A1",375,"B1",375,"C1",375,"D1",375,"A2",310,"B2",310,"C2",310,"D2",310,"Custom",0,260))</f>
        <v>0</v>
      </c>
      <c r="P405" s="51">
        <f>IFERROR(IF(OR(M405=0,N405=0),0,(M405+N405)*2+11),0)</f>
        <v>0</v>
      </c>
      <c r="Q405" s="51">
        <f>IFERROR(IF(OR(N405=0,O405=0),0,(N405+O405)-16),0)</f>
        <v>0</v>
      </c>
      <c r="R405" s="53">
        <f>P405*Q405/1000000</f>
        <v>0</v>
      </c>
      <c r="S405" s="123">
        <f>IFERROR(VLOOKUP(L405,'[4]Carton Sizes Chart'!$A$4:$E$15,5,FALSE),0)</f>
        <v>0</v>
      </c>
      <c r="T405" s="124">
        <f>S405</f>
        <v>0</v>
      </c>
      <c r="U405" s="124">
        <f>I405*T405</f>
        <v>0</v>
      </c>
      <c r="V405" s="123">
        <f>((T405*I405)-W405)*4%</f>
        <v>0</v>
      </c>
      <c r="W405" s="124">
        <f>S405*I405*5%</f>
        <v>0</v>
      </c>
    </row>
    <row r="406" spans="1:23">
      <c r="A406" s="118"/>
      <c r="B406" s="118"/>
      <c r="C406" s="119"/>
      <c r="D406" s="118"/>
      <c r="E406" s="118"/>
      <c r="F406" s="118"/>
      <c r="G406" s="119"/>
      <c r="H406" s="119"/>
      <c r="I406" s="119"/>
      <c r="J406" s="119" t="s">
        <v>95</v>
      </c>
      <c r="K406" s="119" t="s">
        <v>110</v>
      </c>
      <c r="L406" s="119" t="s">
        <v>123</v>
      </c>
      <c r="M406" s="51" cm="1">
        <f t="array" ref="M406">IF(L406="",0,_xlfn.SWITCH(L406,"A1",495,"A2",495,"A3",495,"Custom",0,595))</f>
        <v>0</v>
      </c>
      <c r="N406" s="51" cm="1">
        <f t="array" ref="N406">IF(L406="",0,_xlfn.SWITCH(L406,"C1",325,"C2",325,"C3",325,"D1",380,"D2",380,"D3",380,"Custom",0,285))</f>
        <v>0</v>
      </c>
      <c r="O406" s="51">
        <f>IF(L406="",0,_xlfn.SWITCH(L406,"A1",375,"B1",375,"C1",375,"D1",375,"A2",310,"B2",310,"C2",310,"D2",310,"Custom",0,260))</f>
        <v>0</v>
      </c>
      <c r="P406" s="51">
        <f>IFERROR(IF(OR(M406=0,N406=0),0,(M406+N406)*2+11),0)</f>
        <v>0</v>
      </c>
      <c r="Q406" s="51">
        <f>IFERROR(IF(OR(N406=0,O406=0),0,(N406+O406)-16),0)</f>
        <v>0</v>
      </c>
      <c r="R406" s="53">
        <f>P406*Q406/1000000</f>
        <v>0</v>
      </c>
      <c r="S406" s="123">
        <f>IFERROR(VLOOKUP(L406,'[4]Carton Sizes Chart'!$A$4:$E$15,5,FALSE),0)</f>
        <v>0</v>
      </c>
      <c r="T406" s="124">
        <f>S406</f>
        <v>0</v>
      </c>
      <c r="U406" s="124">
        <f>I406*T406</f>
        <v>0</v>
      </c>
      <c r="V406" s="123">
        <f>((T406*I406)-W406)*4%</f>
        <v>0</v>
      </c>
      <c r="W406" s="124">
        <f>S406*I406*5%</f>
        <v>0</v>
      </c>
    </row>
    <row r="407" spans="1:23">
      <c r="A407" s="118"/>
      <c r="B407" s="118"/>
      <c r="C407" s="119"/>
      <c r="D407" s="118"/>
      <c r="E407" s="118"/>
      <c r="F407" s="118"/>
      <c r="G407" s="119"/>
      <c r="H407" s="119"/>
      <c r="I407" s="119"/>
      <c r="J407" s="119" t="s">
        <v>95</v>
      </c>
      <c r="K407" s="119" t="s">
        <v>110</v>
      </c>
      <c r="L407" s="119" t="s">
        <v>123</v>
      </c>
      <c r="M407" s="51" cm="1">
        <f t="array" ref="M407">IF(L407="",0,_xlfn.SWITCH(L407,"A1",495,"A2",495,"A3",495,"Custom",0,595))</f>
        <v>0</v>
      </c>
      <c r="N407" s="51" cm="1">
        <f t="array" ref="N407">IF(L407="",0,_xlfn.SWITCH(L407,"C1",325,"C2",325,"C3",325,"D1",380,"D2",380,"D3",380,"Custom",0,285))</f>
        <v>0</v>
      </c>
      <c r="O407" s="51">
        <f>IF(L407="",0,_xlfn.SWITCH(L407,"A1",375,"B1",375,"C1",375,"D1",375,"A2",310,"B2",310,"C2",310,"D2",310,"Custom",0,260))</f>
        <v>0</v>
      </c>
      <c r="P407" s="51">
        <f>IFERROR(IF(OR(M407=0,N407=0),0,(M407+N407)*2+11),0)</f>
        <v>0</v>
      </c>
      <c r="Q407" s="51">
        <f>IFERROR(IF(OR(N407=0,O407=0),0,(N407+O407)-16),0)</f>
        <v>0</v>
      </c>
      <c r="R407" s="53">
        <f>P407*Q407/1000000</f>
        <v>0</v>
      </c>
      <c r="S407" s="123">
        <f>IFERROR(VLOOKUP(L407,'[4]Carton Sizes Chart'!$A$4:$E$15,5,FALSE),0)</f>
        <v>0</v>
      </c>
      <c r="T407" s="124">
        <f>S407</f>
        <v>0</v>
      </c>
      <c r="U407" s="124">
        <f>I407*T407</f>
        <v>0</v>
      </c>
      <c r="V407" s="123">
        <f>((T407*I407)-W407)*4%</f>
        <v>0</v>
      </c>
      <c r="W407" s="124">
        <f>S407*I407*5%</f>
        <v>0</v>
      </c>
    </row>
    <row r="408" spans="1:23">
      <c r="A408" s="118"/>
      <c r="B408" s="118"/>
      <c r="C408" s="119"/>
      <c r="D408" s="118"/>
      <c r="E408" s="118"/>
      <c r="F408" s="118"/>
      <c r="G408" s="119"/>
      <c r="H408" s="119"/>
      <c r="I408" s="119"/>
      <c r="J408" s="119" t="s">
        <v>95</v>
      </c>
      <c r="K408" s="119" t="s">
        <v>110</v>
      </c>
      <c r="L408" s="119" t="s">
        <v>123</v>
      </c>
      <c r="M408" s="51" cm="1">
        <f t="array" ref="M408">IF(L408="",0,_xlfn.SWITCH(L408,"A1",495,"A2",495,"A3",495,"Custom",0,595))</f>
        <v>0</v>
      </c>
      <c r="N408" s="51" cm="1">
        <f t="array" ref="N408">IF(L408="",0,_xlfn.SWITCH(L408,"C1",325,"C2",325,"C3",325,"D1",380,"D2",380,"D3",380,"Custom",0,285))</f>
        <v>0</v>
      </c>
      <c r="O408" s="51">
        <f>IF(L408="",0,_xlfn.SWITCH(L408,"A1",375,"B1",375,"C1",375,"D1",375,"A2",310,"B2",310,"C2",310,"D2",310,"Custom",0,260))</f>
        <v>0</v>
      </c>
      <c r="P408" s="51">
        <f>IFERROR(IF(OR(M408=0,N408=0),0,(M408+N408)*2+11),0)</f>
        <v>0</v>
      </c>
      <c r="Q408" s="51">
        <f>IFERROR(IF(OR(N408=0,O408=0),0,(N408+O408)-16),0)</f>
        <v>0</v>
      </c>
      <c r="R408" s="53">
        <f>P408*Q408/1000000</f>
        <v>0</v>
      </c>
      <c r="S408" s="123">
        <f>IFERROR(VLOOKUP(L408,'[4]Carton Sizes Chart'!$A$4:$E$15,5,FALSE),0)</f>
        <v>0</v>
      </c>
      <c r="T408" s="124">
        <f>S408</f>
        <v>0</v>
      </c>
      <c r="U408" s="124">
        <f>I408*T408</f>
        <v>0</v>
      </c>
      <c r="V408" s="123">
        <f>((T408*I408)-W408)*4%</f>
        <v>0</v>
      </c>
      <c r="W408" s="124">
        <f>S408*I408*5%</f>
        <v>0</v>
      </c>
    </row>
    <row r="409" spans="1:23">
      <c r="A409" s="118"/>
      <c r="B409" s="118"/>
      <c r="C409" s="119"/>
      <c r="D409" s="118"/>
      <c r="E409" s="118"/>
      <c r="F409" s="118"/>
      <c r="G409" s="119"/>
      <c r="H409" s="119"/>
      <c r="I409" s="119"/>
      <c r="J409" s="119" t="s">
        <v>95</v>
      </c>
      <c r="K409" s="119" t="s">
        <v>110</v>
      </c>
      <c r="L409" s="119" t="s">
        <v>123</v>
      </c>
      <c r="M409" s="51" cm="1">
        <f t="array" ref="M409">IF(L409="",0,_xlfn.SWITCH(L409,"A1",495,"A2",495,"A3",495,"Custom",0,595))</f>
        <v>0</v>
      </c>
      <c r="N409" s="51" cm="1">
        <f t="array" ref="N409">IF(L409="",0,_xlfn.SWITCH(L409,"C1",325,"C2",325,"C3",325,"D1",380,"D2",380,"D3",380,"Custom",0,285))</f>
        <v>0</v>
      </c>
      <c r="O409" s="51">
        <f>IF(L409="",0,_xlfn.SWITCH(L409,"A1",375,"B1",375,"C1",375,"D1",375,"A2",310,"B2",310,"C2",310,"D2",310,"Custom",0,260))</f>
        <v>0</v>
      </c>
      <c r="P409" s="51">
        <f>IFERROR(IF(OR(M409=0,N409=0),0,(M409+N409)*2+11),0)</f>
        <v>0</v>
      </c>
      <c r="Q409" s="51">
        <f>IFERROR(IF(OR(N409=0,O409=0),0,(N409+O409)-16),0)</f>
        <v>0</v>
      </c>
      <c r="R409" s="53">
        <f>P409*Q409/1000000</f>
        <v>0</v>
      </c>
      <c r="S409" s="123">
        <f>IFERROR(VLOOKUP(L409,'[4]Carton Sizes Chart'!$A$4:$E$15,5,FALSE),0)</f>
        <v>0</v>
      </c>
      <c r="T409" s="124">
        <f>S409</f>
        <v>0</v>
      </c>
      <c r="U409" s="124">
        <f>I409*T409</f>
        <v>0</v>
      </c>
      <c r="V409" s="123">
        <f>((T409*I409)-W409)*4%</f>
        <v>0</v>
      </c>
      <c r="W409" s="124">
        <f>S409*I409*5%</f>
        <v>0</v>
      </c>
    </row>
    <row r="410" spans="1:23">
      <c r="A410" s="118"/>
      <c r="B410" s="118"/>
      <c r="C410" s="119"/>
      <c r="D410" s="118"/>
      <c r="E410" s="118"/>
      <c r="F410" s="118"/>
      <c r="G410" s="119"/>
      <c r="H410" s="119"/>
      <c r="I410" s="119"/>
      <c r="J410" s="119" t="s">
        <v>95</v>
      </c>
      <c r="K410" s="119" t="s">
        <v>110</v>
      </c>
      <c r="L410" s="119" t="s">
        <v>123</v>
      </c>
      <c r="M410" s="51" cm="1">
        <f t="array" ref="M410">IF(L410="",0,_xlfn.SWITCH(L410,"A1",495,"A2",495,"A3",495,"Custom",0,595))</f>
        <v>0</v>
      </c>
      <c r="N410" s="51" cm="1">
        <f t="array" ref="N410">IF(L410="",0,_xlfn.SWITCH(L410,"C1",325,"C2",325,"C3",325,"D1",380,"D2",380,"D3",380,"Custom",0,285))</f>
        <v>0</v>
      </c>
      <c r="O410" s="51">
        <f>IF(L410="",0,_xlfn.SWITCH(L410,"A1",375,"B1",375,"C1",375,"D1",375,"A2",310,"B2",310,"C2",310,"D2",310,"Custom",0,260))</f>
        <v>0</v>
      </c>
      <c r="P410" s="51">
        <f>IFERROR(IF(OR(M410=0,N410=0),0,(M410+N410)*2+11),0)</f>
        <v>0</v>
      </c>
      <c r="Q410" s="51">
        <f>IFERROR(IF(OR(N410=0,O410=0),0,(N410+O410)-16),0)</f>
        <v>0</v>
      </c>
      <c r="R410" s="53">
        <f>P410*Q410/1000000</f>
        <v>0</v>
      </c>
      <c r="S410" s="123">
        <f>IFERROR(VLOOKUP(L410,'[4]Carton Sizes Chart'!$A$4:$E$15,5,FALSE),0)</f>
        <v>0</v>
      </c>
      <c r="T410" s="124">
        <f>S410</f>
        <v>0</v>
      </c>
      <c r="U410" s="124">
        <f>I410*T410</f>
        <v>0</v>
      </c>
      <c r="V410" s="123">
        <f>((T410*I410)-W410)*4%</f>
        <v>0</v>
      </c>
      <c r="W410" s="124">
        <f>S410*I410*5%</f>
        <v>0</v>
      </c>
    </row>
    <row r="411" spans="1:23">
      <c r="A411" s="118"/>
      <c r="B411" s="118"/>
      <c r="C411" s="119"/>
      <c r="D411" s="118"/>
      <c r="E411" s="118"/>
      <c r="F411" s="118"/>
      <c r="G411" s="119"/>
      <c r="H411" s="119"/>
      <c r="I411" s="119"/>
      <c r="J411" s="119" t="s">
        <v>95</v>
      </c>
      <c r="K411" s="119" t="s">
        <v>110</v>
      </c>
      <c r="L411" s="119" t="s">
        <v>123</v>
      </c>
      <c r="M411" s="51" cm="1">
        <f t="array" ref="M411">IF(L411="",0,_xlfn.SWITCH(L411,"A1",495,"A2",495,"A3",495,"Custom",0,595))</f>
        <v>0</v>
      </c>
      <c r="N411" s="51" cm="1">
        <f t="array" ref="N411">IF(L411="",0,_xlfn.SWITCH(L411,"C1",325,"C2",325,"C3",325,"D1",380,"D2",380,"D3",380,"Custom",0,285))</f>
        <v>0</v>
      </c>
      <c r="O411" s="51">
        <f>IF(L411="",0,_xlfn.SWITCH(L411,"A1",375,"B1",375,"C1",375,"D1",375,"A2",310,"B2",310,"C2",310,"D2",310,"Custom",0,260))</f>
        <v>0</v>
      </c>
      <c r="P411" s="51">
        <f>IFERROR(IF(OR(M411=0,N411=0),0,(M411+N411)*2+11),0)</f>
        <v>0</v>
      </c>
      <c r="Q411" s="51">
        <f>IFERROR(IF(OR(N411=0,O411=0),0,(N411+O411)-16),0)</f>
        <v>0</v>
      </c>
      <c r="R411" s="53">
        <f>P411*Q411/1000000</f>
        <v>0</v>
      </c>
      <c r="S411" s="123">
        <f>IFERROR(VLOOKUP(L411,'[4]Carton Sizes Chart'!$A$4:$E$15,5,FALSE),0)</f>
        <v>0</v>
      </c>
      <c r="T411" s="124">
        <f>S411</f>
        <v>0</v>
      </c>
      <c r="U411" s="124">
        <f>I411*T411</f>
        <v>0</v>
      </c>
      <c r="V411" s="123">
        <f>((T411*I411)-W411)*4%</f>
        <v>0</v>
      </c>
      <c r="W411" s="124">
        <f>S411*I411*5%</f>
        <v>0</v>
      </c>
    </row>
    <row r="412" spans="1:23">
      <c r="A412" s="118"/>
      <c r="B412" s="118"/>
      <c r="C412" s="119"/>
      <c r="D412" s="118"/>
      <c r="E412" s="118"/>
      <c r="F412" s="118"/>
      <c r="G412" s="119"/>
      <c r="H412" s="119"/>
      <c r="I412" s="119"/>
      <c r="J412" s="119" t="s">
        <v>95</v>
      </c>
      <c r="K412" s="119" t="s">
        <v>110</v>
      </c>
      <c r="L412" s="119" t="s">
        <v>123</v>
      </c>
      <c r="M412" s="51" cm="1">
        <f t="array" ref="M412">IF(L412="",0,_xlfn.SWITCH(L412,"A1",495,"A2",495,"A3",495,"Custom",0,595))</f>
        <v>0</v>
      </c>
      <c r="N412" s="51" cm="1">
        <f t="array" ref="N412">IF(L412="",0,_xlfn.SWITCH(L412,"C1",325,"C2",325,"C3",325,"D1",380,"D2",380,"D3",380,"Custom",0,285))</f>
        <v>0</v>
      </c>
      <c r="O412" s="51">
        <f>IF(L412="",0,_xlfn.SWITCH(L412,"A1",375,"B1",375,"C1",375,"D1",375,"A2",310,"B2",310,"C2",310,"D2",310,"Custom",0,260))</f>
        <v>0</v>
      </c>
      <c r="P412" s="51">
        <f>IFERROR(IF(OR(M412=0,N412=0),0,(M412+N412)*2+11),0)</f>
        <v>0</v>
      </c>
      <c r="Q412" s="51">
        <f>IFERROR(IF(OR(N412=0,O412=0),0,(N412+O412)-16),0)</f>
        <v>0</v>
      </c>
      <c r="R412" s="53">
        <f>P412*Q412/1000000</f>
        <v>0</v>
      </c>
      <c r="S412" s="123">
        <f>IFERROR(VLOOKUP(L412,'[4]Carton Sizes Chart'!$A$4:$E$15,5,FALSE),0)</f>
        <v>0</v>
      </c>
      <c r="T412" s="124">
        <f>S412</f>
        <v>0</v>
      </c>
      <c r="U412" s="124">
        <f>I412*T412</f>
        <v>0</v>
      </c>
      <c r="V412" s="123">
        <f>((T412*I412)-W412)*4%</f>
        <v>0</v>
      </c>
      <c r="W412" s="124">
        <f>S412*I412*5%</f>
        <v>0</v>
      </c>
    </row>
    <row r="413" spans="1:23">
      <c r="A413" s="118"/>
      <c r="B413" s="118"/>
      <c r="C413" s="119"/>
      <c r="D413" s="118"/>
      <c r="E413" s="118"/>
      <c r="F413" s="118"/>
      <c r="G413" s="119"/>
      <c r="H413" s="119"/>
      <c r="I413" s="119"/>
      <c r="J413" s="119" t="s">
        <v>95</v>
      </c>
      <c r="K413" s="119" t="s">
        <v>110</v>
      </c>
      <c r="L413" s="119" t="s">
        <v>123</v>
      </c>
      <c r="M413" s="51" cm="1">
        <f t="array" ref="M413">IF(L413="",0,_xlfn.SWITCH(L413,"A1",495,"A2",495,"A3",495,"Custom",0,595))</f>
        <v>0</v>
      </c>
      <c r="N413" s="51" cm="1">
        <f t="array" ref="N413">IF(L413="",0,_xlfn.SWITCH(L413,"C1",325,"C2",325,"C3",325,"D1",380,"D2",380,"D3",380,"Custom",0,285))</f>
        <v>0</v>
      </c>
      <c r="O413" s="51">
        <f>IF(L413="",0,_xlfn.SWITCH(L413,"A1",375,"B1",375,"C1",375,"D1",375,"A2",310,"B2",310,"C2",310,"D2",310,"Custom",0,260))</f>
        <v>0</v>
      </c>
      <c r="P413" s="51">
        <f>IFERROR(IF(OR(M413=0,N413=0),0,(M413+N413)*2+11),0)</f>
        <v>0</v>
      </c>
      <c r="Q413" s="51">
        <f>IFERROR(IF(OR(N413=0,O413=0),0,(N413+O413)-16),0)</f>
        <v>0</v>
      </c>
      <c r="R413" s="53">
        <f>P413*Q413/1000000</f>
        <v>0</v>
      </c>
      <c r="S413" s="123">
        <f>IFERROR(VLOOKUP(L413,'[4]Carton Sizes Chart'!$A$4:$E$15,5,FALSE),0)</f>
        <v>0</v>
      </c>
      <c r="T413" s="124">
        <f>S413</f>
        <v>0</v>
      </c>
      <c r="U413" s="124">
        <f>I413*T413</f>
        <v>0</v>
      </c>
      <c r="V413" s="123">
        <f>((T413*I413)-W413)*4%</f>
        <v>0</v>
      </c>
      <c r="W413" s="124">
        <f>S413*I413*5%</f>
        <v>0</v>
      </c>
    </row>
    <row r="414" spans="1:23">
      <c r="A414" s="118"/>
      <c r="B414" s="118"/>
      <c r="C414" s="119"/>
      <c r="D414" s="118"/>
      <c r="E414" s="118"/>
      <c r="F414" s="118"/>
      <c r="G414" s="119"/>
      <c r="H414" s="119"/>
      <c r="I414" s="119"/>
      <c r="J414" s="119" t="s">
        <v>95</v>
      </c>
      <c r="K414" s="119" t="s">
        <v>110</v>
      </c>
      <c r="L414" s="119" t="s">
        <v>123</v>
      </c>
      <c r="M414" s="51" cm="1">
        <f t="array" ref="M414">IF(L414="",0,_xlfn.SWITCH(L414,"A1",495,"A2",495,"A3",495,"Custom",0,595))</f>
        <v>0</v>
      </c>
      <c r="N414" s="51" cm="1">
        <f t="array" ref="N414">IF(L414="",0,_xlfn.SWITCH(L414,"C1",325,"C2",325,"C3",325,"D1",380,"D2",380,"D3",380,"Custom",0,285))</f>
        <v>0</v>
      </c>
      <c r="O414" s="51">
        <f>IF(L414="",0,_xlfn.SWITCH(L414,"A1",375,"B1",375,"C1",375,"D1",375,"A2",310,"B2",310,"C2",310,"D2",310,"Custom",0,260))</f>
        <v>0</v>
      </c>
      <c r="P414" s="51">
        <f>IFERROR(IF(OR(M414=0,N414=0),0,(M414+N414)*2+11),0)</f>
        <v>0</v>
      </c>
      <c r="Q414" s="51">
        <f>IFERROR(IF(OR(N414=0,O414=0),0,(N414+O414)-16),0)</f>
        <v>0</v>
      </c>
      <c r="R414" s="53">
        <f>P414*Q414/1000000</f>
        <v>0</v>
      </c>
      <c r="S414" s="123">
        <f>IFERROR(VLOOKUP(L414,'[4]Carton Sizes Chart'!$A$4:$E$15,5,FALSE),0)</f>
        <v>0</v>
      </c>
      <c r="T414" s="124">
        <f>S414</f>
        <v>0</v>
      </c>
      <c r="U414" s="124">
        <f>I414*T414</f>
        <v>0</v>
      </c>
      <c r="V414" s="123">
        <f>((T414*I414)-W414)*4%</f>
        <v>0</v>
      </c>
      <c r="W414" s="124">
        <f>S414*I414*5%</f>
        <v>0</v>
      </c>
    </row>
    <row r="415" spans="1:23">
      <c r="A415" s="118"/>
      <c r="B415" s="118"/>
      <c r="C415" s="119"/>
      <c r="D415" s="118"/>
      <c r="E415" s="118"/>
      <c r="F415" s="118"/>
      <c r="G415" s="119"/>
      <c r="H415" s="119"/>
      <c r="I415" s="119"/>
      <c r="J415" s="119" t="s">
        <v>95</v>
      </c>
      <c r="K415" s="119" t="s">
        <v>110</v>
      </c>
      <c r="L415" s="119" t="s">
        <v>123</v>
      </c>
      <c r="M415" s="51" cm="1">
        <f t="array" ref="M415">IF(L415="",0,_xlfn.SWITCH(L415,"A1",495,"A2",495,"A3",495,"Custom",0,595))</f>
        <v>0</v>
      </c>
      <c r="N415" s="51" cm="1">
        <f t="array" ref="N415">IF(L415="",0,_xlfn.SWITCH(L415,"C1",325,"C2",325,"C3",325,"D1",380,"D2",380,"D3",380,"Custom",0,285))</f>
        <v>0</v>
      </c>
      <c r="O415" s="51">
        <f>IF(L415="",0,_xlfn.SWITCH(L415,"A1",375,"B1",375,"C1",375,"D1",375,"A2",310,"B2",310,"C2",310,"D2",310,"Custom",0,260))</f>
        <v>0</v>
      </c>
      <c r="P415" s="51">
        <f>IFERROR(IF(OR(M415=0,N415=0),0,(M415+N415)*2+11),0)</f>
        <v>0</v>
      </c>
      <c r="Q415" s="51">
        <f>IFERROR(IF(OR(N415=0,O415=0),0,(N415+O415)-16),0)</f>
        <v>0</v>
      </c>
      <c r="R415" s="53">
        <f>P415*Q415/1000000</f>
        <v>0</v>
      </c>
      <c r="S415" s="123">
        <f>IFERROR(VLOOKUP(L415,'[4]Carton Sizes Chart'!$A$4:$E$15,5,FALSE),0)</f>
        <v>0</v>
      </c>
      <c r="T415" s="124">
        <f>S415</f>
        <v>0</v>
      </c>
      <c r="U415" s="124">
        <f>I415*T415</f>
        <v>0</v>
      </c>
      <c r="V415" s="123">
        <f>((T415*I415)-W415)*4%</f>
        <v>0</v>
      </c>
      <c r="W415" s="124">
        <f>S415*I415*5%</f>
        <v>0</v>
      </c>
    </row>
    <row r="416" spans="1:23">
      <c r="A416" s="118"/>
      <c r="B416" s="118"/>
      <c r="C416" s="119"/>
      <c r="D416" s="118"/>
      <c r="E416" s="118"/>
      <c r="F416" s="118"/>
      <c r="G416" s="119"/>
      <c r="H416" s="119"/>
      <c r="I416" s="119"/>
      <c r="J416" s="119" t="s">
        <v>95</v>
      </c>
      <c r="K416" s="119" t="s">
        <v>110</v>
      </c>
      <c r="L416" s="119" t="s">
        <v>123</v>
      </c>
      <c r="M416" s="51" cm="1">
        <f t="array" ref="M416">IF(L416="",0,_xlfn.SWITCH(L416,"A1",495,"A2",495,"A3",495,"Custom",0,595))</f>
        <v>0</v>
      </c>
      <c r="N416" s="51" cm="1">
        <f t="array" ref="N416">IF(L416="",0,_xlfn.SWITCH(L416,"C1",325,"C2",325,"C3",325,"D1",380,"D2",380,"D3",380,"Custom",0,285))</f>
        <v>0</v>
      </c>
      <c r="O416" s="51">
        <f>IF(L416="",0,_xlfn.SWITCH(L416,"A1",375,"B1",375,"C1",375,"D1",375,"A2",310,"B2",310,"C2",310,"D2",310,"Custom",0,260))</f>
        <v>0</v>
      </c>
      <c r="P416" s="51">
        <f>IFERROR(IF(OR(M416=0,N416=0),0,(M416+N416)*2+11),0)</f>
        <v>0</v>
      </c>
      <c r="Q416" s="51">
        <f>IFERROR(IF(OR(N416=0,O416=0),0,(N416+O416)-16),0)</f>
        <v>0</v>
      </c>
      <c r="R416" s="53">
        <f>P416*Q416/1000000</f>
        <v>0</v>
      </c>
      <c r="S416" s="123">
        <f>IFERROR(VLOOKUP(L416,'[4]Carton Sizes Chart'!$A$4:$E$15,5,FALSE),0)</f>
        <v>0</v>
      </c>
      <c r="T416" s="124">
        <f>S416</f>
        <v>0</v>
      </c>
      <c r="U416" s="124">
        <f>I416*T416</f>
        <v>0</v>
      </c>
      <c r="V416" s="123">
        <f>((T416*I416)-W416)*4%</f>
        <v>0</v>
      </c>
      <c r="W416" s="124">
        <f>S416*I416*5%</f>
        <v>0</v>
      </c>
    </row>
    <row r="417" spans="1:23">
      <c r="A417" s="120"/>
      <c r="B417" s="120"/>
      <c r="C417" s="119"/>
      <c r="D417" s="118"/>
      <c r="E417" s="118"/>
      <c r="F417" s="118"/>
      <c r="G417" s="119"/>
      <c r="H417" s="119"/>
      <c r="I417" s="119"/>
      <c r="J417" s="119" t="s">
        <v>95</v>
      </c>
      <c r="K417" s="119" t="s">
        <v>110</v>
      </c>
      <c r="L417" s="119" t="s">
        <v>123</v>
      </c>
      <c r="M417" s="51" cm="1">
        <f t="array" ref="M417">IF(L417="",0,_xlfn.SWITCH(L417,"A1",495,"A2",495,"A3",495,"Custom",0,595))</f>
        <v>0</v>
      </c>
      <c r="N417" s="51" cm="1">
        <f t="array" ref="N417">IF(L417="",0,_xlfn.SWITCH(L417,"C1",325,"C2",325,"C3",325,"D1",380,"D2",380,"D3",380,"Custom",0,285))</f>
        <v>0</v>
      </c>
      <c r="O417" s="51">
        <f>IF(L417="",0,_xlfn.SWITCH(L417,"A1",375,"B1",375,"C1",375,"D1",375,"A2",310,"B2",310,"C2",310,"D2",310,"Custom",0,260))</f>
        <v>0</v>
      </c>
      <c r="P417" s="51">
        <f>IFERROR(IF(OR(M417=0,N417=0),0,(M417+N417)*2+11),0)</f>
        <v>0</v>
      </c>
      <c r="Q417" s="51">
        <f>IFERROR(IF(OR(N417=0,O417=0),0,(N417+O417)-16),0)</f>
        <v>0</v>
      </c>
      <c r="R417" s="53">
        <f>P417*Q417/1000000</f>
        <v>0</v>
      </c>
      <c r="S417" s="123">
        <f>IFERROR(VLOOKUP(L417,'[4]Carton Sizes Chart'!$A$4:$E$15,5,FALSE),0)</f>
        <v>0</v>
      </c>
      <c r="T417" s="124">
        <f>S417</f>
        <v>0</v>
      </c>
      <c r="U417" s="124">
        <f>I417*T417</f>
        <v>0</v>
      </c>
      <c r="V417" s="123">
        <f>((T417*I417)-W417)*4%</f>
        <v>0</v>
      </c>
      <c r="W417" s="124">
        <f>S417*I417*5%</f>
        <v>0</v>
      </c>
    </row>
    <row r="418" spans="1:23">
      <c r="A418" s="118"/>
      <c r="B418" s="118"/>
      <c r="C418" s="119"/>
      <c r="D418" s="118"/>
      <c r="E418" s="118"/>
      <c r="F418" s="118"/>
      <c r="G418" s="119"/>
      <c r="H418" s="119"/>
      <c r="I418" s="119"/>
      <c r="J418" s="119" t="s">
        <v>95</v>
      </c>
      <c r="K418" s="119" t="s">
        <v>110</v>
      </c>
      <c r="L418" s="119" t="s">
        <v>123</v>
      </c>
      <c r="M418" s="51" cm="1">
        <f t="array" ref="M418">IF(L418="",0,_xlfn.SWITCH(L418,"A1",495,"A2",495,"A3",495,"Custom",0,595))</f>
        <v>0</v>
      </c>
      <c r="N418" s="51" cm="1">
        <f t="array" ref="N418">IF(L418="",0,_xlfn.SWITCH(L418,"C1",325,"C2",325,"C3",325,"D1",380,"D2",380,"D3",380,"Custom",0,285))</f>
        <v>0</v>
      </c>
      <c r="O418" s="51">
        <f>IF(L418="",0,_xlfn.SWITCH(L418,"A1",375,"B1",375,"C1",375,"D1",375,"A2",310,"B2",310,"C2",310,"D2",310,"Custom",0,260))</f>
        <v>0</v>
      </c>
      <c r="P418" s="51">
        <f>IFERROR(IF(OR(M418=0,N418=0),0,(M418+N418)*2+11),0)</f>
        <v>0</v>
      </c>
      <c r="Q418" s="51">
        <f>IFERROR(IF(OR(N418=0,O418=0),0,(N418+O418)-16),0)</f>
        <v>0</v>
      </c>
      <c r="R418" s="53">
        <f>P418*Q418/1000000</f>
        <v>0</v>
      </c>
      <c r="S418" s="123">
        <f>IFERROR(VLOOKUP(L418,'[4]Carton Sizes Chart'!$A$4:$E$15,5,FALSE),0)</f>
        <v>0</v>
      </c>
      <c r="T418" s="124">
        <f>S418</f>
        <v>0</v>
      </c>
      <c r="U418" s="124">
        <f>I418*T418</f>
        <v>0</v>
      </c>
      <c r="V418" s="123">
        <f>((T418*I418)-W418)*4%</f>
        <v>0</v>
      </c>
      <c r="W418" s="124">
        <f>S418*I418*5%</f>
        <v>0</v>
      </c>
    </row>
    <row r="419" spans="1:23">
      <c r="A419" s="118"/>
      <c r="B419" s="122"/>
      <c r="C419" s="119"/>
      <c r="D419" s="118"/>
      <c r="E419" s="118"/>
      <c r="F419" s="118"/>
      <c r="G419" s="119"/>
      <c r="H419" s="119"/>
      <c r="I419" s="119"/>
      <c r="J419" s="119" t="s">
        <v>95</v>
      </c>
      <c r="K419" s="119" t="s">
        <v>110</v>
      </c>
      <c r="L419" s="119" t="s">
        <v>123</v>
      </c>
      <c r="M419" s="51" cm="1">
        <f t="array" ref="M419">IF(L419="",0,_xlfn.SWITCH(L419,"A1",495,"A2",495,"A3",495,"Custom",0,595))</f>
        <v>0</v>
      </c>
      <c r="N419" s="51" cm="1">
        <f t="array" ref="N419">IF(L419="",0,_xlfn.SWITCH(L419,"C1",325,"C2",325,"C3",325,"D1",380,"D2",380,"D3",380,"Custom",0,285))</f>
        <v>0</v>
      </c>
      <c r="O419" s="51">
        <f>IF(L419="",0,_xlfn.SWITCH(L419,"A1",375,"B1",375,"C1",375,"D1",375,"A2",310,"B2",310,"C2",310,"D2",310,"Custom",0,260))</f>
        <v>0</v>
      </c>
      <c r="P419" s="51">
        <f>IFERROR(IF(OR(M419=0,N419=0),0,(M419+N419)*2+11),0)</f>
        <v>0</v>
      </c>
      <c r="Q419" s="51">
        <f>IFERROR(IF(OR(N419=0,O419=0),0,(N419+O419)-16),0)</f>
        <v>0</v>
      </c>
      <c r="R419" s="53">
        <f>P419*Q419/1000000</f>
        <v>0</v>
      </c>
      <c r="S419" s="123">
        <f>IFERROR(VLOOKUP(L419,'[4]Carton Sizes Chart'!$A$4:$E$15,5,FALSE),0)</f>
        <v>0</v>
      </c>
      <c r="T419" s="124">
        <f>S419</f>
        <v>0</v>
      </c>
      <c r="U419" s="124">
        <f>I419*T419</f>
        <v>0</v>
      </c>
      <c r="V419" s="123">
        <f>((T419*I419)-W419)*4%</f>
        <v>0</v>
      </c>
      <c r="W419" s="124">
        <f>S419*I419*5%</f>
        <v>0</v>
      </c>
    </row>
    <row r="420" spans="1:23">
      <c r="A420" s="118"/>
      <c r="B420" s="118"/>
      <c r="C420" s="119"/>
      <c r="D420" s="118"/>
      <c r="E420" s="118"/>
      <c r="F420" s="118"/>
      <c r="G420" s="119"/>
      <c r="H420" s="119"/>
      <c r="I420" s="119"/>
      <c r="J420" s="119" t="s">
        <v>95</v>
      </c>
      <c r="K420" s="119" t="s">
        <v>110</v>
      </c>
      <c r="L420" s="119" t="s">
        <v>123</v>
      </c>
      <c r="M420" s="51" cm="1">
        <f t="array" ref="M420">IF(L420="",0,_xlfn.SWITCH(L420,"A1",495,"A2",495,"A3",495,"Custom",0,595))</f>
        <v>0</v>
      </c>
      <c r="N420" s="51" cm="1">
        <f t="array" ref="N420">IF(L420="",0,_xlfn.SWITCH(L420,"C1",325,"C2",325,"C3",325,"D1",380,"D2",380,"D3",380,"Custom",0,285))</f>
        <v>0</v>
      </c>
      <c r="O420" s="51">
        <f>IF(L420="",0,_xlfn.SWITCH(L420,"A1",375,"B1",375,"C1",375,"D1",375,"A2",310,"B2",310,"C2",310,"D2",310,"Custom",0,260))</f>
        <v>0</v>
      </c>
      <c r="P420" s="51">
        <f>IFERROR(IF(OR(M420=0,N420=0),0,(M420+N420)*2+11),0)</f>
        <v>0</v>
      </c>
      <c r="Q420" s="51">
        <f>IFERROR(IF(OR(N420=0,O420=0),0,(N420+O420)-16),0)</f>
        <v>0</v>
      </c>
      <c r="R420" s="53">
        <f>P420*Q420/1000000</f>
        <v>0</v>
      </c>
      <c r="S420" s="123">
        <f>IFERROR(VLOOKUP(L420,'[4]Carton Sizes Chart'!$A$4:$E$15,5,FALSE),0)</f>
        <v>0</v>
      </c>
      <c r="T420" s="124">
        <f>S420</f>
        <v>0</v>
      </c>
      <c r="U420" s="124">
        <f>I420*T420</f>
        <v>0</v>
      </c>
      <c r="V420" s="123">
        <f>((T420*I420)-W420)*4%</f>
        <v>0</v>
      </c>
      <c r="W420" s="124">
        <f>S420*I420*5%</f>
        <v>0</v>
      </c>
    </row>
    <row r="421" spans="1:23">
      <c r="A421" s="118"/>
      <c r="B421" s="118"/>
      <c r="C421" s="119"/>
      <c r="D421" s="118"/>
      <c r="E421" s="118"/>
      <c r="F421" s="118"/>
      <c r="G421" s="119"/>
      <c r="H421" s="119"/>
      <c r="I421" s="119"/>
      <c r="J421" s="119" t="s">
        <v>95</v>
      </c>
      <c r="K421" s="119" t="s">
        <v>110</v>
      </c>
      <c r="L421" s="119" t="s">
        <v>123</v>
      </c>
      <c r="M421" s="51" cm="1">
        <f t="array" ref="M421">IF(L421="",0,_xlfn.SWITCH(L421,"A1",495,"A2",495,"A3",495,"Custom",0,595))</f>
        <v>0</v>
      </c>
      <c r="N421" s="51" cm="1">
        <f t="array" ref="N421">IF(L421="",0,_xlfn.SWITCH(L421,"C1",325,"C2",325,"C3",325,"D1",380,"D2",380,"D3",380,"Custom",0,285))</f>
        <v>0</v>
      </c>
      <c r="O421" s="51">
        <f>IF(L421="",0,_xlfn.SWITCH(L421,"A1",375,"B1",375,"C1",375,"D1",375,"A2",310,"B2",310,"C2",310,"D2",310,"Custom",0,260))</f>
        <v>0</v>
      </c>
      <c r="P421" s="51">
        <f>IFERROR(IF(OR(M421=0,N421=0),0,(M421+N421)*2+11),0)</f>
        <v>0</v>
      </c>
      <c r="Q421" s="51">
        <f>IFERROR(IF(OR(N421=0,O421=0),0,(N421+O421)-16),0)</f>
        <v>0</v>
      </c>
      <c r="R421" s="53">
        <f>P421*Q421/1000000</f>
        <v>0</v>
      </c>
      <c r="S421" s="123">
        <f>IFERROR(VLOOKUP(L421,'[4]Carton Sizes Chart'!$A$4:$E$15,5,FALSE),0)</f>
        <v>0</v>
      </c>
      <c r="T421" s="124">
        <f>S421</f>
        <v>0</v>
      </c>
      <c r="U421" s="124">
        <f>I421*T421</f>
        <v>0</v>
      </c>
      <c r="V421" s="123">
        <f>((T421*I421)-W421)*4%</f>
        <v>0</v>
      </c>
      <c r="W421" s="124">
        <f>S421*I421*5%</f>
        <v>0</v>
      </c>
    </row>
    <row r="422" spans="1:23">
      <c r="A422" s="118"/>
      <c r="B422" s="118"/>
      <c r="C422" s="119"/>
      <c r="D422" s="118"/>
      <c r="E422" s="118"/>
      <c r="F422" s="118"/>
      <c r="G422" s="119"/>
      <c r="H422" s="119"/>
      <c r="I422" s="121"/>
      <c r="J422" s="119" t="s">
        <v>95</v>
      </c>
      <c r="K422" s="119" t="s">
        <v>110</v>
      </c>
      <c r="L422" s="119" t="s">
        <v>123</v>
      </c>
      <c r="M422" s="51" cm="1">
        <f t="array" ref="M422">IF(L422="",0,_xlfn.SWITCH(L422,"A1",495,"A2",495,"A3",495,"Custom",0,595))</f>
        <v>0</v>
      </c>
      <c r="N422" s="51" cm="1">
        <f t="array" ref="N422">IF(L422="",0,_xlfn.SWITCH(L422,"C1",325,"C2",325,"C3",325,"D1",380,"D2",380,"D3",380,"Custom",0,285))</f>
        <v>0</v>
      </c>
      <c r="O422" s="51">
        <f>IF(L422="",0,_xlfn.SWITCH(L422,"A1",375,"B1",375,"C1",375,"D1",375,"A2",310,"B2",310,"C2",310,"D2",310,"Custom",0,260))</f>
        <v>0</v>
      </c>
      <c r="P422" s="51">
        <f>IFERROR(IF(OR(M422=0,N422=0),0,(M422+N422)*2+11),0)</f>
        <v>0</v>
      </c>
      <c r="Q422" s="51">
        <f>IFERROR(IF(OR(N422=0,O422=0),0,(N422+O422)-16),0)</f>
        <v>0</v>
      </c>
      <c r="R422" s="53">
        <f>P422*Q422/1000000</f>
        <v>0</v>
      </c>
      <c r="S422" s="123">
        <f>IFERROR(VLOOKUP(L422,'[4]Carton Sizes Chart'!$A$4:$E$15,5,FALSE),0)</f>
        <v>0</v>
      </c>
      <c r="T422" s="124">
        <f>S422</f>
        <v>0</v>
      </c>
      <c r="U422" s="124">
        <f>I422*T422</f>
        <v>0</v>
      </c>
      <c r="V422" s="123">
        <f>((T422*I422)-W422)*4%</f>
        <v>0</v>
      </c>
      <c r="W422" s="124">
        <f>S422*I422*5%</f>
        <v>0</v>
      </c>
    </row>
    <row r="423" spans="1:23">
      <c r="A423" s="118"/>
      <c r="B423" s="118"/>
      <c r="C423" s="119"/>
      <c r="D423" s="118"/>
      <c r="E423" s="118"/>
      <c r="F423" s="118"/>
      <c r="G423" s="119"/>
      <c r="H423" s="119"/>
      <c r="I423" s="119"/>
      <c r="J423" s="119" t="s">
        <v>95</v>
      </c>
      <c r="K423" s="119" t="s">
        <v>110</v>
      </c>
      <c r="L423" s="119" t="s">
        <v>123</v>
      </c>
      <c r="M423" s="51" cm="1">
        <f t="array" ref="M423">IF(L423="",0,_xlfn.SWITCH(L423,"A1",495,"A2",495,"A3",495,"Custom",0,595))</f>
        <v>0</v>
      </c>
      <c r="N423" s="51" cm="1">
        <f t="array" ref="N423">IF(L423="",0,_xlfn.SWITCH(L423,"C1",325,"C2",325,"C3",325,"D1",380,"D2",380,"D3",380,"Custom",0,285))</f>
        <v>0</v>
      </c>
      <c r="O423" s="51">
        <f>IF(L423="",0,_xlfn.SWITCH(L423,"A1",375,"B1",375,"C1",375,"D1",375,"A2",310,"B2",310,"C2",310,"D2",310,"Custom",0,260))</f>
        <v>0</v>
      </c>
      <c r="P423" s="51">
        <f>IFERROR(IF(OR(M423=0,N423=0),0,(M423+N423)*2+11),0)</f>
        <v>0</v>
      </c>
      <c r="Q423" s="51">
        <f>IFERROR(IF(OR(N423=0,O423=0),0,(N423+O423)-16),0)</f>
        <v>0</v>
      </c>
      <c r="R423" s="53">
        <f>P423*Q423/1000000</f>
        <v>0</v>
      </c>
      <c r="S423" s="123">
        <f>IFERROR(VLOOKUP(L423,'[4]Carton Sizes Chart'!$A$4:$E$15,5,FALSE),0)</f>
        <v>0</v>
      </c>
      <c r="T423" s="124">
        <f>S423</f>
        <v>0</v>
      </c>
      <c r="U423" s="124">
        <f>I423*T423</f>
        <v>0</v>
      </c>
      <c r="V423" s="123">
        <f>((T423*I423)-W423)*4%</f>
        <v>0</v>
      </c>
      <c r="W423" s="124">
        <f>S423*I423*5%</f>
        <v>0</v>
      </c>
    </row>
    <row r="424" spans="1:23">
      <c r="A424" s="118"/>
      <c r="B424" s="118"/>
      <c r="C424" s="119"/>
      <c r="D424" s="118"/>
      <c r="E424" s="118"/>
      <c r="F424" s="118"/>
      <c r="G424" s="119"/>
      <c r="H424" s="119"/>
      <c r="I424" s="119"/>
      <c r="J424" s="119" t="s">
        <v>95</v>
      </c>
      <c r="K424" s="119" t="s">
        <v>110</v>
      </c>
      <c r="L424" s="119" t="s">
        <v>123</v>
      </c>
      <c r="M424" s="51" cm="1">
        <f t="array" ref="M424">IF(L424="",0,_xlfn.SWITCH(L424,"A1",495,"A2",495,"A3",495,"Custom",0,595))</f>
        <v>0</v>
      </c>
      <c r="N424" s="51" cm="1">
        <f t="array" ref="N424">IF(L424="",0,_xlfn.SWITCH(L424,"C1",325,"C2",325,"C3",325,"D1",380,"D2",380,"D3",380,"Custom",0,285))</f>
        <v>0</v>
      </c>
      <c r="O424" s="51">
        <f>IF(L424="",0,_xlfn.SWITCH(L424,"A1",375,"B1",375,"C1",375,"D1",375,"A2",310,"B2",310,"C2",310,"D2",310,"Custom",0,260))</f>
        <v>0</v>
      </c>
      <c r="P424" s="51">
        <f>IFERROR(IF(OR(M424=0,N424=0),0,(M424+N424)*2+11),0)</f>
        <v>0</v>
      </c>
      <c r="Q424" s="51">
        <f>IFERROR(IF(OR(N424=0,O424=0),0,(N424+O424)-16),0)</f>
        <v>0</v>
      </c>
      <c r="R424" s="53">
        <f>P424*Q424/1000000</f>
        <v>0</v>
      </c>
      <c r="S424" s="123">
        <f>IFERROR(VLOOKUP(L424,'[4]Carton Sizes Chart'!$A$4:$E$15,5,FALSE),0)</f>
        <v>0</v>
      </c>
      <c r="T424" s="124">
        <f>S424</f>
        <v>0</v>
      </c>
      <c r="U424" s="124">
        <f>I424*T424</f>
        <v>0</v>
      </c>
      <c r="V424" s="123">
        <f>((T424*I424)-W424)*4%</f>
        <v>0</v>
      </c>
      <c r="W424" s="124">
        <f>S424*I424*5%</f>
        <v>0</v>
      </c>
    </row>
    <row r="425" spans="1:23">
      <c r="A425" s="118"/>
      <c r="B425" s="118"/>
      <c r="C425" s="119"/>
      <c r="D425" s="118"/>
      <c r="E425" s="118"/>
      <c r="F425" s="118"/>
      <c r="G425" s="119"/>
      <c r="H425" s="119"/>
      <c r="I425" s="119"/>
      <c r="J425" s="119" t="s">
        <v>95</v>
      </c>
      <c r="K425" s="119" t="s">
        <v>110</v>
      </c>
      <c r="L425" s="119" t="s">
        <v>123</v>
      </c>
      <c r="M425" s="51" cm="1">
        <f t="array" ref="M425">IF(L425="",0,_xlfn.SWITCH(L425,"A1",495,"A2",495,"A3",495,"Custom",0,595))</f>
        <v>0</v>
      </c>
      <c r="N425" s="51" cm="1">
        <f t="array" ref="N425">IF(L425="",0,_xlfn.SWITCH(L425,"C1",325,"C2",325,"C3",325,"D1",380,"D2",380,"D3",380,"Custom",0,285))</f>
        <v>0</v>
      </c>
      <c r="O425" s="51">
        <f>IF(L425="",0,_xlfn.SWITCH(L425,"A1",375,"B1",375,"C1",375,"D1",375,"A2",310,"B2",310,"C2",310,"D2",310,"Custom",0,260))</f>
        <v>0</v>
      </c>
      <c r="P425" s="51">
        <f>IFERROR(IF(OR(M425=0,N425=0),0,(M425+N425)*2+11),0)</f>
        <v>0</v>
      </c>
      <c r="Q425" s="51">
        <f>IFERROR(IF(OR(N425=0,O425=0),0,(N425+O425)-16),0)</f>
        <v>0</v>
      </c>
      <c r="R425" s="53">
        <f>P425*Q425/1000000</f>
        <v>0</v>
      </c>
      <c r="S425" s="123">
        <f>IFERROR(VLOOKUP(L425,'[4]Carton Sizes Chart'!$A$4:$E$15,5,FALSE),0)</f>
        <v>0</v>
      </c>
      <c r="T425" s="124">
        <f>S425</f>
        <v>0</v>
      </c>
      <c r="U425" s="124">
        <f>I425*T425</f>
        <v>0</v>
      </c>
      <c r="V425" s="123">
        <f>((T425*I425)-W425)*4%</f>
        <v>0</v>
      </c>
      <c r="W425" s="124">
        <f>S425*I425*5%</f>
        <v>0</v>
      </c>
    </row>
    <row r="426" spans="1:23">
      <c r="A426" s="118"/>
      <c r="B426" s="118"/>
      <c r="C426" s="119"/>
      <c r="D426" s="118"/>
      <c r="E426" s="118"/>
      <c r="F426" s="118"/>
      <c r="G426" s="119"/>
      <c r="H426" s="119"/>
      <c r="I426" s="119"/>
      <c r="J426" s="119" t="s">
        <v>95</v>
      </c>
      <c r="K426" s="119" t="s">
        <v>110</v>
      </c>
      <c r="L426" s="119" t="s">
        <v>123</v>
      </c>
      <c r="M426" s="51" cm="1">
        <f t="array" ref="M426">IF(L426="",0,_xlfn.SWITCH(L426,"A1",495,"A2",495,"A3",495,"Custom",0,595))</f>
        <v>0</v>
      </c>
      <c r="N426" s="51" cm="1">
        <f t="array" ref="N426">IF(L426="",0,_xlfn.SWITCH(L426,"C1",325,"C2",325,"C3",325,"D1",380,"D2",380,"D3",380,"Custom",0,285))</f>
        <v>0</v>
      </c>
      <c r="O426" s="51">
        <f>IF(L426="",0,_xlfn.SWITCH(L426,"A1",375,"B1",375,"C1",375,"D1",375,"A2",310,"B2",310,"C2",310,"D2",310,"Custom",0,260))</f>
        <v>0</v>
      </c>
      <c r="P426" s="51">
        <f>IFERROR(IF(OR(M426=0,N426=0),0,(M426+N426)*2+11),0)</f>
        <v>0</v>
      </c>
      <c r="Q426" s="51">
        <f>IFERROR(IF(OR(N426=0,O426=0),0,(N426+O426)-16),0)</f>
        <v>0</v>
      </c>
      <c r="R426" s="53">
        <f>P426*Q426/1000000</f>
        <v>0</v>
      </c>
      <c r="S426" s="123">
        <f>IFERROR(VLOOKUP(L426,'[4]Carton Sizes Chart'!$A$4:$E$15,5,FALSE),0)</f>
        <v>0</v>
      </c>
      <c r="T426" s="124">
        <f>S426</f>
        <v>0</v>
      </c>
      <c r="U426" s="124">
        <f>I426*T426</f>
        <v>0</v>
      </c>
      <c r="V426" s="123">
        <f>((T426*I426)-W426)*4%</f>
        <v>0</v>
      </c>
      <c r="W426" s="124">
        <f>S426*I426*5%</f>
        <v>0</v>
      </c>
    </row>
    <row r="427" spans="1:23">
      <c r="A427" s="118"/>
      <c r="B427" s="118"/>
      <c r="C427" s="119"/>
      <c r="D427" s="118"/>
      <c r="E427" s="118"/>
      <c r="F427" s="118"/>
      <c r="G427" s="119"/>
      <c r="H427" s="119"/>
      <c r="I427" s="119"/>
      <c r="J427" s="119" t="s">
        <v>95</v>
      </c>
      <c r="K427" s="119" t="s">
        <v>110</v>
      </c>
      <c r="L427" s="119" t="s">
        <v>123</v>
      </c>
      <c r="M427" s="51" cm="1">
        <f t="array" ref="M427">IF(L427="",0,_xlfn.SWITCH(L427,"A1",495,"A2",495,"A3",495,"Custom",0,595))</f>
        <v>0</v>
      </c>
      <c r="N427" s="51" cm="1">
        <f t="array" ref="N427">IF(L427="",0,_xlfn.SWITCH(L427,"C1",325,"C2",325,"C3",325,"D1",380,"D2",380,"D3",380,"Custom",0,285))</f>
        <v>0</v>
      </c>
      <c r="O427" s="51">
        <f>IF(L427="",0,_xlfn.SWITCH(L427,"A1",375,"B1",375,"C1",375,"D1",375,"A2",310,"B2",310,"C2",310,"D2",310,"Custom",0,260))</f>
        <v>0</v>
      </c>
      <c r="P427" s="51">
        <f>IFERROR(IF(OR(M427=0,N427=0),0,(M427+N427)*2+11),0)</f>
        <v>0</v>
      </c>
      <c r="Q427" s="51">
        <f>IFERROR(IF(OR(N427=0,O427=0),0,(N427+O427)-16),0)</f>
        <v>0</v>
      </c>
      <c r="R427" s="53">
        <f>P427*Q427/1000000</f>
        <v>0</v>
      </c>
      <c r="S427" s="123">
        <f>IFERROR(VLOOKUP(L427,'[4]Carton Sizes Chart'!$A$4:$E$15,5,FALSE),0)</f>
        <v>0</v>
      </c>
      <c r="T427" s="124">
        <f>S427</f>
        <v>0</v>
      </c>
      <c r="U427" s="124">
        <f>I427*T427</f>
        <v>0</v>
      </c>
      <c r="V427" s="123">
        <f>((T427*I427)-W427)*4%</f>
        <v>0</v>
      </c>
      <c r="W427" s="124">
        <f>S427*I427*5%</f>
        <v>0</v>
      </c>
    </row>
    <row r="428" spans="1:23">
      <c r="A428" s="118"/>
      <c r="B428" s="118"/>
      <c r="C428" s="119"/>
      <c r="D428" s="118"/>
      <c r="E428" s="118"/>
      <c r="F428" s="118"/>
      <c r="G428" s="119"/>
      <c r="H428" s="119"/>
      <c r="I428" s="119"/>
      <c r="J428" s="119" t="s">
        <v>95</v>
      </c>
      <c r="K428" s="119" t="s">
        <v>110</v>
      </c>
      <c r="L428" s="119" t="s">
        <v>123</v>
      </c>
      <c r="M428" s="51" cm="1">
        <f t="array" ref="M428">IF(L428="",0,_xlfn.SWITCH(L428,"A1",495,"A2",495,"A3",495,"Custom",0,595))</f>
        <v>0</v>
      </c>
      <c r="N428" s="51" cm="1">
        <f t="array" ref="N428">IF(L428="",0,_xlfn.SWITCH(L428,"C1",325,"C2",325,"C3",325,"D1",380,"D2",380,"D3",380,"Custom",0,285))</f>
        <v>0</v>
      </c>
      <c r="O428" s="51">
        <f>IF(L428="",0,_xlfn.SWITCH(L428,"A1",375,"B1",375,"C1",375,"D1",375,"A2",310,"B2",310,"C2",310,"D2",310,"Custom",0,260))</f>
        <v>0</v>
      </c>
      <c r="P428" s="51">
        <f>IFERROR(IF(OR(M428=0,N428=0),0,(M428+N428)*2+11),0)</f>
        <v>0</v>
      </c>
      <c r="Q428" s="51">
        <f>IFERROR(IF(OR(N428=0,O428=0),0,(N428+O428)-16),0)</f>
        <v>0</v>
      </c>
      <c r="R428" s="53">
        <f>P428*Q428/1000000</f>
        <v>0</v>
      </c>
      <c r="S428" s="123">
        <f>IFERROR(VLOOKUP(L428,'[4]Carton Sizes Chart'!$A$4:$E$15,5,FALSE),0)</f>
        <v>0</v>
      </c>
      <c r="T428" s="124">
        <f>S428</f>
        <v>0</v>
      </c>
      <c r="U428" s="124">
        <f>I428*T428</f>
        <v>0</v>
      </c>
      <c r="V428" s="123">
        <f>((T428*I428)-W428)*4%</f>
        <v>0</v>
      </c>
      <c r="W428" s="124">
        <f>S428*I428*5%</f>
        <v>0</v>
      </c>
    </row>
    <row r="429" spans="1:23">
      <c r="A429" s="118"/>
      <c r="B429" s="118"/>
      <c r="C429" s="119"/>
      <c r="D429" s="118"/>
      <c r="E429" s="118"/>
      <c r="F429" s="118"/>
      <c r="G429" s="119"/>
      <c r="H429" s="119"/>
      <c r="I429" s="119"/>
      <c r="J429" s="119" t="s">
        <v>95</v>
      </c>
      <c r="K429" s="119" t="s">
        <v>110</v>
      </c>
      <c r="L429" s="119" t="s">
        <v>123</v>
      </c>
      <c r="M429" s="51" cm="1">
        <f t="array" ref="M429">IF(L429="",0,_xlfn.SWITCH(L429,"A1",495,"A2",495,"A3",495,"Custom",0,595))</f>
        <v>0</v>
      </c>
      <c r="N429" s="51" cm="1">
        <f t="array" ref="N429">IF(L429="",0,_xlfn.SWITCH(L429,"C1",325,"C2",325,"C3",325,"D1",380,"D2",380,"D3",380,"Custom",0,285))</f>
        <v>0</v>
      </c>
      <c r="O429" s="51">
        <f>IF(L429="",0,_xlfn.SWITCH(L429,"A1",375,"B1",375,"C1",375,"D1",375,"A2",310,"B2",310,"C2",310,"D2",310,"Custom",0,260))</f>
        <v>0</v>
      </c>
      <c r="P429" s="51">
        <f>IFERROR(IF(OR(M429=0,N429=0),0,(M429+N429)*2+11),0)</f>
        <v>0</v>
      </c>
      <c r="Q429" s="51">
        <f>IFERROR(IF(OR(N429=0,O429=0),0,(N429+O429)-16),0)</f>
        <v>0</v>
      </c>
      <c r="R429" s="53">
        <f>P429*Q429/1000000</f>
        <v>0</v>
      </c>
      <c r="S429" s="123">
        <f>IFERROR(VLOOKUP(L429,'[4]Carton Sizes Chart'!$A$4:$E$15,5,FALSE),0)</f>
        <v>0</v>
      </c>
      <c r="T429" s="124">
        <f>S429</f>
        <v>0</v>
      </c>
      <c r="U429" s="124">
        <f>I429*T429</f>
        <v>0</v>
      </c>
      <c r="V429" s="123">
        <f>((T429*I429)-W429)*4%</f>
        <v>0</v>
      </c>
      <c r="W429" s="124">
        <f>S429*I429*5%</f>
        <v>0</v>
      </c>
    </row>
    <row r="430" spans="1:23">
      <c r="A430" s="118"/>
      <c r="B430" s="118"/>
      <c r="C430" s="119"/>
      <c r="D430" s="118"/>
      <c r="E430" s="118"/>
      <c r="F430" s="118"/>
      <c r="G430" s="119"/>
      <c r="H430" s="119"/>
      <c r="I430" s="119"/>
      <c r="J430" s="119" t="s">
        <v>95</v>
      </c>
      <c r="K430" s="119" t="s">
        <v>110</v>
      </c>
      <c r="L430" s="119" t="s">
        <v>123</v>
      </c>
      <c r="M430" s="51" cm="1">
        <f t="array" ref="M430">IF(L430="",0,_xlfn.SWITCH(L430,"A1",495,"A2",495,"A3",495,"Custom",0,595))</f>
        <v>0</v>
      </c>
      <c r="N430" s="51" cm="1">
        <f t="array" ref="N430">IF(L430="",0,_xlfn.SWITCH(L430,"C1",325,"C2",325,"C3",325,"D1",380,"D2",380,"D3",380,"Custom",0,285))</f>
        <v>0</v>
      </c>
      <c r="O430" s="51">
        <f>IF(L430="",0,_xlfn.SWITCH(L430,"A1",375,"B1",375,"C1",375,"D1",375,"A2",310,"B2",310,"C2",310,"D2",310,"Custom",0,260))</f>
        <v>0</v>
      </c>
      <c r="P430" s="51">
        <f>IFERROR(IF(OR(M430=0,N430=0),0,(M430+N430)*2+11),0)</f>
        <v>0</v>
      </c>
      <c r="Q430" s="51">
        <f>IFERROR(IF(OR(N430=0,O430=0),0,(N430+O430)-16),0)</f>
        <v>0</v>
      </c>
      <c r="R430" s="53">
        <f>P430*Q430/1000000</f>
        <v>0</v>
      </c>
      <c r="S430" s="123">
        <f>IFERROR(VLOOKUP(L430,'[4]Carton Sizes Chart'!$A$4:$E$15,5,FALSE),0)</f>
        <v>0</v>
      </c>
      <c r="T430" s="124">
        <f>S430</f>
        <v>0</v>
      </c>
      <c r="U430" s="124">
        <f>I430*T430</f>
        <v>0</v>
      </c>
      <c r="V430" s="123">
        <f>((T430*I430)-W430)*4%</f>
        <v>0</v>
      </c>
      <c r="W430" s="124">
        <f>S430*I430*5%</f>
        <v>0</v>
      </c>
    </row>
    <row r="431" spans="1:23">
      <c r="A431" s="118"/>
      <c r="B431" s="118"/>
      <c r="C431" s="119"/>
      <c r="D431" s="118"/>
      <c r="E431" s="118"/>
      <c r="F431" s="118"/>
      <c r="G431" s="119"/>
      <c r="H431" s="119"/>
      <c r="I431" s="119"/>
      <c r="J431" s="119" t="s">
        <v>95</v>
      </c>
      <c r="K431" s="119" t="s">
        <v>110</v>
      </c>
      <c r="L431" s="119" t="s">
        <v>123</v>
      </c>
      <c r="M431" s="51" cm="1">
        <f t="array" ref="M431">IF(L431="",0,_xlfn.SWITCH(L431,"A1",495,"A2",495,"A3",495,"Custom",0,595))</f>
        <v>0</v>
      </c>
      <c r="N431" s="51" cm="1">
        <f t="array" ref="N431">IF(L431="",0,_xlfn.SWITCH(L431,"C1",325,"C2",325,"C3",325,"D1",380,"D2",380,"D3",380,"Custom",0,285))</f>
        <v>0</v>
      </c>
      <c r="O431" s="51">
        <f>IF(L431="",0,_xlfn.SWITCH(L431,"A1",375,"B1",375,"C1",375,"D1",375,"A2",310,"B2",310,"C2",310,"D2",310,"Custom",0,260))</f>
        <v>0</v>
      </c>
      <c r="P431" s="51">
        <f>IFERROR(IF(OR(M431=0,N431=0),0,(M431+N431)*2+11),0)</f>
        <v>0</v>
      </c>
      <c r="Q431" s="51">
        <f>IFERROR(IF(OR(N431=0,O431=0),0,(N431+O431)-16),0)</f>
        <v>0</v>
      </c>
      <c r="R431" s="53">
        <f>P431*Q431/1000000</f>
        <v>0</v>
      </c>
      <c r="S431" s="123">
        <f>IFERROR(VLOOKUP(L431,'[4]Carton Sizes Chart'!$A$4:$E$15,5,FALSE),0)</f>
        <v>0</v>
      </c>
      <c r="T431" s="124">
        <f>S431</f>
        <v>0</v>
      </c>
      <c r="U431" s="124">
        <f>I431*T431</f>
        <v>0</v>
      </c>
      <c r="V431" s="123">
        <f>((T431*I431)-W431)*4%</f>
        <v>0</v>
      </c>
      <c r="W431" s="124">
        <f>S431*I431*5%</f>
        <v>0</v>
      </c>
    </row>
    <row r="432" spans="1:23">
      <c r="A432" s="118"/>
      <c r="B432" s="118"/>
      <c r="C432" s="119"/>
      <c r="D432" s="118"/>
      <c r="E432" s="118"/>
      <c r="F432" s="118"/>
      <c r="G432" s="119"/>
      <c r="H432" s="119"/>
      <c r="I432" s="119"/>
      <c r="J432" s="119" t="s">
        <v>95</v>
      </c>
      <c r="K432" s="119" t="s">
        <v>110</v>
      </c>
      <c r="L432" s="119" t="s">
        <v>123</v>
      </c>
      <c r="M432" s="51" cm="1">
        <f t="array" ref="M432">IF(L432="",0,_xlfn.SWITCH(L432,"A1",495,"A2",495,"A3",495,"Custom",0,595))</f>
        <v>0</v>
      </c>
      <c r="N432" s="51" cm="1">
        <f t="array" ref="N432">IF(L432="",0,_xlfn.SWITCH(L432,"C1",325,"C2",325,"C3",325,"D1",380,"D2",380,"D3",380,"Custom",0,285))</f>
        <v>0</v>
      </c>
      <c r="O432" s="51">
        <f>IF(L432="",0,_xlfn.SWITCH(L432,"A1",375,"B1",375,"C1",375,"D1",375,"A2",310,"B2",310,"C2",310,"D2",310,"Custom",0,260))</f>
        <v>0</v>
      </c>
      <c r="P432" s="51">
        <f>IFERROR(IF(OR(M432=0,N432=0),0,(M432+N432)*2+11),0)</f>
        <v>0</v>
      </c>
      <c r="Q432" s="51">
        <f>IFERROR(IF(OR(N432=0,O432=0),0,(N432+O432)-16),0)</f>
        <v>0</v>
      </c>
      <c r="R432" s="53">
        <f>P432*Q432/1000000</f>
        <v>0</v>
      </c>
      <c r="S432" s="123">
        <f>IFERROR(VLOOKUP(L432,'[4]Carton Sizes Chart'!$A$4:$E$15,5,FALSE),0)</f>
        <v>0</v>
      </c>
      <c r="T432" s="124">
        <f>S432</f>
        <v>0</v>
      </c>
      <c r="U432" s="124">
        <f>I432*T432</f>
        <v>0</v>
      </c>
      <c r="V432" s="123">
        <f>((T432*I432)-W432)*4%</f>
        <v>0</v>
      </c>
      <c r="W432" s="124">
        <f>S432*I432*5%</f>
        <v>0</v>
      </c>
    </row>
    <row r="433" spans="1:23">
      <c r="A433" s="118"/>
      <c r="B433" s="118"/>
      <c r="C433" s="119"/>
      <c r="D433" s="118"/>
      <c r="E433" s="118"/>
      <c r="F433" s="118"/>
      <c r="G433" s="119"/>
      <c r="H433" s="119"/>
      <c r="I433" s="119"/>
      <c r="J433" s="119" t="s">
        <v>95</v>
      </c>
      <c r="K433" s="119" t="s">
        <v>110</v>
      </c>
      <c r="L433" s="119" t="s">
        <v>123</v>
      </c>
      <c r="M433" s="51" cm="1">
        <f t="array" ref="M433">IF(L433="",0,_xlfn.SWITCH(L433,"A1",495,"A2",495,"A3",495,"Custom",0,595))</f>
        <v>0</v>
      </c>
      <c r="N433" s="51" cm="1">
        <f t="array" ref="N433">IF(L433="",0,_xlfn.SWITCH(L433,"C1",325,"C2",325,"C3",325,"D1",380,"D2",380,"D3",380,"Custom",0,285))</f>
        <v>0</v>
      </c>
      <c r="O433" s="51">
        <f>IF(L433="",0,_xlfn.SWITCH(L433,"A1",375,"B1",375,"C1",375,"D1",375,"A2",310,"B2",310,"C2",310,"D2",310,"Custom",0,260))</f>
        <v>0</v>
      </c>
      <c r="P433" s="51">
        <f>IFERROR(IF(OR(M433=0,N433=0),0,(M433+N433)*2+11),0)</f>
        <v>0</v>
      </c>
      <c r="Q433" s="51">
        <f>IFERROR(IF(OR(N433=0,O433=0),0,(N433+O433)-16),0)</f>
        <v>0</v>
      </c>
      <c r="R433" s="53">
        <f>P433*Q433/1000000</f>
        <v>0</v>
      </c>
      <c r="S433" s="123">
        <f>IFERROR(VLOOKUP(L433,'[4]Carton Sizes Chart'!$A$4:$E$15,5,FALSE),0)</f>
        <v>0</v>
      </c>
      <c r="T433" s="124">
        <f>S433</f>
        <v>0</v>
      </c>
      <c r="U433" s="124">
        <f>I433*T433</f>
        <v>0</v>
      </c>
      <c r="V433" s="123">
        <f>((T433*I433)-W433)*4%</f>
        <v>0</v>
      </c>
      <c r="W433" s="124">
        <f>S433*I433*5%</f>
        <v>0</v>
      </c>
    </row>
    <row r="434" spans="1:23">
      <c r="A434" s="118"/>
      <c r="B434" s="118"/>
      <c r="C434" s="119"/>
      <c r="D434" s="118"/>
      <c r="E434" s="118"/>
      <c r="F434" s="118"/>
      <c r="G434" s="119"/>
      <c r="H434" s="119"/>
      <c r="I434" s="119"/>
      <c r="J434" s="119" t="s">
        <v>95</v>
      </c>
      <c r="K434" s="119" t="s">
        <v>110</v>
      </c>
      <c r="L434" s="119" t="s">
        <v>123</v>
      </c>
      <c r="M434" s="51" cm="1">
        <f t="array" ref="M434">IF(L434="",0,_xlfn.SWITCH(L434,"A1",495,"A2",495,"A3",495,"Custom",0,595))</f>
        <v>0</v>
      </c>
      <c r="N434" s="51" cm="1">
        <f t="array" ref="N434">IF(L434="",0,_xlfn.SWITCH(L434,"C1",325,"C2",325,"C3",325,"D1",380,"D2",380,"D3",380,"Custom",0,285))</f>
        <v>0</v>
      </c>
      <c r="O434" s="51">
        <f>IF(L434="",0,_xlfn.SWITCH(L434,"A1",375,"B1",375,"C1",375,"D1",375,"A2",310,"B2",310,"C2",310,"D2",310,"Custom",0,260))</f>
        <v>0</v>
      </c>
      <c r="P434" s="51">
        <f>IFERROR(IF(OR(M434=0,N434=0),0,(M434+N434)*2+11),0)</f>
        <v>0</v>
      </c>
      <c r="Q434" s="51">
        <f>IFERROR(IF(OR(N434=0,O434=0),0,(N434+O434)-16),0)</f>
        <v>0</v>
      </c>
      <c r="R434" s="53">
        <f>P434*Q434/1000000</f>
        <v>0</v>
      </c>
      <c r="S434" s="123">
        <f>IFERROR(VLOOKUP(L434,'[4]Carton Sizes Chart'!$A$4:$E$15,5,FALSE),0)</f>
        <v>0</v>
      </c>
      <c r="T434" s="124">
        <f>S434</f>
        <v>0</v>
      </c>
      <c r="U434" s="124">
        <f>I434*T434</f>
        <v>0</v>
      </c>
      <c r="V434" s="123">
        <f>((T434*I434)-W434)*4%</f>
        <v>0</v>
      </c>
      <c r="W434" s="124">
        <f>S434*I434*5%</f>
        <v>0</v>
      </c>
    </row>
    <row r="435" spans="1:23">
      <c r="A435" s="118"/>
      <c r="B435" s="118"/>
      <c r="C435" s="119"/>
      <c r="D435" s="118"/>
      <c r="E435" s="118"/>
      <c r="F435" s="118"/>
      <c r="G435" s="119"/>
      <c r="H435" s="119"/>
      <c r="I435" s="119"/>
      <c r="J435" s="119" t="s">
        <v>95</v>
      </c>
      <c r="K435" s="119" t="s">
        <v>110</v>
      </c>
      <c r="L435" s="119" t="s">
        <v>123</v>
      </c>
      <c r="M435" s="51" cm="1">
        <f t="array" ref="M435">IF(L435="",0,_xlfn.SWITCH(L435,"A1",495,"A2",495,"A3",495,"Custom",0,595))</f>
        <v>0</v>
      </c>
      <c r="N435" s="51" cm="1">
        <f t="array" ref="N435">IF(L435="",0,_xlfn.SWITCH(L435,"C1",325,"C2",325,"C3",325,"D1",380,"D2",380,"D3",380,"Custom",0,285))</f>
        <v>0</v>
      </c>
      <c r="O435" s="51">
        <f>IF(L435="",0,_xlfn.SWITCH(L435,"A1",375,"B1",375,"C1",375,"D1",375,"A2",310,"B2",310,"C2",310,"D2",310,"Custom",0,260))</f>
        <v>0</v>
      </c>
      <c r="P435" s="51">
        <f>IFERROR(IF(OR(M435=0,N435=0),0,(M435+N435)*2+11),0)</f>
        <v>0</v>
      </c>
      <c r="Q435" s="51">
        <f>IFERROR(IF(OR(N435=0,O435=0),0,(N435+O435)-16),0)</f>
        <v>0</v>
      </c>
      <c r="R435" s="53">
        <f>P435*Q435/1000000</f>
        <v>0</v>
      </c>
      <c r="S435" s="123">
        <f>IFERROR(VLOOKUP(L435,'[4]Carton Sizes Chart'!$A$4:$E$15,5,FALSE),0)</f>
        <v>0</v>
      </c>
      <c r="T435" s="124">
        <f>S435</f>
        <v>0</v>
      </c>
      <c r="U435" s="124">
        <f>I435*T435</f>
        <v>0</v>
      </c>
      <c r="V435" s="123">
        <f>((T435*I435)-W435)*4%</f>
        <v>0</v>
      </c>
      <c r="W435" s="124">
        <f>S435*I435*5%</f>
        <v>0</v>
      </c>
    </row>
    <row r="436" spans="1:23">
      <c r="A436" s="118"/>
      <c r="B436" s="118"/>
      <c r="C436" s="119"/>
      <c r="D436" s="118"/>
      <c r="E436" s="118"/>
      <c r="F436" s="118"/>
      <c r="G436" s="119"/>
      <c r="H436" s="119"/>
      <c r="I436" s="119"/>
      <c r="J436" s="119" t="s">
        <v>95</v>
      </c>
      <c r="K436" s="119" t="s">
        <v>110</v>
      </c>
      <c r="L436" s="119" t="s">
        <v>123</v>
      </c>
      <c r="M436" s="51" cm="1">
        <f t="array" ref="M436">IF(L436="",0,_xlfn.SWITCH(L436,"A1",495,"A2",495,"A3",495,"Custom",0,595))</f>
        <v>0</v>
      </c>
      <c r="N436" s="51" cm="1">
        <f t="array" ref="N436">IF(L436="",0,_xlfn.SWITCH(L436,"C1",325,"C2",325,"C3",325,"D1",380,"D2",380,"D3",380,"Custom",0,285))</f>
        <v>0</v>
      </c>
      <c r="O436" s="51">
        <f>IF(L436="",0,_xlfn.SWITCH(L436,"A1",375,"B1",375,"C1",375,"D1",375,"A2",310,"B2",310,"C2",310,"D2",310,"Custom",0,260))</f>
        <v>0</v>
      </c>
      <c r="P436" s="51">
        <f>IFERROR(IF(OR(M436=0,N436=0),0,(M436+N436)*2+11),0)</f>
        <v>0</v>
      </c>
      <c r="Q436" s="51">
        <f>IFERROR(IF(OR(N436=0,O436=0),0,(N436+O436)-16),0)</f>
        <v>0</v>
      </c>
      <c r="R436" s="53">
        <f>P436*Q436/1000000</f>
        <v>0</v>
      </c>
      <c r="S436" s="123">
        <f>IFERROR(VLOOKUP(L436,'[4]Carton Sizes Chart'!$A$4:$E$15,5,FALSE),0)</f>
        <v>0</v>
      </c>
      <c r="T436" s="124">
        <f>S436</f>
        <v>0</v>
      </c>
      <c r="U436" s="124">
        <f>I436*T436</f>
        <v>0</v>
      </c>
      <c r="V436" s="123">
        <f>((T436*I436)-W436)*4%</f>
        <v>0</v>
      </c>
      <c r="W436" s="124">
        <f>S436*I436*5%</f>
        <v>0</v>
      </c>
    </row>
    <row r="437" spans="1:23">
      <c r="A437" s="118"/>
      <c r="B437" s="118"/>
      <c r="C437" s="119"/>
      <c r="D437" s="118"/>
      <c r="E437" s="118"/>
      <c r="F437" s="118"/>
      <c r="G437" s="119"/>
      <c r="H437" s="119"/>
      <c r="I437" s="119"/>
      <c r="J437" s="119" t="s">
        <v>95</v>
      </c>
      <c r="K437" s="119" t="s">
        <v>110</v>
      </c>
      <c r="L437" s="119" t="s">
        <v>123</v>
      </c>
      <c r="M437" s="51" cm="1">
        <f t="array" ref="M437">IF(L437="",0,_xlfn.SWITCH(L437,"A1",495,"A2",495,"A3",495,"Custom",0,595))</f>
        <v>0</v>
      </c>
      <c r="N437" s="51" cm="1">
        <f t="array" ref="N437">IF(L437="",0,_xlfn.SWITCH(L437,"C1",325,"C2",325,"C3",325,"D1",380,"D2",380,"D3",380,"Custom",0,285))</f>
        <v>0</v>
      </c>
      <c r="O437" s="51">
        <f>IF(L437="",0,_xlfn.SWITCH(L437,"A1",375,"B1",375,"C1",375,"D1",375,"A2",310,"B2",310,"C2",310,"D2",310,"Custom",0,260))</f>
        <v>0</v>
      </c>
      <c r="P437" s="51">
        <f>IFERROR(IF(OR(M437=0,N437=0),0,(M437+N437)*2+11),0)</f>
        <v>0</v>
      </c>
      <c r="Q437" s="51">
        <f>IFERROR(IF(OR(N437=0,O437=0),0,(N437+O437)-16),0)</f>
        <v>0</v>
      </c>
      <c r="R437" s="53">
        <f>P437*Q437/1000000</f>
        <v>0</v>
      </c>
      <c r="S437" s="123">
        <f>IFERROR(VLOOKUP(L437,'[4]Carton Sizes Chart'!$A$4:$E$15,5,FALSE),0)</f>
        <v>0</v>
      </c>
      <c r="T437" s="124">
        <f>S437</f>
        <v>0</v>
      </c>
      <c r="U437" s="124">
        <f>I437*T437</f>
        <v>0</v>
      </c>
      <c r="V437" s="123">
        <f>((T437*I437)-W437)*4%</f>
        <v>0</v>
      </c>
      <c r="W437" s="124">
        <f>S437*I437*5%</f>
        <v>0</v>
      </c>
    </row>
    <row r="438" spans="1:23">
      <c r="A438" s="120"/>
      <c r="B438" s="120"/>
      <c r="C438" s="119"/>
      <c r="D438" s="118"/>
      <c r="E438" s="118"/>
      <c r="F438" s="118"/>
      <c r="G438" s="119"/>
      <c r="H438" s="119"/>
      <c r="I438" s="119"/>
      <c r="J438" s="119" t="s">
        <v>95</v>
      </c>
      <c r="K438" s="119" t="s">
        <v>110</v>
      </c>
      <c r="L438" s="119" t="s">
        <v>123</v>
      </c>
      <c r="M438" s="51" cm="1">
        <f t="array" ref="M438">IF(L438="",0,_xlfn.SWITCH(L438,"A1",495,"A2",495,"A3",495,"Custom",0,595))</f>
        <v>0</v>
      </c>
      <c r="N438" s="51" cm="1">
        <f t="array" ref="N438">IF(L438="",0,_xlfn.SWITCH(L438,"C1",325,"C2",325,"C3",325,"D1",380,"D2",380,"D3",380,"Custom",0,285))</f>
        <v>0</v>
      </c>
      <c r="O438" s="51">
        <f>IF(L438="",0,_xlfn.SWITCH(L438,"A1",375,"B1",375,"C1",375,"D1",375,"A2",310,"B2",310,"C2",310,"D2",310,"Custom",0,260))</f>
        <v>0</v>
      </c>
      <c r="P438" s="51">
        <f>IFERROR(IF(OR(M438=0,N438=0),0,(M438+N438)*2+11),0)</f>
        <v>0</v>
      </c>
      <c r="Q438" s="51">
        <f>IFERROR(IF(OR(N438=0,O438=0),0,(N438+O438)-16),0)</f>
        <v>0</v>
      </c>
      <c r="R438" s="53">
        <f>P438*Q438/1000000</f>
        <v>0</v>
      </c>
      <c r="S438" s="123">
        <f>IFERROR(VLOOKUP(L438,'[4]Carton Sizes Chart'!$A$4:$E$15,5,FALSE),0)</f>
        <v>0</v>
      </c>
      <c r="T438" s="124">
        <f>S438</f>
        <v>0</v>
      </c>
      <c r="U438" s="124">
        <f>I438*T438</f>
        <v>0</v>
      </c>
      <c r="V438" s="123">
        <f>((T438*I438)-W438)*4%</f>
        <v>0</v>
      </c>
      <c r="W438" s="124">
        <f>S438*I438*5%</f>
        <v>0</v>
      </c>
    </row>
    <row r="439" spans="1:23">
      <c r="A439" s="118"/>
      <c r="B439" s="118"/>
      <c r="C439" s="119"/>
      <c r="D439" s="118"/>
      <c r="E439" s="118"/>
      <c r="F439" s="118"/>
      <c r="G439" s="119"/>
      <c r="H439" s="119"/>
      <c r="I439" s="119"/>
      <c r="J439" s="119" t="s">
        <v>95</v>
      </c>
      <c r="K439" s="119" t="s">
        <v>110</v>
      </c>
      <c r="L439" s="119" t="s">
        <v>123</v>
      </c>
      <c r="M439" s="51" cm="1">
        <f t="array" ref="M439">IF(L439="",0,_xlfn.SWITCH(L439,"A1",495,"A2",495,"A3",495,"Custom",0,595))</f>
        <v>0</v>
      </c>
      <c r="N439" s="51" cm="1">
        <f t="array" ref="N439">IF(L439="",0,_xlfn.SWITCH(L439,"C1",325,"C2",325,"C3",325,"D1",380,"D2",380,"D3",380,"Custom",0,285))</f>
        <v>0</v>
      </c>
      <c r="O439" s="51">
        <f>IF(L439="",0,_xlfn.SWITCH(L439,"A1",375,"B1",375,"C1",375,"D1",375,"A2",310,"B2",310,"C2",310,"D2",310,"Custom",0,260))</f>
        <v>0</v>
      </c>
      <c r="P439" s="51">
        <f>IFERROR(IF(OR(M439=0,N439=0),0,(M439+N439)*2+11),0)</f>
        <v>0</v>
      </c>
      <c r="Q439" s="51">
        <f>IFERROR(IF(OR(N439=0,O439=0),0,(N439+O439)-16),0)</f>
        <v>0</v>
      </c>
      <c r="R439" s="53">
        <f>P439*Q439/1000000</f>
        <v>0</v>
      </c>
      <c r="S439" s="123">
        <f>IFERROR(VLOOKUP(L439,'[4]Carton Sizes Chart'!$A$4:$E$15,5,FALSE),0)</f>
        <v>0</v>
      </c>
      <c r="T439" s="124">
        <f>S439</f>
        <v>0</v>
      </c>
      <c r="U439" s="124">
        <f>I439*T439</f>
        <v>0</v>
      </c>
      <c r="V439" s="123">
        <f>((T439*I439)-W439)*4%</f>
        <v>0</v>
      </c>
      <c r="W439" s="124">
        <f>S439*I439*5%</f>
        <v>0</v>
      </c>
    </row>
    <row r="440" spans="1:23">
      <c r="A440" s="118"/>
      <c r="B440" s="118"/>
      <c r="C440" s="119"/>
      <c r="D440" s="118"/>
      <c r="E440" s="118"/>
      <c r="F440" s="118"/>
      <c r="G440" s="119"/>
      <c r="H440" s="119"/>
      <c r="I440" s="119"/>
      <c r="J440" s="119" t="s">
        <v>95</v>
      </c>
      <c r="K440" s="119" t="s">
        <v>110</v>
      </c>
      <c r="L440" s="119" t="s">
        <v>123</v>
      </c>
      <c r="M440" s="51" cm="1">
        <f t="array" ref="M440">IF(L440="",0,_xlfn.SWITCH(L440,"A1",495,"A2",495,"A3",495,"Custom",0,595))</f>
        <v>0</v>
      </c>
      <c r="N440" s="51" cm="1">
        <f t="array" ref="N440">IF(L440="",0,_xlfn.SWITCH(L440,"C1",325,"C2",325,"C3",325,"D1",380,"D2",380,"D3",380,"Custom",0,285))</f>
        <v>0</v>
      </c>
      <c r="O440" s="51">
        <f>IF(L440="",0,_xlfn.SWITCH(L440,"A1",375,"B1",375,"C1",375,"D1",375,"A2",310,"B2",310,"C2",310,"D2",310,"Custom",0,260))</f>
        <v>0</v>
      </c>
      <c r="P440" s="51">
        <f>IFERROR(IF(OR(M440=0,N440=0),0,(M440+N440)*2+11),0)</f>
        <v>0</v>
      </c>
      <c r="Q440" s="51">
        <f>IFERROR(IF(OR(N440=0,O440=0),0,(N440+O440)-16),0)</f>
        <v>0</v>
      </c>
      <c r="R440" s="53">
        <f>P440*Q440/1000000</f>
        <v>0</v>
      </c>
      <c r="S440" s="123">
        <f>IFERROR(VLOOKUP(L440,'[4]Carton Sizes Chart'!$A$4:$E$15,5,FALSE),0)</f>
        <v>0</v>
      </c>
      <c r="T440" s="124">
        <f>S440</f>
        <v>0</v>
      </c>
      <c r="U440" s="124">
        <f>I440*T440</f>
        <v>0</v>
      </c>
      <c r="V440" s="123">
        <f>((T440*I440)-W440)*4%</f>
        <v>0</v>
      </c>
      <c r="W440" s="124">
        <f>S440*I440*5%</f>
        <v>0</v>
      </c>
    </row>
    <row r="441" spans="1:23">
      <c r="A441" s="120"/>
      <c r="B441" s="120"/>
      <c r="C441" s="119"/>
      <c r="D441" s="118"/>
      <c r="E441" s="118"/>
      <c r="F441" s="118"/>
      <c r="G441" s="119"/>
      <c r="H441" s="119"/>
      <c r="I441" s="119"/>
      <c r="J441" s="119" t="s">
        <v>95</v>
      </c>
      <c r="K441" s="119" t="s">
        <v>110</v>
      </c>
      <c r="L441" s="119" t="s">
        <v>123</v>
      </c>
      <c r="M441" s="51" cm="1">
        <f t="array" ref="M441">IF(L441="",0,_xlfn.SWITCH(L441,"A1",495,"A2",495,"A3",495,"Custom",0,595))</f>
        <v>0</v>
      </c>
      <c r="N441" s="51" cm="1">
        <f t="array" ref="N441">IF(L441="",0,_xlfn.SWITCH(L441,"C1",325,"C2",325,"C3",325,"D1",380,"D2",380,"D3",380,"Custom",0,285))</f>
        <v>0</v>
      </c>
      <c r="O441" s="51">
        <f>IF(L441="",0,_xlfn.SWITCH(L441,"A1",375,"B1",375,"C1",375,"D1",375,"A2",310,"B2",310,"C2",310,"D2",310,"Custom",0,260))</f>
        <v>0</v>
      </c>
      <c r="P441" s="51">
        <f>IFERROR(IF(OR(M441=0,N441=0),0,(M441+N441)*2+11),0)</f>
        <v>0</v>
      </c>
      <c r="Q441" s="51">
        <f>IFERROR(IF(OR(N441=0,O441=0),0,(N441+O441)-16),0)</f>
        <v>0</v>
      </c>
      <c r="R441" s="53">
        <f>P441*Q441/1000000</f>
        <v>0</v>
      </c>
      <c r="S441" s="123">
        <f>IFERROR(VLOOKUP(L441,'[4]Carton Sizes Chart'!$A$4:$E$15,5,FALSE),0)</f>
        <v>0</v>
      </c>
      <c r="T441" s="124">
        <f>S441</f>
        <v>0</v>
      </c>
      <c r="U441" s="124">
        <f>I441*T441</f>
        <v>0</v>
      </c>
      <c r="V441" s="123">
        <f>((T441*I441)-W441)*4%</f>
        <v>0</v>
      </c>
      <c r="W441" s="124">
        <f>S441*I441*5%</f>
        <v>0</v>
      </c>
    </row>
    <row r="442" spans="1:23">
      <c r="A442" s="118"/>
      <c r="B442" s="118"/>
      <c r="C442" s="119"/>
      <c r="D442" s="118"/>
      <c r="E442" s="118"/>
      <c r="F442" s="118"/>
      <c r="G442" s="119"/>
      <c r="H442" s="119"/>
      <c r="I442" s="119"/>
      <c r="J442" s="119" t="s">
        <v>95</v>
      </c>
      <c r="K442" s="119" t="s">
        <v>110</v>
      </c>
      <c r="L442" s="119" t="s">
        <v>123</v>
      </c>
      <c r="M442" s="51" cm="1">
        <f t="array" ref="M442">IF(L442="",0,_xlfn.SWITCH(L442,"A1",495,"A2",495,"A3",495,"Custom",0,595))</f>
        <v>0</v>
      </c>
      <c r="N442" s="51" cm="1">
        <f t="array" ref="N442">IF(L442="",0,_xlfn.SWITCH(L442,"C1",325,"C2",325,"C3",325,"D1",380,"D2",380,"D3",380,"Custom",0,285))</f>
        <v>0</v>
      </c>
      <c r="O442" s="51">
        <f>IF(L442="",0,_xlfn.SWITCH(L442,"A1",375,"B1",375,"C1",375,"D1",375,"A2",310,"B2",310,"C2",310,"D2",310,"Custom",0,260))</f>
        <v>0</v>
      </c>
      <c r="P442" s="51">
        <f>IFERROR(IF(OR(M442=0,N442=0),0,(M442+N442)*2+11),0)</f>
        <v>0</v>
      </c>
      <c r="Q442" s="51">
        <f>IFERROR(IF(OR(N442=0,O442=0),0,(N442+O442)-16),0)</f>
        <v>0</v>
      </c>
      <c r="R442" s="53">
        <f>P442*Q442/1000000</f>
        <v>0</v>
      </c>
      <c r="S442" s="123">
        <f>IFERROR(VLOOKUP(L442,'[4]Carton Sizes Chart'!$A$4:$E$15,5,FALSE),0)</f>
        <v>0</v>
      </c>
      <c r="T442" s="124">
        <f>S442</f>
        <v>0</v>
      </c>
      <c r="U442" s="124">
        <f>I442*T442</f>
        <v>0</v>
      </c>
      <c r="V442" s="123">
        <f>((T442*I442)-W442)*4%</f>
        <v>0</v>
      </c>
      <c r="W442" s="124">
        <f>S442*I442*5%</f>
        <v>0</v>
      </c>
    </row>
    <row r="443" spans="1:23">
      <c r="A443" s="118"/>
      <c r="B443" s="118"/>
      <c r="C443" s="119"/>
      <c r="D443" s="118"/>
      <c r="E443" s="118"/>
      <c r="F443" s="118"/>
      <c r="G443" s="119"/>
      <c r="H443" s="119"/>
      <c r="I443" s="119"/>
      <c r="J443" s="119" t="s">
        <v>95</v>
      </c>
      <c r="K443" s="119" t="s">
        <v>110</v>
      </c>
      <c r="L443" s="119" t="s">
        <v>123</v>
      </c>
      <c r="M443" s="51" cm="1">
        <f t="array" ref="M443">IF(L443="",0,_xlfn.SWITCH(L443,"A1",495,"A2",495,"A3",495,"Custom",0,595))</f>
        <v>0</v>
      </c>
      <c r="N443" s="51" cm="1">
        <f t="array" ref="N443">IF(L443="",0,_xlfn.SWITCH(L443,"C1",325,"C2",325,"C3",325,"D1",380,"D2",380,"D3",380,"Custom",0,285))</f>
        <v>0</v>
      </c>
      <c r="O443" s="51">
        <f>IF(L443="",0,_xlfn.SWITCH(L443,"A1",375,"B1",375,"C1",375,"D1",375,"A2",310,"B2",310,"C2",310,"D2",310,"Custom",0,260))</f>
        <v>0</v>
      </c>
      <c r="P443" s="51">
        <f>IFERROR(IF(OR(M443=0,N443=0),0,(M443+N443)*2+11),0)</f>
        <v>0</v>
      </c>
      <c r="Q443" s="51">
        <f>IFERROR(IF(OR(N443=0,O443=0),0,(N443+O443)-16),0)</f>
        <v>0</v>
      </c>
      <c r="R443" s="53">
        <f>P443*Q443/1000000</f>
        <v>0</v>
      </c>
      <c r="S443" s="123">
        <f>IFERROR(VLOOKUP(L443,'[4]Carton Sizes Chart'!$A$4:$E$15,5,FALSE),0)</f>
        <v>0</v>
      </c>
      <c r="T443" s="124">
        <f>S443</f>
        <v>0</v>
      </c>
      <c r="U443" s="124">
        <f>I443*T443</f>
        <v>0</v>
      </c>
      <c r="V443" s="123">
        <f>((T443*I443)-W443)*4%</f>
        <v>0</v>
      </c>
      <c r="W443" s="124">
        <f>S443*I443*5%</f>
        <v>0</v>
      </c>
    </row>
    <row r="444" spans="1:23">
      <c r="A444" s="118"/>
      <c r="B444" s="118"/>
      <c r="C444" s="119"/>
      <c r="D444" s="118"/>
      <c r="E444" s="118"/>
      <c r="F444" s="118"/>
      <c r="G444" s="119"/>
      <c r="H444" s="119"/>
      <c r="I444" s="119"/>
      <c r="J444" s="119" t="s">
        <v>95</v>
      </c>
      <c r="K444" s="119" t="s">
        <v>110</v>
      </c>
      <c r="L444" s="119" t="s">
        <v>123</v>
      </c>
      <c r="M444" s="51" cm="1">
        <f t="array" ref="M444">IF(L444="",0,_xlfn.SWITCH(L444,"A1",495,"A2",495,"A3",495,"Custom",0,595))</f>
        <v>0</v>
      </c>
      <c r="N444" s="51" cm="1">
        <f t="array" ref="N444">IF(L444="",0,_xlfn.SWITCH(L444,"C1",325,"C2",325,"C3",325,"D1",380,"D2",380,"D3",380,"Custom",0,285))</f>
        <v>0</v>
      </c>
      <c r="O444" s="51">
        <f>IF(L444="",0,_xlfn.SWITCH(L444,"A1",375,"B1",375,"C1",375,"D1",375,"A2",310,"B2",310,"C2",310,"D2",310,"Custom",0,260))</f>
        <v>0</v>
      </c>
      <c r="P444" s="51">
        <f>IFERROR(IF(OR(M444=0,N444=0),0,(M444+N444)*2+11),0)</f>
        <v>0</v>
      </c>
      <c r="Q444" s="51">
        <f>IFERROR(IF(OR(N444=0,O444=0),0,(N444+O444)-16),0)</f>
        <v>0</v>
      </c>
      <c r="R444" s="53">
        <f>P444*Q444/1000000</f>
        <v>0</v>
      </c>
      <c r="S444" s="123">
        <f>IFERROR(VLOOKUP(L444,'[4]Carton Sizes Chart'!$A$4:$E$15,5,FALSE),0)</f>
        <v>0</v>
      </c>
      <c r="T444" s="124">
        <f>S444</f>
        <v>0</v>
      </c>
      <c r="U444" s="124">
        <f>I444*T444</f>
        <v>0</v>
      </c>
      <c r="V444" s="123">
        <f>((T444*I444)-W444)*4%</f>
        <v>0</v>
      </c>
      <c r="W444" s="124">
        <f>S444*I444*5%</f>
        <v>0</v>
      </c>
    </row>
    <row r="445" spans="1:23">
      <c r="A445" s="118"/>
      <c r="B445" s="118"/>
      <c r="C445" s="119"/>
      <c r="D445" s="118"/>
      <c r="E445" s="118"/>
      <c r="F445" s="118"/>
      <c r="G445" s="119"/>
      <c r="H445" s="119"/>
      <c r="I445" s="119"/>
      <c r="J445" s="119" t="s">
        <v>95</v>
      </c>
      <c r="K445" s="119" t="s">
        <v>110</v>
      </c>
      <c r="L445" s="119" t="s">
        <v>123</v>
      </c>
      <c r="M445" s="51" cm="1">
        <f t="array" ref="M445">IF(L445="",0,_xlfn.SWITCH(L445,"A1",495,"A2",495,"A3",495,"Custom",0,595))</f>
        <v>0</v>
      </c>
      <c r="N445" s="51" cm="1">
        <f t="array" ref="N445">IF(L445="",0,_xlfn.SWITCH(L445,"C1",325,"C2",325,"C3",325,"D1",380,"D2",380,"D3",380,"Custom",0,285))</f>
        <v>0</v>
      </c>
      <c r="O445" s="51">
        <f>IF(L445="",0,_xlfn.SWITCH(L445,"A1",375,"B1",375,"C1",375,"D1",375,"A2",310,"B2",310,"C2",310,"D2",310,"Custom",0,260))</f>
        <v>0</v>
      </c>
      <c r="P445" s="51">
        <f>IFERROR(IF(OR(M445=0,N445=0),0,(M445+N445)*2+11),0)</f>
        <v>0</v>
      </c>
      <c r="Q445" s="51">
        <f>IFERROR(IF(OR(N445=0,O445=0),0,(N445+O445)-16),0)</f>
        <v>0</v>
      </c>
      <c r="R445" s="53">
        <f>P445*Q445/1000000</f>
        <v>0</v>
      </c>
      <c r="S445" s="123">
        <f>IFERROR(VLOOKUP(L445,'[4]Carton Sizes Chart'!$A$4:$E$15,5,FALSE),0)</f>
        <v>0</v>
      </c>
      <c r="T445" s="124">
        <f>S445</f>
        <v>0</v>
      </c>
      <c r="U445" s="124">
        <f>I445*T445</f>
        <v>0</v>
      </c>
      <c r="V445" s="123">
        <f>((T445*I445)-W445)*4%</f>
        <v>0</v>
      </c>
      <c r="W445" s="124">
        <f>S445*I445*5%</f>
        <v>0</v>
      </c>
    </row>
    <row r="446" spans="1:23">
      <c r="A446" s="118"/>
      <c r="B446" s="118"/>
      <c r="C446" s="119"/>
      <c r="D446" s="118"/>
      <c r="E446" s="118"/>
      <c r="F446" s="118"/>
      <c r="G446" s="119"/>
      <c r="H446" s="119"/>
      <c r="I446" s="119"/>
      <c r="J446" s="119" t="s">
        <v>95</v>
      </c>
      <c r="K446" s="119" t="s">
        <v>110</v>
      </c>
      <c r="L446" s="119" t="s">
        <v>123</v>
      </c>
      <c r="M446" s="51" cm="1">
        <f t="array" ref="M446">IF(L446="",0,_xlfn.SWITCH(L446,"A1",495,"A2",495,"A3",495,"Custom",0,595))</f>
        <v>0</v>
      </c>
      <c r="N446" s="51" cm="1">
        <f t="array" ref="N446">IF(L446="",0,_xlfn.SWITCH(L446,"C1",325,"C2",325,"C3",325,"D1",380,"D2",380,"D3",380,"Custom",0,285))</f>
        <v>0</v>
      </c>
      <c r="O446" s="51">
        <f>IF(L446="",0,_xlfn.SWITCH(L446,"A1",375,"B1",375,"C1",375,"D1",375,"A2",310,"B2",310,"C2",310,"D2",310,"Custom",0,260))</f>
        <v>0</v>
      </c>
      <c r="P446" s="51">
        <f>IFERROR(IF(OR(M446=0,N446=0),0,(M446+N446)*2+11),0)</f>
        <v>0</v>
      </c>
      <c r="Q446" s="51">
        <f>IFERROR(IF(OR(N446=0,O446=0),0,(N446+O446)-16),0)</f>
        <v>0</v>
      </c>
      <c r="R446" s="53">
        <f>P446*Q446/1000000</f>
        <v>0</v>
      </c>
      <c r="S446" s="123">
        <f>IFERROR(VLOOKUP(L446,'[4]Carton Sizes Chart'!$A$4:$E$15,5,FALSE),0)</f>
        <v>0</v>
      </c>
      <c r="T446" s="124">
        <f>S446</f>
        <v>0</v>
      </c>
      <c r="U446" s="124">
        <f>I446*T446</f>
        <v>0</v>
      </c>
      <c r="V446" s="123">
        <f>((T446*I446)-W446)*4%</f>
        <v>0</v>
      </c>
      <c r="W446" s="124">
        <f>S446*I446*5%</f>
        <v>0</v>
      </c>
    </row>
    <row r="447" spans="1:23">
      <c r="A447" s="118"/>
      <c r="B447" s="118"/>
      <c r="C447" s="119"/>
      <c r="D447" s="118"/>
      <c r="E447" s="118"/>
      <c r="F447" s="118"/>
      <c r="G447" s="119"/>
      <c r="H447" s="119"/>
      <c r="I447" s="119"/>
      <c r="J447" s="119" t="s">
        <v>95</v>
      </c>
      <c r="K447" s="119" t="s">
        <v>110</v>
      </c>
      <c r="L447" s="119" t="s">
        <v>123</v>
      </c>
      <c r="M447" s="51" cm="1">
        <f t="array" ref="M447">IF(L447="",0,_xlfn.SWITCH(L447,"A1",495,"A2",495,"A3",495,"Custom",0,595))</f>
        <v>0</v>
      </c>
      <c r="N447" s="51" cm="1">
        <f t="array" ref="N447">IF(L447="",0,_xlfn.SWITCH(L447,"C1",325,"C2",325,"C3",325,"D1",380,"D2",380,"D3",380,"Custom",0,285))</f>
        <v>0</v>
      </c>
      <c r="O447" s="51">
        <f>IF(L447="",0,_xlfn.SWITCH(L447,"A1",375,"B1",375,"C1",375,"D1",375,"A2",310,"B2",310,"C2",310,"D2",310,"Custom",0,260))</f>
        <v>0</v>
      </c>
      <c r="P447" s="51">
        <f>IFERROR(IF(OR(M447=0,N447=0),0,(M447+N447)*2+11),0)</f>
        <v>0</v>
      </c>
      <c r="Q447" s="51">
        <f>IFERROR(IF(OR(N447=0,O447=0),0,(N447+O447)-16),0)</f>
        <v>0</v>
      </c>
      <c r="R447" s="53">
        <f>P447*Q447/1000000</f>
        <v>0</v>
      </c>
      <c r="S447" s="123">
        <f>IFERROR(VLOOKUP(L447,'[4]Carton Sizes Chart'!$A$4:$E$15,5,FALSE),0)</f>
        <v>0</v>
      </c>
      <c r="T447" s="124">
        <f>S447</f>
        <v>0</v>
      </c>
      <c r="U447" s="124">
        <f>I447*T447</f>
        <v>0</v>
      </c>
      <c r="V447" s="123">
        <f>((T447*I447)-W447)*4%</f>
        <v>0</v>
      </c>
      <c r="W447" s="124">
        <f>S447*I447*5%</f>
        <v>0</v>
      </c>
    </row>
    <row r="448" spans="1:23">
      <c r="A448" s="118"/>
      <c r="B448" s="118"/>
      <c r="C448" s="119"/>
      <c r="D448" s="118"/>
      <c r="E448" s="118"/>
      <c r="F448" s="118"/>
      <c r="G448" s="119"/>
      <c r="H448" s="119"/>
      <c r="I448" s="119"/>
      <c r="J448" s="119" t="s">
        <v>95</v>
      </c>
      <c r="K448" s="119" t="s">
        <v>110</v>
      </c>
      <c r="L448" s="119" t="s">
        <v>123</v>
      </c>
      <c r="M448" s="51" cm="1">
        <f t="array" ref="M448">IF(L448="",0,_xlfn.SWITCH(L448,"A1",495,"A2",495,"A3",495,"Custom",0,595))</f>
        <v>0</v>
      </c>
      <c r="N448" s="51" cm="1">
        <f t="array" ref="N448">IF(L448="",0,_xlfn.SWITCH(L448,"C1",325,"C2",325,"C3",325,"D1",380,"D2",380,"D3",380,"Custom",0,285))</f>
        <v>0</v>
      </c>
      <c r="O448" s="51">
        <f>IF(L448="",0,_xlfn.SWITCH(L448,"A1",375,"B1",375,"C1",375,"D1",375,"A2",310,"B2",310,"C2",310,"D2",310,"Custom",0,260))</f>
        <v>0</v>
      </c>
      <c r="P448" s="51">
        <f>IFERROR(IF(OR(M448=0,N448=0),0,(M448+N448)*2+11),0)</f>
        <v>0</v>
      </c>
      <c r="Q448" s="51">
        <f>IFERROR(IF(OR(N448=0,O448=0),0,(N448+O448)-16),0)</f>
        <v>0</v>
      </c>
      <c r="R448" s="53">
        <f>P448*Q448/1000000</f>
        <v>0</v>
      </c>
      <c r="S448" s="123">
        <f>IFERROR(VLOOKUP(L448,'[4]Carton Sizes Chart'!$A$4:$E$15,5,FALSE),0)</f>
        <v>0</v>
      </c>
      <c r="T448" s="124">
        <f>S448</f>
        <v>0</v>
      </c>
      <c r="U448" s="124">
        <f>I448*T448</f>
        <v>0</v>
      </c>
      <c r="V448" s="123">
        <f>((T448*I448)-W448)*4%</f>
        <v>0</v>
      </c>
      <c r="W448" s="124">
        <f>S448*I448*5%</f>
        <v>0</v>
      </c>
    </row>
    <row r="449" spans="1:23">
      <c r="A449" s="118"/>
      <c r="B449" s="118"/>
      <c r="C449" s="119"/>
      <c r="D449" s="118"/>
      <c r="E449" s="118"/>
      <c r="F449" s="118"/>
      <c r="G449" s="119"/>
      <c r="H449" s="121"/>
      <c r="I449" s="121"/>
      <c r="J449" s="119" t="s">
        <v>95</v>
      </c>
      <c r="K449" s="119" t="s">
        <v>110</v>
      </c>
      <c r="L449" s="119" t="s">
        <v>123</v>
      </c>
      <c r="M449" s="51" cm="1">
        <f t="array" ref="M449">IF(L449="",0,_xlfn.SWITCH(L449,"A1",495,"A2",495,"A3",495,"Custom",0,595))</f>
        <v>0</v>
      </c>
      <c r="N449" s="51" cm="1">
        <f t="array" ref="N449">IF(L449="",0,_xlfn.SWITCH(L449,"C1",325,"C2",325,"C3",325,"D1",380,"D2",380,"D3",380,"Custom",0,285))</f>
        <v>0</v>
      </c>
      <c r="O449" s="51">
        <f>IF(L449="",0,_xlfn.SWITCH(L449,"A1",375,"B1",375,"C1",375,"D1",375,"A2",310,"B2",310,"C2",310,"D2",310,"Custom",0,260))</f>
        <v>0</v>
      </c>
      <c r="P449" s="51">
        <f>IFERROR(IF(OR(M449=0,N449=0),0,(M449+N449)*2+11),0)</f>
        <v>0</v>
      </c>
      <c r="Q449" s="51">
        <f>IFERROR(IF(OR(N449=0,O449=0),0,(N449+O449)-16),0)</f>
        <v>0</v>
      </c>
      <c r="R449" s="53">
        <f>P449*Q449/1000000</f>
        <v>0</v>
      </c>
      <c r="S449" s="123">
        <f>IFERROR(VLOOKUP(L449,'[4]Carton Sizes Chart'!$A$4:$E$15,5,FALSE),0)</f>
        <v>0</v>
      </c>
      <c r="T449" s="124">
        <f>S449</f>
        <v>0</v>
      </c>
      <c r="U449" s="124">
        <f>I449*T449</f>
        <v>0</v>
      </c>
      <c r="V449" s="123">
        <f>((T449*I449)-W449)*4%</f>
        <v>0</v>
      </c>
      <c r="W449" s="124">
        <f>S449*I449*5%</f>
        <v>0</v>
      </c>
    </row>
    <row r="450" spans="1:23">
      <c r="A450" s="118"/>
      <c r="B450" s="118"/>
      <c r="C450" s="119"/>
      <c r="D450" s="118"/>
      <c r="E450" s="118"/>
      <c r="F450" s="118"/>
      <c r="G450" s="119"/>
      <c r="H450" s="121"/>
      <c r="I450" s="121"/>
      <c r="J450" s="119" t="s">
        <v>95</v>
      </c>
      <c r="K450" s="119" t="s">
        <v>110</v>
      </c>
      <c r="L450" s="119" t="s">
        <v>123</v>
      </c>
      <c r="M450" s="51" cm="1">
        <f t="array" ref="M450">IF(L450="",0,_xlfn.SWITCH(L450,"A1",495,"A2",495,"A3",495,"Custom",0,595))</f>
        <v>0</v>
      </c>
      <c r="N450" s="51" cm="1">
        <f t="array" ref="N450">IF(L450="",0,_xlfn.SWITCH(L450,"C1",325,"C2",325,"C3",325,"D1",380,"D2",380,"D3",380,"Custom",0,285))</f>
        <v>0</v>
      </c>
      <c r="O450" s="51">
        <f>IF(L450="",0,_xlfn.SWITCH(L450,"A1",375,"B1",375,"C1",375,"D1",375,"A2",310,"B2",310,"C2",310,"D2",310,"Custom",0,260))</f>
        <v>0</v>
      </c>
      <c r="P450" s="51">
        <f>IFERROR(IF(OR(M450=0,N450=0),0,(M450+N450)*2+11),0)</f>
        <v>0</v>
      </c>
      <c r="Q450" s="51">
        <f>IFERROR(IF(OR(N450=0,O450=0),0,(N450+O450)-16),0)</f>
        <v>0</v>
      </c>
      <c r="R450" s="53">
        <f>P450*Q450/1000000</f>
        <v>0</v>
      </c>
      <c r="S450" s="123">
        <f>IFERROR(VLOOKUP(L450,'[4]Carton Sizes Chart'!$A$4:$E$15,5,FALSE),0)</f>
        <v>0</v>
      </c>
      <c r="T450" s="124">
        <f>S450</f>
        <v>0</v>
      </c>
      <c r="U450" s="124">
        <f>I450*T450</f>
        <v>0</v>
      </c>
      <c r="V450" s="123">
        <f>((T450*I450)-W450)*4%</f>
        <v>0</v>
      </c>
      <c r="W450" s="124">
        <f>S450*I450*5%</f>
        <v>0</v>
      </c>
    </row>
    <row r="451" spans="1:23">
      <c r="A451" s="118"/>
      <c r="B451" s="118"/>
      <c r="C451" s="119"/>
      <c r="D451" s="118"/>
      <c r="E451" s="118"/>
      <c r="F451" s="118"/>
      <c r="G451" s="119"/>
      <c r="H451" s="119"/>
      <c r="I451" s="119"/>
      <c r="J451" s="119" t="s">
        <v>95</v>
      </c>
      <c r="K451" s="119" t="s">
        <v>110</v>
      </c>
      <c r="L451" s="119" t="s">
        <v>123</v>
      </c>
      <c r="M451" s="51" cm="1">
        <f t="array" ref="M451">IF(L451="",0,_xlfn.SWITCH(L451,"A1",495,"A2",495,"A3",495,"Custom",0,595))</f>
        <v>0</v>
      </c>
      <c r="N451" s="51" cm="1">
        <f t="array" ref="N451">IF(L451="",0,_xlfn.SWITCH(L451,"C1",325,"C2",325,"C3",325,"D1",380,"D2",380,"D3",380,"Custom",0,285))</f>
        <v>0</v>
      </c>
      <c r="O451" s="51">
        <f>IF(L451="",0,_xlfn.SWITCH(L451,"A1",375,"B1",375,"C1",375,"D1",375,"A2",310,"B2",310,"C2",310,"D2",310,"Custom",0,260))</f>
        <v>0</v>
      </c>
      <c r="P451" s="51">
        <f>IFERROR(IF(OR(M451=0,N451=0),0,(M451+N451)*2+11),0)</f>
        <v>0</v>
      </c>
      <c r="Q451" s="51">
        <f>IFERROR(IF(OR(N451=0,O451=0),0,(N451+O451)-16),0)</f>
        <v>0</v>
      </c>
      <c r="R451" s="53">
        <f>P451*Q451/1000000</f>
        <v>0</v>
      </c>
      <c r="S451" s="123">
        <f>IFERROR(VLOOKUP(L451,'[4]Carton Sizes Chart'!$A$4:$E$15,5,FALSE),0)</f>
        <v>0</v>
      </c>
      <c r="T451" s="124">
        <f>S451</f>
        <v>0</v>
      </c>
      <c r="U451" s="124">
        <f>I451*T451</f>
        <v>0</v>
      </c>
      <c r="V451" s="123">
        <f>((T451*I451)-W451)*4%</f>
        <v>0</v>
      </c>
      <c r="W451" s="124">
        <f>S451*I451*5%</f>
        <v>0</v>
      </c>
    </row>
    <row r="452" spans="1:23">
      <c r="A452" s="118"/>
      <c r="B452" s="118"/>
      <c r="C452" s="119"/>
      <c r="D452" s="118"/>
      <c r="E452" s="118"/>
      <c r="F452" s="118"/>
      <c r="G452" s="119"/>
      <c r="H452" s="119"/>
      <c r="I452" s="119"/>
      <c r="J452" s="119" t="s">
        <v>95</v>
      </c>
      <c r="K452" s="119" t="s">
        <v>110</v>
      </c>
      <c r="L452" s="119" t="s">
        <v>123</v>
      </c>
      <c r="M452" s="51" cm="1">
        <f t="array" ref="M452">IF(L452="",0,_xlfn.SWITCH(L452,"A1",495,"A2",495,"A3",495,"Custom",0,595))</f>
        <v>0</v>
      </c>
      <c r="N452" s="51" cm="1">
        <f t="array" ref="N452">IF(L452="",0,_xlfn.SWITCH(L452,"C1",325,"C2",325,"C3",325,"D1",380,"D2",380,"D3",380,"Custom",0,285))</f>
        <v>0</v>
      </c>
      <c r="O452" s="51">
        <f>IF(L452="",0,_xlfn.SWITCH(L452,"A1",375,"B1",375,"C1",375,"D1",375,"A2",310,"B2",310,"C2",310,"D2",310,"Custom",0,260))</f>
        <v>0</v>
      </c>
      <c r="P452" s="51">
        <f>IFERROR(IF(OR(M452=0,N452=0),0,(M452+N452)*2+11),0)</f>
        <v>0</v>
      </c>
      <c r="Q452" s="51">
        <f>IFERROR(IF(OR(N452=0,O452=0),0,(N452+O452)-16),0)</f>
        <v>0</v>
      </c>
      <c r="R452" s="53">
        <f>P452*Q452/1000000</f>
        <v>0</v>
      </c>
      <c r="S452" s="123">
        <f>IFERROR(VLOOKUP(L452,'[4]Carton Sizes Chart'!$A$4:$E$15,5,FALSE),0)</f>
        <v>0</v>
      </c>
      <c r="T452" s="124">
        <f>S452</f>
        <v>0</v>
      </c>
      <c r="U452" s="124">
        <f>I452*T452</f>
        <v>0</v>
      </c>
      <c r="V452" s="123">
        <f>((T452*I452)-W452)*4%</f>
        <v>0</v>
      </c>
      <c r="W452" s="124">
        <f>S452*I452*5%</f>
        <v>0</v>
      </c>
    </row>
    <row r="453" spans="1:23">
      <c r="A453" s="118"/>
      <c r="B453" s="118"/>
      <c r="C453" s="119"/>
      <c r="D453" s="118"/>
      <c r="E453" s="118"/>
      <c r="F453" s="118"/>
      <c r="G453" s="119"/>
      <c r="H453" s="119"/>
      <c r="I453" s="119"/>
      <c r="J453" s="119" t="s">
        <v>95</v>
      </c>
      <c r="K453" s="119" t="s">
        <v>110</v>
      </c>
      <c r="L453" s="119" t="s">
        <v>123</v>
      </c>
      <c r="M453" s="51" cm="1">
        <f t="array" ref="M453">IF(L453="",0,_xlfn.SWITCH(L453,"A1",495,"A2",495,"A3",495,"Custom",0,595))</f>
        <v>0</v>
      </c>
      <c r="N453" s="51" cm="1">
        <f t="array" ref="N453">IF(L453="",0,_xlfn.SWITCH(L453,"C1",325,"C2",325,"C3",325,"D1",380,"D2",380,"D3",380,"Custom",0,285))</f>
        <v>0</v>
      </c>
      <c r="O453" s="51">
        <f>IF(L453="",0,_xlfn.SWITCH(L453,"A1",375,"B1",375,"C1",375,"D1",375,"A2",310,"B2",310,"C2",310,"D2",310,"Custom",0,260))</f>
        <v>0</v>
      </c>
      <c r="P453" s="51">
        <f>IFERROR(IF(OR(M453=0,N453=0),0,(M453+N453)*2+11),0)</f>
        <v>0</v>
      </c>
      <c r="Q453" s="51">
        <f>IFERROR(IF(OR(N453=0,O453=0),0,(N453+O453)-16),0)</f>
        <v>0</v>
      </c>
      <c r="R453" s="53">
        <f>P453*Q453/1000000</f>
        <v>0</v>
      </c>
      <c r="S453" s="123">
        <f>IFERROR(VLOOKUP(L453,'[4]Carton Sizes Chart'!$A$4:$E$15,5,FALSE),0)</f>
        <v>0</v>
      </c>
      <c r="T453" s="124">
        <f>S453</f>
        <v>0</v>
      </c>
      <c r="U453" s="124">
        <f>I453*T453</f>
        <v>0</v>
      </c>
      <c r="V453" s="123">
        <f>((T453*I453)-W453)*4%</f>
        <v>0</v>
      </c>
      <c r="W453" s="124">
        <f>S453*I453*5%</f>
        <v>0</v>
      </c>
    </row>
    <row r="454" spans="1:23">
      <c r="A454" s="118"/>
      <c r="B454" s="118"/>
      <c r="C454" s="119"/>
      <c r="D454" s="118"/>
      <c r="E454" s="118"/>
      <c r="F454" s="118"/>
      <c r="G454" s="119"/>
      <c r="H454" s="119"/>
      <c r="I454" s="119"/>
      <c r="J454" s="119" t="s">
        <v>95</v>
      </c>
      <c r="K454" s="119" t="s">
        <v>110</v>
      </c>
      <c r="L454" s="119" t="s">
        <v>123</v>
      </c>
      <c r="M454" s="51" cm="1">
        <f t="array" ref="M454">IF(L454="",0,_xlfn.SWITCH(L454,"A1",495,"A2",495,"A3",495,"Custom",0,595))</f>
        <v>0</v>
      </c>
      <c r="N454" s="51" cm="1">
        <f t="array" ref="N454">IF(L454="",0,_xlfn.SWITCH(L454,"C1",325,"C2",325,"C3",325,"D1",380,"D2",380,"D3",380,"Custom",0,285))</f>
        <v>0</v>
      </c>
      <c r="O454" s="51">
        <f>IF(L454="",0,_xlfn.SWITCH(L454,"A1",375,"B1",375,"C1",375,"D1",375,"A2",310,"B2",310,"C2",310,"D2",310,"Custom",0,260))</f>
        <v>0</v>
      </c>
      <c r="P454" s="51">
        <f>IFERROR(IF(OR(M454=0,N454=0),0,(M454+N454)*2+11),0)</f>
        <v>0</v>
      </c>
      <c r="Q454" s="51">
        <f>IFERROR(IF(OR(N454=0,O454=0),0,(N454+O454)-16),0)</f>
        <v>0</v>
      </c>
      <c r="R454" s="53">
        <f>P454*Q454/1000000</f>
        <v>0</v>
      </c>
      <c r="S454" s="129">
        <f>IF(L454="Custom", R454*'[1]RFQ_Matalan Carton'!$M$40, IFERROR(VLOOKUP(L454,'[1]Carton Sizes Chart'!$A$4:$E$15,5,FALSE),0))</f>
        <v>0</v>
      </c>
      <c r="T454" s="124">
        <f>S454</f>
        <v>0</v>
      </c>
      <c r="U454" s="124">
        <f>I454*T454</f>
        <v>0</v>
      </c>
      <c r="V454" s="123">
        <f>((T454*I454)-W454)*4%</f>
        <v>0</v>
      </c>
      <c r="W454" s="124">
        <f>S454*I454*5%</f>
        <v>0</v>
      </c>
    </row>
    <row r="455" spans="1:23">
      <c r="A455" s="118"/>
      <c r="B455" s="118"/>
      <c r="C455" s="119"/>
      <c r="D455" s="118"/>
      <c r="E455" s="118"/>
      <c r="F455" s="118"/>
      <c r="G455" s="119"/>
      <c r="H455" s="119"/>
      <c r="I455" s="119"/>
      <c r="J455" s="119" t="s">
        <v>95</v>
      </c>
      <c r="K455" s="119" t="s">
        <v>110</v>
      </c>
      <c r="L455" s="119" t="s">
        <v>123</v>
      </c>
      <c r="M455" s="51" cm="1">
        <f t="array" ref="M455">IF(L455="",0,_xlfn.SWITCH(L455,"A1",495,"A2",495,"A3",495,"Custom",0,595))</f>
        <v>0</v>
      </c>
      <c r="N455" s="51" cm="1">
        <f t="array" ref="N455">IF(L455="",0,_xlfn.SWITCH(L455,"C1",325,"C2",325,"C3",325,"D1",380,"D2",380,"D3",380,"Custom",0,285))</f>
        <v>0</v>
      </c>
      <c r="O455" s="51">
        <f>IF(L455="",0,_xlfn.SWITCH(L455,"A1",375,"B1",375,"C1",375,"D1",375,"A2",310,"B2",310,"C2",310,"D2",310,"Custom",0,260))</f>
        <v>0</v>
      </c>
      <c r="P455" s="51">
        <f>IFERROR(IF(OR(M455=0,N455=0),0,(M455+N455)*2+11),0)</f>
        <v>0</v>
      </c>
      <c r="Q455" s="51">
        <f>IFERROR(IF(OR(N455=0,O455=0),0,(N455+O455)-16),0)</f>
        <v>0</v>
      </c>
      <c r="R455" s="53">
        <f>P455*Q455/1000000</f>
        <v>0</v>
      </c>
      <c r="S455" s="129">
        <f>IF(L455="Custom", R455*'[1]RFQ_Matalan Carton'!$M$40, IFERROR(VLOOKUP(L455,'[1]Carton Sizes Chart'!$A$4:$E$15,5,FALSE),0))</f>
        <v>0</v>
      </c>
      <c r="T455" s="124">
        <f>S455</f>
        <v>0</v>
      </c>
      <c r="U455" s="124">
        <f>I455*T455</f>
        <v>0</v>
      </c>
      <c r="V455" s="123">
        <f>((T455*I455)-W455)*4%</f>
        <v>0</v>
      </c>
      <c r="W455" s="124">
        <f>S455*I455*5%</f>
        <v>0</v>
      </c>
    </row>
    <row r="456" spans="1:23">
      <c r="A456" s="118"/>
      <c r="B456" s="118"/>
      <c r="C456" s="119"/>
      <c r="D456" s="118"/>
      <c r="E456" s="118"/>
      <c r="F456" s="118"/>
      <c r="G456" s="119"/>
      <c r="H456" s="119"/>
      <c r="I456" s="119"/>
      <c r="J456" s="119" t="s">
        <v>95</v>
      </c>
      <c r="K456" s="119" t="s">
        <v>110</v>
      </c>
      <c r="L456" s="119" t="s">
        <v>123</v>
      </c>
      <c r="M456" s="51" cm="1">
        <f t="array" ref="M456">IF(L456="",0,_xlfn.SWITCH(L456,"A1",495,"A2",495,"A3",495,"Custom",0,595))</f>
        <v>0</v>
      </c>
      <c r="N456" s="51" cm="1">
        <f t="array" ref="N456">IF(L456="",0,_xlfn.SWITCH(L456,"C1",325,"C2",325,"C3",325,"D1",380,"D2",380,"D3",380,"Custom",0,285))</f>
        <v>0</v>
      </c>
      <c r="O456" s="51">
        <f>IF(L456="",0,_xlfn.SWITCH(L456,"A1",375,"B1",375,"C1",375,"D1",375,"A2",310,"B2",310,"C2",310,"D2",310,"Custom",0,260))</f>
        <v>0</v>
      </c>
      <c r="P456" s="51">
        <f>IFERROR(IF(OR(M456=0,N456=0),0,(M456+N456)*2+11),0)</f>
        <v>0</v>
      </c>
      <c r="Q456" s="51">
        <f>IFERROR(IF(OR(N456=0,O456=0),0,(N456+O456)-16),0)</f>
        <v>0</v>
      </c>
      <c r="R456" s="53">
        <f>P456*Q456/1000000</f>
        <v>0</v>
      </c>
      <c r="S456" s="129">
        <f>IF(L456="Custom", R456*'[1]RFQ_Matalan Carton'!$M$40, IFERROR(VLOOKUP(L456,'[1]Carton Sizes Chart'!$A$4:$E$15,5,FALSE),0))</f>
        <v>0</v>
      </c>
      <c r="T456" s="124">
        <f>S456</f>
        <v>0</v>
      </c>
      <c r="U456" s="124">
        <f>I456*T456</f>
        <v>0</v>
      </c>
      <c r="V456" s="123">
        <f>((T456*I456)-W456)*4%</f>
        <v>0</v>
      </c>
      <c r="W456" s="124">
        <f>S456*I456*5%</f>
        <v>0</v>
      </c>
    </row>
    <row r="457" spans="1:23">
      <c r="A457" s="118"/>
      <c r="B457" s="118"/>
      <c r="C457" s="119"/>
      <c r="D457" s="118"/>
      <c r="E457" s="118"/>
      <c r="F457" s="118"/>
      <c r="G457" s="119"/>
      <c r="H457" s="119"/>
      <c r="I457" s="119"/>
      <c r="J457" s="119" t="s">
        <v>95</v>
      </c>
      <c r="K457" s="119" t="s">
        <v>110</v>
      </c>
      <c r="L457" s="119" t="s">
        <v>123</v>
      </c>
      <c r="M457" s="51" cm="1">
        <f t="array" ref="M457">IF(L457="",0,_xlfn.SWITCH(L457,"A1",495,"A2",495,"A3",495,"Custom",0,595))</f>
        <v>0</v>
      </c>
      <c r="N457" s="51" cm="1">
        <f t="array" ref="N457">IF(L457="",0,_xlfn.SWITCH(L457,"C1",325,"C2",325,"C3",325,"D1",380,"D2",380,"D3",380,"Custom",0,285))</f>
        <v>0</v>
      </c>
      <c r="O457" s="51">
        <f>IF(L457="",0,_xlfn.SWITCH(L457,"A1",375,"B1",375,"C1",375,"D1",375,"A2",310,"B2",310,"C2",310,"D2",310,"Custom",0,260))</f>
        <v>0</v>
      </c>
      <c r="P457" s="51">
        <f>IFERROR(IF(OR(M457=0,N457=0),0,(M457+N457)*2+11),0)</f>
        <v>0</v>
      </c>
      <c r="Q457" s="51">
        <f>IFERROR(IF(OR(N457=0,O457=0),0,(N457+O457)-16),0)</f>
        <v>0</v>
      </c>
      <c r="R457" s="53">
        <f>P457*Q457/1000000</f>
        <v>0</v>
      </c>
      <c r="S457" s="129">
        <f>IF(L457="Custom", R457*'[1]RFQ_Matalan Carton'!$M$40, IFERROR(VLOOKUP(L457,'[1]Carton Sizes Chart'!$A$4:$E$15,5,FALSE),0))</f>
        <v>0</v>
      </c>
      <c r="T457" s="124">
        <f>S457</f>
        <v>0</v>
      </c>
      <c r="U457" s="124">
        <f>I457*T457</f>
        <v>0</v>
      </c>
      <c r="V457" s="123">
        <f>((T457*I457)-W457)*4%</f>
        <v>0</v>
      </c>
      <c r="W457" s="124">
        <f>S457*I457*5%</f>
        <v>0</v>
      </c>
    </row>
    <row r="458" spans="1:23">
      <c r="A458" s="118"/>
      <c r="B458" s="118"/>
      <c r="C458" s="119"/>
      <c r="D458" s="118"/>
      <c r="E458" s="118"/>
      <c r="F458" s="118"/>
      <c r="G458" s="119"/>
      <c r="H458" s="121"/>
      <c r="I458" s="121"/>
      <c r="J458" s="119" t="s">
        <v>95</v>
      </c>
      <c r="K458" s="119" t="s">
        <v>110</v>
      </c>
      <c r="L458" s="119" t="s">
        <v>123</v>
      </c>
      <c r="M458" s="51" cm="1">
        <f t="array" ref="M458">IF(L458="",0,_xlfn.SWITCH(L458,"A1",495,"A2",495,"A3",495,"Custom",0,595))</f>
        <v>0</v>
      </c>
      <c r="N458" s="51" cm="1">
        <f t="array" ref="N458">IF(L458="",0,_xlfn.SWITCH(L458,"C1",325,"C2",325,"C3",325,"D1",380,"D2",380,"D3",380,"Custom",0,285))</f>
        <v>0</v>
      </c>
      <c r="O458" s="51">
        <f>IF(L458="",0,_xlfn.SWITCH(L458,"A1",375,"B1",375,"C1",375,"D1",375,"A2",310,"B2",310,"C2",310,"D2",310,"Custom",0,260))</f>
        <v>0</v>
      </c>
      <c r="P458" s="51">
        <f>IFERROR(IF(OR(M458=0,N458=0),0,(M458+N458)*2+11),0)</f>
        <v>0</v>
      </c>
      <c r="Q458" s="51">
        <f>IFERROR(IF(OR(N458=0,O458=0),0,(N458+O458)-16),0)</f>
        <v>0</v>
      </c>
      <c r="R458" s="53">
        <f>P458*Q458/1000000</f>
        <v>0</v>
      </c>
      <c r="S458" s="129">
        <f>IF(L458="Custom", R458*'[1]RFQ_Matalan Carton'!$M$40, IFERROR(VLOOKUP(L458,'[1]Carton Sizes Chart'!$A$4:$E$15,5,FALSE),0))</f>
        <v>0</v>
      </c>
      <c r="T458" s="124">
        <f>S458</f>
        <v>0</v>
      </c>
      <c r="U458" s="124">
        <f>I458*T458</f>
        <v>0</v>
      </c>
      <c r="V458" s="123">
        <f>((T458*I458)-W458)*4%</f>
        <v>0</v>
      </c>
      <c r="W458" s="124">
        <f>S458*I458*5%</f>
        <v>0</v>
      </c>
    </row>
    <row r="459" spans="1:23">
      <c r="A459" s="118"/>
      <c r="B459" s="118"/>
      <c r="C459" s="119"/>
      <c r="D459" s="118"/>
      <c r="E459" s="118"/>
      <c r="F459" s="118"/>
      <c r="G459" s="119"/>
      <c r="H459" s="119"/>
      <c r="I459" s="119"/>
      <c r="J459" s="119" t="s">
        <v>95</v>
      </c>
      <c r="K459" s="119" t="s">
        <v>110</v>
      </c>
      <c r="L459" s="119" t="s">
        <v>123</v>
      </c>
      <c r="M459" s="51" cm="1">
        <f t="array" ref="M459">IF(L459="",0,_xlfn.SWITCH(L459,"A1",495,"A2",495,"A3",495,"Custom",0,595))</f>
        <v>0</v>
      </c>
      <c r="N459" s="51" cm="1">
        <f t="array" ref="N459">IF(L459="",0,_xlfn.SWITCH(L459,"C1",325,"C2",325,"C3",325,"D1",380,"D2",380,"D3",380,"Custom",0,285))</f>
        <v>0</v>
      </c>
      <c r="O459" s="51">
        <f>IF(L459="",0,_xlfn.SWITCH(L459,"A1",375,"B1",375,"C1",375,"D1",375,"A2",310,"B2",310,"C2",310,"D2",310,"Custom",0,260))</f>
        <v>0</v>
      </c>
      <c r="P459" s="51">
        <f>IFERROR(IF(OR(M459=0,N459=0),0,(M459+N459)*2+11),0)</f>
        <v>0</v>
      </c>
      <c r="Q459" s="51">
        <f>IFERROR(IF(OR(N459=0,O459=0),0,(N459+O459)-16),0)</f>
        <v>0</v>
      </c>
      <c r="R459" s="53">
        <f>P459*Q459/1000000</f>
        <v>0</v>
      </c>
      <c r="S459" s="123">
        <f>IFERROR(VLOOKUP(L459,'[4]Carton Sizes Chart'!$A$4:$E$15,5,FALSE),0)</f>
        <v>0</v>
      </c>
      <c r="T459" s="124">
        <f>S459</f>
        <v>0</v>
      </c>
      <c r="U459" s="124">
        <f>I459*T459</f>
        <v>0</v>
      </c>
      <c r="V459" s="123">
        <f>((T459*I459)-W459)*4%</f>
        <v>0</v>
      </c>
      <c r="W459" s="124">
        <f>S459*I459*5%</f>
        <v>0</v>
      </c>
    </row>
    <row r="460" spans="1:23">
      <c r="A460" s="118"/>
      <c r="B460" s="118"/>
      <c r="C460" s="119"/>
      <c r="D460" s="118"/>
      <c r="E460" s="118"/>
      <c r="F460" s="118"/>
      <c r="G460" s="119"/>
      <c r="H460" s="119"/>
      <c r="I460" s="119"/>
      <c r="J460" s="119" t="s">
        <v>95</v>
      </c>
      <c r="K460" s="119" t="s">
        <v>110</v>
      </c>
      <c r="L460" s="119" t="s">
        <v>123</v>
      </c>
      <c r="M460" s="51" cm="1">
        <f t="array" ref="M460">IF(L460="",0,_xlfn.SWITCH(L460,"A1",495,"A2",495,"A3",495,"Custom",0,595))</f>
        <v>0</v>
      </c>
      <c r="N460" s="51" cm="1">
        <f t="array" ref="N460">IF(L460="",0,_xlfn.SWITCH(L460,"C1",325,"C2",325,"C3",325,"D1",380,"D2",380,"D3",380,"Custom",0,285))</f>
        <v>0</v>
      </c>
      <c r="O460" s="51">
        <f>IF(L460="",0,_xlfn.SWITCH(L460,"A1",375,"B1",375,"C1",375,"D1",375,"A2",310,"B2",310,"C2",310,"D2",310,"Custom",0,260))</f>
        <v>0</v>
      </c>
      <c r="P460" s="51">
        <f>IFERROR(IF(OR(M460=0,N460=0),0,(M460+N460)*2+11),0)</f>
        <v>0</v>
      </c>
      <c r="Q460" s="51">
        <f>IFERROR(IF(OR(N460=0,O460=0),0,(N460+O460)-16),0)</f>
        <v>0</v>
      </c>
      <c r="R460" s="53">
        <f>P460*Q460/1000000</f>
        <v>0</v>
      </c>
      <c r="S460" s="123">
        <f>IFERROR(VLOOKUP(L460,'[4]Carton Sizes Chart'!$A$4:$E$15,5,FALSE),0)</f>
        <v>0</v>
      </c>
      <c r="T460" s="124">
        <f>S460</f>
        <v>0</v>
      </c>
      <c r="U460" s="124">
        <f>I460*T460</f>
        <v>0</v>
      </c>
      <c r="V460" s="123">
        <f>((T460*I460)-W460)*4%</f>
        <v>0</v>
      </c>
      <c r="W460" s="124">
        <f>S460*I460*5%</f>
        <v>0</v>
      </c>
    </row>
    <row r="461" spans="1:23">
      <c r="A461" s="118"/>
      <c r="B461" s="118"/>
      <c r="C461" s="119"/>
      <c r="D461" s="118"/>
      <c r="E461" s="118"/>
      <c r="F461" s="118"/>
      <c r="G461" s="119"/>
      <c r="H461" s="119"/>
      <c r="I461" s="119"/>
      <c r="J461" s="119" t="s">
        <v>95</v>
      </c>
      <c r="K461" s="119" t="s">
        <v>110</v>
      </c>
      <c r="L461" s="119" t="s">
        <v>123</v>
      </c>
      <c r="M461" s="51" cm="1">
        <f t="array" ref="M461">IF(L461="",0,_xlfn.SWITCH(L461,"A1",495,"A2",495,"A3",495,"Custom",0,595))</f>
        <v>0</v>
      </c>
      <c r="N461" s="51" cm="1">
        <f t="array" ref="N461">IF(L461="",0,_xlfn.SWITCH(L461,"C1",325,"C2",325,"C3",325,"D1",380,"D2",380,"D3",380,"Custom",0,285))</f>
        <v>0</v>
      </c>
      <c r="O461" s="51">
        <f>IF(L461="",0,_xlfn.SWITCH(L461,"A1",375,"B1",375,"C1",375,"D1",375,"A2",310,"B2",310,"C2",310,"D2",310,"Custom",0,260))</f>
        <v>0</v>
      </c>
      <c r="P461" s="51">
        <f>IFERROR(IF(OR(M461=0,N461=0),0,(M461+N461)*2+11),0)</f>
        <v>0</v>
      </c>
      <c r="Q461" s="51">
        <f>IFERROR(IF(OR(N461=0,O461=0),0,(N461+O461)-16),0)</f>
        <v>0</v>
      </c>
      <c r="R461" s="53">
        <f>P461*Q461/1000000</f>
        <v>0</v>
      </c>
      <c r="S461" s="123">
        <f>IFERROR(VLOOKUP(L461,'[4]Carton Sizes Chart'!$A$4:$E$15,5,FALSE),0)</f>
        <v>0</v>
      </c>
      <c r="T461" s="124">
        <f>S461</f>
        <v>0</v>
      </c>
      <c r="U461" s="124">
        <f>I461*T461</f>
        <v>0</v>
      </c>
      <c r="V461" s="123">
        <f>((T461*I461)-W461)*4%</f>
        <v>0</v>
      </c>
      <c r="W461" s="124">
        <f>S461*I461*5%</f>
        <v>0</v>
      </c>
    </row>
    <row r="462" spans="1:23">
      <c r="A462" s="118"/>
      <c r="B462" s="118"/>
      <c r="C462" s="119"/>
      <c r="D462" s="118"/>
      <c r="E462" s="118"/>
      <c r="F462" s="118"/>
      <c r="G462" s="119"/>
      <c r="H462" s="119"/>
      <c r="I462" s="119"/>
      <c r="J462" s="119" t="s">
        <v>95</v>
      </c>
      <c r="K462" s="119" t="s">
        <v>110</v>
      </c>
      <c r="L462" s="119" t="s">
        <v>123</v>
      </c>
      <c r="M462" s="51" cm="1">
        <f t="array" ref="M462">IF(L462="",0,_xlfn.SWITCH(L462,"A1",495,"A2",495,"A3",495,"Custom",0,595))</f>
        <v>0</v>
      </c>
      <c r="N462" s="51" cm="1">
        <f t="array" ref="N462">IF(L462="",0,_xlfn.SWITCH(L462,"C1",325,"C2",325,"C3",325,"D1",380,"D2",380,"D3",380,"Custom",0,285))</f>
        <v>0</v>
      </c>
      <c r="O462" s="51">
        <f>IF(L462="",0,_xlfn.SWITCH(L462,"A1",375,"B1",375,"C1",375,"D1",375,"A2",310,"B2",310,"C2",310,"D2",310,"Custom",0,260))</f>
        <v>0</v>
      </c>
      <c r="P462" s="51">
        <f>IFERROR(IF(OR(M462=0,N462=0),0,(M462+N462)*2+11),0)</f>
        <v>0</v>
      </c>
      <c r="Q462" s="51">
        <f>IFERROR(IF(OR(N462=0,O462=0),0,(N462+O462)-16),0)</f>
        <v>0</v>
      </c>
      <c r="R462" s="53">
        <f>P462*Q462/1000000</f>
        <v>0</v>
      </c>
      <c r="S462" s="123">
        <f>IFERROR(VLOOKUP(L462,'[4]Carton Sizes Chart'!$A$4:$E$15,5,FALSE),0)</f>
        <v>0</v>
      </c>
      <c r="T462" s="124">
        <f>S462</f>
        <v>0</v>
      </c>
      <c r="U462" s="124">
        <f>I462*T462</f>
        <v>0</v>
      </c>
      <c r="V462" s="123">
        <f>((T462*I462)-W462)*4%</f>
        <v>0</v>
      </c>
      <c r="W462" s="124">
        <f>S462*I462*5%</f>
        <v>0</v>
      </c>
    </row>
    <row r="463" spans="1:23">
      <c r="A463" s="118"/>
      <c r="B463" s="118"/>
      <c r="C463" s="119"/>
      <c r="D463" s="118"/>
      <c r="E463" s="118"/>
      <c r="F463" s="118"/>
      <c r="G463" s="119"/>
      <c r="H463" s="119"/>
      <c r="I463" s="119"/>
      <c r="J463" s="119" t="s">
        <v>95</v>
      </c>
      <c r="K463" s="119" t="s">
        <v>110</v>
      </c>
      <c r="L463" s="119" t="s">
        <v>123</v>
      </c>
      <c r="M463" s="51" cm="1">
        <f t="array" ref="M463">IF(L463="",0,_xlfn.SWITCH(L463,"A1",495,"A2",495,"A3",495,"Custom",0,595))</f>
        <v>0</v>
      </c>
      <c r="N463" s="51" cm="1">
        <f t="array" ref="N463">IF(L463="",0,_xlfn.SWITCH(L463,"C1",325,"C2",325,"C3",325,"D1",380,"D2",380,"D3",380,"Custom",0,285))</f>
        <v>0</v>
      </c>
      <c r="O463" s="51">
        <f>IF(L463="",0,_xlfn.SWITCH(L463,"A1",375,"B1",375,"C1",375,"D1",375,"A2",310,"B2",310,"C2",310,"D2",310,"Custom",0,260))</f>
        <v>0</v>
      </c>
      <c r="P463" s="51">
        <f>IFERROR(IF(OR(M463=0,N463=0),0,(M463+N463)*2+11),0)</f>
        <v>0</v>
      </c>
      <c r="Q463" s="51">
        <f>IFERROR(IF(OR(N463=0,O463=0),0,(N463+O463)-16),0)</f>
        <v>0</v>
      </c>
      <c r="R463" s="53">
        <f>P463*Q463/1000000</f>
        <v>0</v>
      </c>
      <c r="S463" s="123">
        <f>IFERROR(VLOOKUP(L463,'[4]Carton Sizes Chart'!$A$4:$E$15,5,FALSE),0)</f>
        <v>0</v>
      </c>
      <c r="T463" s="124">
        <f>S463</f>
        <v>0</v>
      </c>
      <c r="U463" s="124">
        <f>I463*T463</f>
        <v>0</v>
      </c>
      <c r="V463" s="123">
        <f>((T463*I463)-W463)*4%</f>
        <v>0</v>
      </c>
      <c r="W463" s="124">
        <f>S463*I463*5%</f>
        <v>0</v>
      </c>
    </row>
    <row r="464" spans="1:23">
      <c r="A464" s="118"/>
      <c r="B464" s="118"/>
      <c r="C464" s="119"/>
      <c r="D464" s="118"/>
      <c r="E464" s="118"/>
      <c r="F464" s="118"/>
      <c r="G464" s="119"/>
      <c r="H464" s="119"/>
      <c r="I464" s="119"/>
      <c r="J464" s="119" t="s">
        <v>95</v>
      </c>
      <c r="K464" s="119" t="s">
        <v>110</v>
      </c>
      <c r="L464" s="119" t="s">
        <v>123</v>
      </c>
      <c r="M464" s="51" cm="1">
        <f t="array" ref="M464">IF(L464="",0,_xlfn.SWITCH(L464,"A1",495,"A2",495,"A3",495,"Custom",0,595))</f>
        <v>0</v>
      </c>
      <c r="N464" s="51" cm="1">
        <f t="array" ref="N464">IF(L464="",0,_xlfn.SWITCH(L464,"C1",325,"C2",325,"C3",325,"D1",380,"D2",380,"D3",380,"Custom",0,285))</f>
        <v>0</v>
      </c>
      <c r="O464" s="51">
        <f>IF(L464="",0,_xlfn.SWITCH(L464,"A1",375,"B1",375,"C1",375,"D1",375,"A2",310,"B2",310,"C2",310,"D2",310,"Custom",0,260))</f>
        <v>0</v>
      </c>
      <c r="P464" s="51">
        <f>IFERROR(IF(OR(M464=0,N464=0),0,(M464+N464)*2+11),0)</f>
        <v>0</v>
      </c>
      <c r="Q464" s="51">
        <f>IFERROR(IF(OR(N464=0,O464=0),0,(N464+O464)-16),0)</f>
        <v>0</v>
      </c>
      <c r="R464" s="53">
        <f>P464*Q464/1000000</f>
        <v>0</v>
      </c>
      <c r="S464" s="123">
        <f>IFERROR(VLOOKUP(L464,'[4]Carton Sizes Chart'!$A$4:$E$15,5,FALSE),0)</f>
        <v>0</v>
      </c>
      <c r="T464" s="124">
        <f>S464</f>
        <v>0</v>
      </c>
      <c r="U464" s="124">
        <f>I464*T464</f>
        <v>0</v>
      </c>
      <c r="V464" s="123">
        <f>((T464*I464)-W464)*4%</f>
        <v>0</v>
      </c>
      <c r="W464" s="124">
        <f>S464*I464*5%</f>
        <v>0</v>
      </c>
    </row>
    <row r="465" spans="1:23">
      <c r="A465" s="118"/>
      <c r="B465" s="118"/>
      <c r="C465" s="119"/>
      <c r="D465" s="118"/>
      <c r="E465" s="118"/>
      <c r="F465" s="118"/>
      <c r="G465" s="119"/>
      <c r="H465" s="119"/>
      <c r="I465" s="119"/>
      <c r="J465" s="119" t="s">
        <v>95</v>
      </c>
      <c r="K465" s="119" t="s">
        <v>110</v>
      </c>
      <c r="L465" s="119" t="s">
        <v>123</v>
      </c>
      <c r="M465" s="51" cm="1">
        <f t="array" ref="M465">IF(L465="",0,_xlfn.SWITCH(L465,"A1",495,"A2",495,"A3",495,"Custom",0,595))</f>
        <v>0</v>
      </c>
      <c r="N465" s="51" cm="1">
        <f t="array" ref="N465">IF(L465="",0,_xlfn.SWITCH(L465,"C1",325,"C2",325,"C3",325,"D1",380,"D2",380,"D3",380,"Custom",0,285))</f>
        <v>0</v>
      </c>
      <c r="O465" s="51">
        <f>IF(L465="",0,_xlfn.SWITCH(L465,"A1",375,"B1",375,"C1",375,"D1",375,"A2",310,"B2",310,"C2",310,"D2",310,"Custom",0,260))</f>
        <v>0</v>
      </c>
      <c r="P465" s="51">
        <f>IFERROR(IF(OR(M465=0,N465=0),0,(M465+N465)*2+11),0)</f>
        <v>0</v>
      </c>
      <c r="Q465" s="51">
        <f>IFERROR(IF(OR(N465=0,O465=0),0,(N465+O465)-16),0)</f>
        <v>0</v>
      </c>
      <c r="R465" s="53">
        <f>P465*Q465/1000000</f>
        <v>0</v>
      </c>
      <c r="S465" s="123">
        <f>IFERROR(VLOOKUP(L465,'[4]Carton Sizes Chart'!$A$4:$E$15,5,FALSE),0)</f>
        <v>0</v>
      </c>
      <c r="T465" s="124">
        <f>S465</f>
        <v>0</v>
      </c>
      <c r="U465" s="124">
        <f>I465*T465</f>
        <v>0</v>
      </c>
      <c r="V465" s="123">
        <f>((T465*I465)-W465)*4%</f>
        <v>0</v>
      </c>
      <c r="W465" s="124">
        <f>S465*I465*5%</f>
        <v>0</v>
      </c>
    </row>
    <row r="466" spans="1:23">
      <c r="A466" s="118"/>
      <c r="B466" s="118"/>
      <c r="C466" s="119"/>
      <c r="D466" s="118"/>
      <c r="E466" s="118"/>
      <c r="F466" s="118"/>
      <c r="G466" s="119"/>
      <c r="H466" s="119"/>
      <c r="I466" s="119"/>
      <c r="J466" s="119" t="s">
        <v>95</v>
      </c>
      <c r="K466" s="119" t="s">
        <v>110</v>
      </c>
      <c r="L466" s="119" t="s">
        <v>123</v>
      </c>
      <c r="M466" s="51" cm="1">
        <f t="array" ref="M466">IF(L466="",0,_xlfn.SWITCH(L466,"A1",495,"A2",495,"A3",495,"Custom",0,595))</f>
        <v>0</v>
      </c>
      <c r="N466" s="51" cm="1">
        <f t="array" ref="N466">IF(L466="",0,_xlfn.SWITCH(L466,"C1",325,"C2",325,"C3",325,"D1",380,"D2",380,"D3",380,"Custom",0,285))</f>
        <v>0</v>
      </c>
      <c r="O466" s="51">
        <f>IF(L466="",0,_xlfn.SWITCH(L466,"A1",375,"B1",375,"C1",375,"D1",375,"A2",310,"B2",310,"C2",310,"D2",310,"Custom",0,260))</f>
        <v>0</v>
      </c>
      <c r="P466" s="51">
        <f>IFERROR(IF(OR(M466=0,N466=0),0,(M466+N466)*2+11),0)</f>
        <v>0</v>
      </c>
      <c r="Q466" s="51">
        <f>IFERROR(IF(OR(N466=0,O466=0),0,(N466+O466)-16),0)</f>
        <v>0</v>
      </c>
      <c r="R466" s="53">
        <f>P466*Q466/1000000</f>
        <v>0</v>
      </c>
      <c r="S466" s="129">
        <f>IF(L466="Custom", R466*'[1]RFQ_Matalan Carton'!$M$40, IFERROR(VLOOKUP(L466,'[1]Carton Sizes Chart'!$A$4:$E$15,5,FALSE),0))</f>
        <v>0</v>
      </c>
      <c r="T466" s="124">
        <f>S466</f>
        <v>0</v>
      </c>
      <c r="U466" s="124">
        <f>I466*T466</f>
        <v>0</v>
      </c>
      <c r="V466" s="123">
        <f>((T466*I466)-W466)*4%</f>
        <v>0</v>
      </c>
      <c r="W466" s="124">
        <f>S466*I466*5%</f>
        <v>0</v>
      </c>
    </row>
    <row r="467" spans="1:23">
      <c r="A467" s="118"/>
      <c r="B467" s="118"/>
      <c r="C467" s="119"/>
      <c r="D467" s="118"/>
      <c r="E467" s="118"/>
      <c r="F467" s="118"/>
      <c r="G467" s="119"/>
      <c r="H467" s="119"/>
      <c r="I467" s="119"/>
      <c r="J467" s="119" t="s">
        <v>95</v>
      </c>
      <c r="K467" s="119" t="s">
        <v>110</v>
      </c>
      <c r="L467" s="119" t="s">
        <v>123</v>
      </c>
      <c r="M467" s="51" cm="1">
        <f t="array" ref="M467">IF(L467="",0,_xlfn.SWITCH(L467,"A1",495,"A2",495,"A3",495,"Custom",0,595))</f>
        <v>0</v>
      </c>
      <c r="N467" s="51" cm="1">
        <f t="array" ref="N467">IF(L467="",0,_xlfn.SWITCH(L467,"C1",325,"C2",325,"C3",325,"D1",380,"D2",380,"D3",380,"Custom",0,285))</f>
        <v>0</v>
      </c>
      <c r="O467" s="51">
        <f>IF(L467="",0,_xlfn.SWITCH(L467,"A1",375,"B1",375,"C1",375,"D1",375,"A2",310,"B2",310,"C2",310,"D2",310,"Custom",0,260))</f>
        <v>0</v>
      </c>
      <c r="P467" s="51">
        <f>IFERROR(IF(OR(M467=0,N467=0),0,(M467+N467)*2+11),0)</f>
        <v>0</v>
      </c>
      <c r="Q467" s="51">
        <f>IFERROR(IF(OR(N467=0,O467=0),0,(N467+O467)-16),0)</f>
        <v>0</v>
      </c>
      <c r="R467" s="53">
        <f>P467*Q467/1000000</f>
        <v>0</v>
      </c>
      <c r="S467" s="129">
        <f>IF(L467="Custom", R467*'[1]RFQ_Matalan Carton'!$M$40, IFERROR(VLOOKUP(L467,'[1]Carton Sizes Chart'!$A$4:$E$15,5,FALSE),0))</f>
        <v>0</v>
      </c>
      <c r="T467" s="124">
        <f>S467</f>
        <v>0</v>
      </c>
      <c r="U467" s="124">
        <f>I467*T467</f>
        <v>0</v>
      </c>
      <c r="V467" s="123">
        <f>((T467*I467)-W467)*4%</f>
        <v>0</v>
      </c>
      <c r="W467" s="124">
        <f>S467*I467*5%</f>
        <v>0</v>
      </c>
    </row>
    <row r="468" spans="1:23">
      <c r="A468" s="118"/>
      <c r="B468" s="118"/>
      <c r="C468" s="119"/>
      <c r="D468" s="118"/>
      <c r="E468" s="118"/>
      <c r="F468" s="118"/>
      <c r="G468" s="119"/>
      <c r="H468" s="119"/>
      <c r="I468" s="119"/>
      <c r="J468" s="119" t="s">
        <v>95</v>
      </c>
      <c r="K468" s="119" t="s">
        <v>110</v>
      </c>
      <c r="L468" s="119" t="s">
        <v>123</v>
      </c>
      <c r="M468" s="51" cm="1">
        <f t="array" ref="M468">IF(L468="",0,_xlfn.SWITCH(L468,"A1",495,"A2",495,"A3",495,"Custom",0,595))</f>
        <v>0</v>
      </c>
      <c r="N468" s="51" cm="1">
        <f t="array" ref="N468">IF(L468="",0,_xlfn.SWITCH(L468,"C1",325,"C2",325,"C3",325,"D1",380,"D2",380,"D3",380,"Custom",0,285))</f>
        <v>0</v>
      </c>
      <c r="O468" s="51">
        <f>IF(L468="",0,_xlfn.SWITCH(L468,"A1",375,"B1",375,"C1",375,"D1",375,"A2",310,"B2",310,"C2",310,"D2",310,"Custom",0,260))</f>
        <v>0</v>
      </c>
      <c r="P468" s="51">
        <f>IFERROR(IF(OR(M468=0,N468=0),0,(M468+N468)*2+11),0)</f>
        <v>0</v>
      </c>
      <c r="Q468" s="51">
        <f>IFERROR(IF(OR(N468=0,O468=0),0,(N468+O468)-16),0)</f>
        <v>0</v>
      </c>
      <c r="R468" s="53">
        <f>P468*Q468/1000000</f>
        <v>0</v>
      </c>
      <c r="S468" s="123">
        <f>IFERROR(VLOOKUP(L468,'[4]Carton Sizes Chart'!$A$4:$E$15,5,FALSE),0)</f>
        <v>0</v>
      </c>
      <c r="T468" s="124">
        <f>S468</f>
        <v>0</v>
      </c>
      <c r="U468" s="124">
        <f>I468*T468</f>
        <v>0</v>
      </c>
      <c r="V468" s="123">
        <f>((T468*I468)-W468)*4%</f>
        <v>0</v>
      </c>
      <c r="W468" s="124">
        <f>S468*I468*5%</f>
        <v>0</v>
      </c>
    </row>
    <row r="469" spans="1:23">
      <c r="A469" s="118"/>
      <c r="B469" s="118"/>
      <c r="C469" s="119"/>
      <c r="D469" s="118"/>
      <c r="E469" s="118"/>
      <c r="F469" s="118"/>
      <c r="G469" s="119"/>
      <c r="H469" s="119"/>
      <c r="I469" s="119"/>
      <c r="J469" s="119" t="s">
        <v>95</v>
      </c>
      <c r="K469" s="119" t="s">
        <v>110</v>
      </c>
      <c r="L469" s="119" t="s">
        <v>123</v>
      </c>
      <c r="M469" s="51" cm="1">
        <f t="array" ref="M469">IF(L469="",0,_xlfn.SWITCH(L469,"A1",495,"A2",495,"A3",495,"Custom",0,595))</f>
        <v>0</v>
      </c>
      <c r="N469" s="51" cm="1">
        <f t="array" ref="N469">IF(L469="",0,_xlfn.SWITCH(L469,"C1",325,"C2",325,"C3",325,"D1",380,"D2",380,"D3",380,"Custom",0,285))</f>
        <v>0</v>
      </c>
      <c r="O469" s="51">
        <f>IF(L469="",0,_xlfn.SWITCH(L469,"A1",375,"B1",375,"C1",375,"D1",375,"A2",310,"B2",310,"C2",310,"D2",310,"Custom",0,260))</f>
        <v>0</v>
      </c>
      <c r="P469" s="51">
        <f>IFERROR(IF(OR(M469=0,N469=0),0,(M469+N469)*2+11),0)</f>
        <v>0</v>
      </c>
      <c r="Q469" s="51">
        <f>IFERROR(IF(OR(N469=0,O469=0),0,(N469+O469)-16),0)</f>
        <v>0</v>
      </c>
      <c r="R469" s="53">
        <f>P469*Q469/1000000</f>
        <v>0</v>
      </c>
      <c r="S469" s="123">
        <f>IFERROR(VLOOKUP(L469,'[4]Carton Sizes Chart'!$A$4:$E$15,5,FALSE),0)</f>
        <v>0</v>
      </c>
      <c r="T469" s="124">
        <f>S469</f>
        <v>0</v>
      </c>
      <c r="U469" s="124">
        <f>I469*T469</f>
        <v>0</v>
      </c>
      <c r="V469" s="123">
        <f>((T469*I469)-W469)*4%</f>
        <v>0</v>
      </c>
      <c r="W469" s="124">
        <f>S469*I469*5%</f>
        <v>0</v>
      </c>
    </row>
    <row r="470" spans="1:23">
      <c r="A470" s="118"/>
      <c r="B470" s="118"/>
      <c r="C470" s="119"/>
      <c r="D470" s="118"/>
      <c r="E470" s="118"/>
      <c r="F470" s="118"/>
      <c r="G470" s="119"/>
      <c r="H470" s="119"/>
      <c r="I470" s="119"/>
      <c r="J470" s="119" t="s">
        <v>95</v>
      </c>
      <c r="K470" s="119" t="s">
        <v>110</v>
      </c>
      <c r="L470" s="119" t="s">
        <v>123</v>
      </c>
      <c r="M470" s="51" cm="1">
        <f t="array" ref="M470">IF(L470="",0,_xlfn.SWITCH(L470,"A1",495,"A2",495,"A3",495,"Custom",0,595))</f>
        <v>0</v>
      </c>
      <c r="N470" s="51" cm="1">
        <f t="array" ref="N470">IF(L470="",0,_xlfn.SWITCH(L470,"C1",325,"C2",325,"C3",325,"D1",380,"D2",380,"D3",380,"Custom",0,285))</f>
        <v>0</v>
      </c>
      <c r="O470" s="51">
        <f>IF(L470="",0,_xlfn.SWITCH(L470,"A1",375,"B1",375,"C1",375,"D1",375,"A2",310,"B2",310,"C2",310,"D2",310,"Custom",0,260))</f>
        <v>0</v>
      </c>
      <c r="P470" s="51">
        <f>IFERROR(IF(OR(M470=0,N470=0),0,(M470+N470)*2+11),0)</f>
        <v>0</v>
      </c>
      <c r="Q470" s="51">
        <f>IFERROR(IF(OR(N470=0,O470=0),0,(N470+O470)-16),0)</f>
        <v>0</v>
      </c>
      <c r="R470" s="53">
        <f>P470*Q470/1000000</f>
        <v>0</v>
      </c>
      <c r="S470" s="129">
        <f>IF(L470="Custom", R470*'[1]RFQ_Matalan Carton'!$M$40, IFERROR(VLOOKUP(L470,'[1]Carton Sizes Chart'!$A$4:$E$15,5,FALSE),0))</f>
        <v>0</v>
      </c>
      <c r="T470" s="124">
        <f>S470</f>
        <v>0</v>
      </c>
      <c r="U470" s="124">
        <f>I470*T470</f>
        <v>0</v>
      </c>
      <c r="V470" s="123">
        <f>((T470*I470)-W470)*4%</f>
        <v>0</v>
      </c>
      <c r="W470" s="124">
        <f>S470*I470*5%</f>
        <v>0</v>
      </c>
    </row>
    <row r="471" spans="1:23">
      <c r="A471" s="118"/>
      <c r="B471" s="118"/>
      <c r="C471" s="119"/>
      <c r="D471" s="118"/>
      <c r="E471" s="118"/>
      <c r="F471" s="118"/>
      <c r="G471" s="119"/>
      <c r="H471" s="119"/>
      <c r="I471" s="119"/>
      <c r="J471" s="119" t="s">
        <v>95</v>
      </c>
      <c r="K471" s="119" t="s">
        <v>110</v>
      </c>
      <c r="L471" s="119" t="s">
        <v>123</v>
      </c>
      <c r="M471" s="51" cm="1">
        <f t="array" ref="M471">IF(L471="",0,_xlfn.SWITCH(L471,"A1",495,"A2",495,"A3",495,"Custom",0,595))</f>
        <v>0</v>
      </c>
      <c r="N471" s="51" cm="1">
        <f t="array" ref="N471">IF(L471="",0,_xlfn.SWITCH(L471,"C1",325,"C2",325,"C3",325,"D1",380,"D2",380,"D3",380,"Custom",0,285))</f>
        <v>0</v>
      </c>
      <c r="O471" s="51">
        <f>IF(L471="",0,_xlfn.SWITCH(L471,"A1",375,"B1",375,"C1",375,"D1",375,"A2",310,"B2",310,"C2",310,"D2",310,"Custom",0,260))</f>
        <v>0</v>
      </c>
      <c r="P471" s="51">
        <f>IFERROR(IF(OR(M471=0,N471=0),0,(M471+N471)*2+11),0)</f>
        <v>0</v>
      </c>
      <c r="Q471" s="51">
        <f>IFERROR(IF(OR(N471=0,O471=0),0,(N471+O471)-16),0)</f>
        <v>0</v>
      </c>
      <c r="R471" s="53">
        <f>P471*Q471/1000000</f>
        <v>0</v>
      </c>
      <c r="S471" s="123">
        <f>IFERROR(VLOOKUP(L471,'[4]Carton Sizes Chart'!$A$4:$E$15,5,FALSE),0)</f>
        <v>0</v>
      </c>
      <c r="T471" s="124">
        <f>S471</f>
        <v>0</v>
      </c>
      <c r="U471" s="124">
        <f>I471*T471</f>
        <v>0</v>
      </c>
      <c r="V471" s="123">
        <f>((T471*I471)-W471)*4%</f>
        <v>0</v>
      </c>
      <c r="W471" s="124">
        <f>S471*I471*5%</f>
        <v>0</v>
      </c>
    </row>
    <row r="472" spans="1:23">
      <c r="A472" s="118"/>
      <c r="B472" s="118"/>
      <c r="C472" s="119"/>
      <c r="D472" s="118"/>
      <c r="E472" s="118"/>
      <c r="F472" s="118"/>
      <c r="G472" s="119"/>
      <c r="H472" s="119"/>
      <c r="I472" s="119"/>
      <c r="J472" s="119" t="s">
        <v>95</v>
      </c>
      <c r="K472" s="119" t="s">
        <v>110</v>
      </c>
      <c r="L472" s="119" t="s">
        <v>123</v>
      </c>
      <c r="M472" s="51" cm="1">
        <f t="array" ref="M472">IF(L472="",0,_xlfn.SWITCH(L472,"A1",495,"A2",495,"A3",495,"Custom",0,595))</f>
        <v>0</v>
      </c>
      <c r="N472" s="51" cm="1">
        <f t="array" ref="N472">IF(L472="",0,_xlfn.SWITCH(L472,"C1",325,"C2",325,"C3",325,"D1",380,"D2",380,"D3",380,"Custom",0,285))</f>
        <v>0</v>
      </c>
      <c r="O472" s="51">
        <f>IF(L472="",0,_xlfn.SWITCH(L472,"A1",375,"B1",375,"C1",375,"D1",375,"A2",310,"B2",310,"C2",310,"D2",310,"Custom",0,260))</f>
        <v>0</v>
      </c>
      <c r="P472" s="51">
        <f>IFERROR(IF(OR(M472=0,N472=0),0,(M472+N472)*2+11),0)</f>
        <v>0</v>
      </c>
      <c r="Q472" s="51">
        <f>IFERROR(IF(OR(N472=0,O472=0),0,(N472+O472)-16),0)</f>
        <v>0</v>
      </c>
      <c r="R472" s="53">
        <f>P472*Q472/1000000</f>
        <v>0</v>
      </c>
      <c r="S472" s="123">
        <f>IFERROR(VLOOKUP(L472,'[4]Carton Sizes Chart'!$A$4:$E$15,5,FALSE),0)</f>
        <v>0</v>
      </c>
      <c r="T472" s="124">
        <f>S472</f>
        <v>0</v>
      </c>
      <c r="U472" s="124">
        <f>I472*T472</f>
        <v>0</v>
      </c>
      <c r="V472" s="123">
        <f>((T472*I472)-W472)*4%</f>
        <v>0</v>
      </c>
      <c r="W472" s="124">
        <f>S472*I472*5%</f>
        <v>0</v>
      </c>
    </row>
    <row r="473" spans="1:23">
      <c r="A473" s="118"/>
      <c r="B473" s="118"/>
      <c r="C473" s="119"/>
      <c r="D473" s="118"/>
      <c r="E473" s="118"/>
      <c r="F473" s="118"/>
      <c r="G473" s="119"/>
      <c r="H473" s="119"/>
      <c r="I473" s="119"/>
      <c r="J473" s="119" t="s">
        <v>95</v>
      </c>
      <c r="K473" s="119" t="s">
        <v>110</v>
      </c>
      <c r="L473" s="119" t="s">
        <v>123</v>
      </c>
      <c r="M473" s="51" cm="1">
        <f t="array" ref="M473">IF(L473="",0,_xlfn.SWITCH(L473,"A1",495,"A2",495,"A3",495,"Custom",0,595))</f>
        <v>0</v>
      </c>
      <c r="N473" s="51" cm="1">
        <f t="array" ref="N473">IF(L473="",0,_xlfn.SWITCH(L473,"C1",325,"C2",325,"C3",325,"D1",380,"D2",380,"D3",380,"Custom",0,285))</f>
        <v>0</v>
      </c>
      <c r="O473" s="51">
        <f>IF(L473="",0,_xlfn.SWITCH(L473,"A1",375,"B1",375,"C1",375,"D1",375,"A2",310,"B2",310,"C2",310,"D2",310,"Custom",0,260))</f>
        <v>0</v>
      </c>
      <c r="P473" s="51">
        <f>IFERROR(IF(OR(M473=0,N473=0),0,(M473+N473)*2+11),0)</f>
        <v>0</v>
      </c>
      <c r="Q473" s="51">
        <f>IFERROR(IF(OR(N473=0,O473=0),0,(N473+O473)-16),0)</f>
        <v>0</v>
      </c>
      <c r="R473" s="53">
        <f>P473*Q473/1000000</f>
        <v>0</v>
      </c>
      <c r="S473" s="129">
        <f>IF(L473="Custom", R473*'[1]RFQ_Matalan Carton'!$M$40, IFERROR(VLOOKUP(L473,'[1]Carton Sizes Chart'!$A$4:$E$15,5,FALSE),0))</f>
        <v>0</v>
      </c>
      <c r="T473" s="124">
        <f>S473</f>
        <v>0</v>
      </c>
      <c r="U473" s="124">
        <f>I473*T473</f>
        <v>0</v>
      </c>
      <c r="V473" s="123">
        <f>((T473*I473)-W473)*4%</f>
        <v>0</v>
      </c>
      <c r="W473" s="124">
        <f>S473*I473*5%</f>
        <v>0</v>
      </c>
    </row>
    <row r="474" spans="1:23">
      <c r="A474" s="118"/>
      <c r="B474" s="118"/>
      <c r="C474" s="119"/>
      <c r="D474" s="118"/>
      <c r="E474" s="118"/>
      <c r="F474" s="118"/>
      <c r="G474" s="119"/>
      <c r="H474" s="119"/>
      <c r="I474" s="119"/>
      <c r="J474" s="119" t="s">
        <v>95</v>
      </c>
      <c r="K474" s="119" t="s">
        <v>110</v>
      </c>
      <c r="L474" s="119" t="s">
        <v>123</v>
      </c>
      <c r="M474" s="51" cm="1">
        <f t="array" ref="M474">IF(L474="",0,_xlfn.SWITCH(L474,"A1",495,"A2",495,"A3",495,"Custom",0,595))</f>
        <v>0</v>
      </c>
      <c r="N474" s="51" cm="1">
        <f t="array" ref="N474">IF(L474="",0,_xlfn.SWITCH(L474,"C1",325,"C2",325,"C3",325,"D1",380,"D2",380,"D3",380,"Custom",0,285))</f>
        <v>0</v>
      </c>
      <c r="O474" s="51">
        <f>IF(L474="",0,_xlfn.SWITCH(L474,"A1",375,"B1",375,"C1",375,"D1",375,"A2",310,"B2",310,"C2",310,"D2",310,"Custom",0,260))</f>
        <v>0</v>
      </c>
      <c r="P474" s="51">
        <f>IFERROR(IF(OR(M474=0,N474=0),0,(M474+N474)*2+11),0)</f>
        <v>0</v>
      </c>
      <c r="Q474" s="51">
        <f>IFERROR(IF(OR(N474=0,O474=0),0,(N474+O474)-16),0)</f>
        <v>0</v>
      </c>
      <c r="R474" s="53">
        <f>P474*Q474/1000000</f>
        <v>0</v>
      </c>
      <c r="S474" s="123">
        <f>IFERROR(VLOOKUP(L474,'[4]Carton Sizes Chart'!$A$4:$E$15,5,FALSE),0)</f>
        <v>0</v>
      </c>
      <c r="T474" s="124">
        <f>S474</f>
        <v>0</v>
      </c>
      <c r="U474" s="124">
        <f>I474*T474</f>
        <v>0</v>
      </c>
      <c r="V474" s="123">
        <f>((T474*I474)-W474)*4%</f>
        <v>0</v>
      </c>
      <c r="W474" s="124">
        <f>S474*I474*5%</f>
        <v>0</v>
      </c>
    </row>
    <row r="475" spans="1:23">
      <c r="A475" s="118"/>
      <c r="B475" s="118"/>
      <c r="C475" s="119"/>
      <c r="D475" s="118"/>
      <c r="E475" s="118"/>
      <c r="F475" s="118"/>
      <c r="G475" s="119"/>
      <c r="H475" s="119"/>
      <c r="I475" s="121"/>
      <c r="J475" s="119" t="s">
        <v>95</v>
      </c>
      <c r="K475" s="119" t="s">
        <v>110</v>
      </c>
      <c r="L475" s="119" t="s">
        <v>123</v>
      </c>
      <c r="M475" s="51" cm="1">
        <f t="array" ref="M475">IF(L475="",0,_xlfn.SWITCH(L475,"A1",495,"A2",495,"A3",495,"Custom",0,595))</f>
        <v>0</v>
      </c>
      <c r="N475" s="51" cm="1">
        <f t="array" ref="N475">IF(L475="",0,_xlfn.SWITCH(L475,"C1",325,"C2",325,"C3",325,"D1",380,"D2",380,"D3",380,"Custom",0,285))</f>
        <v>0</v>
      </c>
      <c r="O475" s="51">
        <f>IF(L475="",0,_xlfn.SWITCH(L475,"A1",375,"B1",375,"C1",375,"D1",375,"A2",310,"B2",310,"C2",310,"D2",310,"Custom",0,260))</f>
        <v>0</v>
      </c>
      <c r="P475" s="51">
        <f>IFERROR(IF(OR(M475=0,N475=0),0,(M475+N475)*2+11),0)</f>
        <v>0</v>
      </c>
      <c r="Q475" s="51">
        <f>IFERROR(IF(OR(N475=0,O475=0),0,(N475+O475)-16),0)</f>
        <v>0</v>
      </c>
      <c r="R475" s="53">
        <f>P475*Q475/1000000</f>
        <v>0</v>
      </c>
      <c r="S475" s="123">
        <f>IFERROR(VLOOKUP(L475,'[4]Carton Sizes Chart'!$A$4:$E$15,5,FALSE),0)</f>
        <v>0</v>
      </c>
      <c r="T475" s="124">
        <f>S475</f>
        <v>0</v>
      </c>
      <c r="U475" s="124">
        <f>I475*T475</f>
        <v>0</v>
      </c>
      <c r="V475" s="123">
        <f>((T475*I475)-W475)*4%</f>
        <v>0</v>
      </c>
      <c r="W475" s="124">
        <f>S475*I475*5%</f>
        <v>0</v>
      </c>
    </row>
    <row r="476" spans="1:23">
      <c r="A476" s="118"/>
      <c r="B476" s="118"/>
      <c r="C476" s="119"/>
      <c r="D476" s="118"/>
      <c r="E476" s="118"/>
      <c r="F476" s="118"/>
      <c r="G476" s="119"/>
      <c r="H476" s="119"/>
      <c r="I476" s="119"/>
      <c r="J476" s="119" t="s">
        <v>95</v>
      </c>
      <c r="K476" s="119" t="s">
        <v>110</v>
      </c>
      <c r="L476" s="119" t="s">
        <v>123</v>
      </c>
      <c r="M476" s="51" cm="1">
        <f t="array" ref="M476">IF(L476="",0,_xlfn.SWITCH(L476,"A1",495,"A2",495,"A3",495,"Custom",0,595))</f>
        <v>0</v>
      </c>
      <c r="N476" s="51" cm="1">
        <f t="array" ref="N476">IF(L476="",0,_xlfn.SWITCH(L476,"C1",325,"C2",325,"C3",325,"D1",380,"D2",380,"D3",380,"Custom",0,285))</f>
        <v>0</v>
      </c>
      <c r="O476" s="51">
        <f>IF(L476="",0,_xlfn.SWITCH(L476,"A1",375,"B1",375,"C1",375,"D1",375,"A2",310,"B2",310,"C2",310,"D2",310,"Custom",0,260))</f>
        <v>0</v>
      </c>
      <c r="P476" s="51">
        <f>IFERROR(IF(OR(M476=0,N476=0),0,(M476+N476)*2+11),0)</f>
        <v>0</v>
      </c>
      <c r="Q476" s="51">
        <f>IFERROR(IF(OR(N476=0,O476=0),0,(N476+O476)-16),0)</f>
        <v>0</v>
      </c>
      <c r="R476" s="53">
        <f>P476*Q476/1000000</f>
        <v>0</v>
      </c>
      <c r="S476" s="123">
        <f>IFERROR(VLOOKUP(L476,'[4]Carton Sizes Chart'!$A$4:$E$15,5,FALSE),0)</f>
        <v>0</v>
      </c>
      <c r="T476" s="124">
        <f>S476</f>
        <v>0</v>
      </c>
      <c r="U476" s="124">
        <f>I476*T476</f>
        <v>0</v>
      </c>
      <c r="V476" s="123">
        <f>((T476*I476)-W476)*4%</f>
        <v>0</v>
      </c>
      <c r="W476" s="124">
        <f>S476*I476*5%</f>
        <v>0</v>
      </c>
    </row>
    <row r="477" spans="1:23">
      <c r="A477" s="118"/>
      <c r="B477" s="118"/>
      <c r="C477" s="119"/>
      <c r="D477" s="118"/>
      <c r="E477" s="118"/>
      <c r="F477" s="118"/>
      <c r="G477" s="119"/>
      <c r="H477" s="119"/>
      <c r="I477" s="119"/>
      <c r="J477" s="119" t="s">
        <v>95</v>
      </c>
      <c r="K477" s="119" t="s">
        <v>110</v>
      </c>
      <c r="L477" s="119" t="s">
        <v>123</v>
      </c>
      <c r="M477" s="51" cm="1">
        <f t="array" ref="M477">IF(L477="",0,_xlfn.SWITCH(L477,"A1",495,"A2",495,"A3",495,"Custom",0,595))</f>
        <v>0</v>
      </c>
      <c r="N477" s="51" cm="1">
        <f t="array" ref="N477">IF(L477="",0,_xlfn.SWITCH(L477,"C1",325,"C2",325,"C3",325,"D1",380,"D2",380,"D3",380,"Custom",0,285))</f>
        <v>0</v>
      </c>
      <c r="O477" s="51">
        <f>IF(L477="",0,_xlfn.SWITCH(L477,"A1",375,"B1",375,"C1",375,"D1",375,"A2",310,"B2",310,"C2",310,"D2",310,"Custom",0,260))</f>
        <v>0</v>
      </c>
      <c r="P477" s="51">
        <f>IFERROR(IF(OR(M477=0,N477=0),0,(M477+N477)*2+11),0)</f>
        <v>0</v>
      </c>
      <c r="Q477" s="51">
        <f>IFERROR(IF(OR(N477=0,O477=0),0,(N477+O477)-16),0)</f>
        <v>0</v>
      </c>
      <c r="R477" s="53">
        <f>P477*Q477/1000000</f>
        <v>0</v>
      </c>
      <c r="S477" s="123">
        <f>IFERROR(VLOOKUP(L477,'[4]Carton Sizes Chart'!$A$4:$E$15,5,FALSE),0)</f>
        <v>0</v>
      </c>
      <c r="T477" s="124">
        <f>S477</f>
        <v>0</v>
      </c>
      <c r="U477" s="124">
        <f>I477*T477</f>
        <v>0</v>
      </c>
      <c r="V477" s="123">
        <f>((T477*I477)-W477)*4%</f>
        <v>0</v>
      </c>
      <c r="W477" s="124">
        <f>S477*I477*5%</f>
        <v>0</v>
      </c>
    </row>
    <row r="478" spans="1:23">
      <c r="A478" s="118"/>
      <c r="B478" s="118"/>
      <c r="C478" s="119"/>
      <c r="D478" s="118"/>
      <c r="E478" s="118"/>
      <c r="F478" s="118"/>
      <c r="G478" s="119"/>
      <c r="H478" s="119"/>
      <c r="I478" s="121"/>
      <c r="J478" s="119" t="s">
        <v>95</v>
      </c>
      <c r="K478" s="119" t="s">
        <v>110</v>
      </c>
      <c r="L478" s="119" t="s">
        <v>123</v>
      </c>
      <c r="M478" s="51" cm="1">
        <f t="array" ref="M478">IF(L478="",0,_xlfn.SWITCH(L478,"A1",495,"A2",495,"A3",495,"Custom",0,595))</f>
        <v>0</v>
      </c>
      <c r="N478" s="51" cm="1">
        <f t="array" ref="N478">IF(L478="",0,_xlfn.SWITCH(L478,"C1",325,"C2",325,"C3",325,"D1",380,"D2",380,"D3",380,"Custom",0,285))</f>
        <v>0</v>
      </c>
      <c r="O478" s="51">
        <f>IF(L478="",0,_xlfn.SWITCH(L478,"A1",375,"B1",375,"C1",375,"D1",375,"A2",310,"B2",310,"C2",310,"D2",310,"Custom",0,260))</f>
        <v>0</v>
      </c>
      <c r="P478" s="51">
        <f>IFERROR(IF(OR(M478=0,N478=0),0,(M478+N478)*2+11),0)</f>
        <v>0</v>
      </c>
      <c r="Q478" s="51">
        <f>IFERROR(IF(OR(N478=0,O478=0),0,(N478+O478)-16),0)</f>
        <v>0</v>
      </c>
      <c r="R478" s="53">
        <f>P478*Q478/1000000</f>
        <v>0</v>
      </c>
      <c r="S478" s="123">
        <f>IFERROR(VLOOKUP(L478,'[4]Carton Sizes Chart'!$A$4:$E$15,5,FALSE),0)</f>
        <v>0</v>
      </c>
      <c r="T478" s="124">
        <f>S478</f>
        <v>0</v>
      </c>
      <c r="U478" s="124">
        <f>I478*T478</f>
        <v>0</v>
      </c>
      <c r="V478" s="123">
        <f>((T478*I478)-W478)*4%</f>
        <v>0</v>
      </c>
      <c r="W478" s="124">
        <f>S478*I478*5%</f>
        <v>0</v>
      </c>
    </row>
    <row r="479" spans="1:23">
      <c r="A479" s="118"/>
      <c r="B479" s="118"/>
      <c r="C479" s="119"/>
      <c r="D479" s="118"/>
      <c r="E479" s="118"/>
      <c r="F479" s="118"/>
      <c r="G479" s="119"/>
      <c r="H479" s="119"/>
      <c r="I479" s="119"/>
      <c r="J479" s="119" t="s">
        <v>95</v>
      </c>
      <c r="K479" s="119" t="s">
        <v>110</v>
      </c>
      <c r="L479" s="119" t="s">
        <v>123</v>
      </c>
      <c r="M479" s="51" cm="1">
        <f t="array" ref="M479">IF(L479="",0,_xlfn.SWITCH(L479,"A1",495,"A2",495,"A3",495,"Custom",0,595))</f>
        <v>0</v>
      </c>
      <c r="N479" s="51" cm="1">
        <f t="array" ref="N479">IF(L479="",0,_xlfn.SWITCH(L479,"C1",325,"C2",325,"C3",325,"D1",380,"D2",380,"D3",380,"Custom",0,285))</f>
        <v>0</v>
      </c>
      <c r="O479" s="51">
        <f>IF(L479="",0,_xlfn.SWITCH(L479,"A1",375,"B1",375,"C1",375,"D1",375,"A2",310,"B2",310,"C2",310,"D2",310,"Custom",0,260))</f>
        <v>0</v>
      </c>
      <c r="P479" s="51">
        <f>IFERROR(IF(OR(M479=0,N479=0),0,(M479+N479)*2+11),0)</f>
        <v>0</v>
      </c>
      <c r="Q479" s="51">
        <f>IFERROR(IF(OR(N479=0,O479=0),0,(N479+O479)-16),0)</f>
        <v>0</v>
      </c>
      <c r="R479" s="53">
        <f>P479*Q479/1000000</f>
        <v>0</v>
      </c>
      <c r="S479" s="123">
        <f>IFERROR(VLOOKUP(L479,'[4]Carton Sizes Chart'!$A$4:$E$15,5,FALSE),0)</f>
        <v>0</v>
      </c>
      <c r="T479" s="124">
        <f>S479</f>
        <v>0</v>
      </c>
      <c r="U479" s="124">
        <f>I479*T479</f>
        <v>0</v>
      </c>
      <c r="V479" s="123">
        <f>((T479*I479)-W479)*4%</f>
        <v>0</v>
      </c>
      <c r="W479" s="124">
        <f>S479*I479*5%</f>
        <v>0</v>
      </c>
    </row>
    <row r="480" spans="1:23">
      <c r="A480" s="118"/>
      <c r="B480" s="118"/>
      <c r="C480" s="119"/>
      <c r="D480" s="118"/>
      <c r="E480" s="118"/>
      <c r="F480" s="118"/>
      <c r="G480" s="119"/>
      <c r="H480" s="119"/>
      <c r="I480" s="119"/>
      <c r="J480" s="119" t="s">
        <v>95</v>
      </c>
      <c r="K480" s="119" t="s">
        <v>110</v>
      </c>
      <c r="L480" s="119" t="s">
        <v>123</v>
      </c>
      <c r="M480" s="51" cm="1">
        <f t="array" ref="M480">IF(L480="",0,_xlfn.SWITCH(L480,"A1",495,"A2",495,"A3",495,"Custom",0,595))</f>
        <v>0</v>
      </c>
      <c r="N480" s="51" cm="1">
        <f t="array" ref="N480">IF(L480="",0,_xlfn.SWITCH(L480,"C1",325,"C2",325,"C3",325,"D1",380,"D2",380,"D3",380,"Custom",0,285))</f>
        <v>0</v>
      </c>
      <c r="O480" s="51">
        <f>IF(L480="",0,_xlfn.SWITCH(L480,"A1",375,"B1",375,"C1",375,"D1",375,"A2",310,"B2",310,"C2",310,"D2",310,"Custom",0,260))</f>
        <v>0</v>
      </c>
      <c r="P480" s="51">
        <f>IFERROR(IF(OR(M480=0,N480=0),0,(M480+N480)*2+11),0)</f>
        <v>0</v>
      </c>
      <c r="Q480" s="51">
        <f>IFERROR(IF(OR(N480=0,O480=0),0,(N480+O480)-16),0)</f>
        <v>0</v>
      </c>
      <c r="R480" s="53">
        <f>P480*Q480/1000000</f>
        <v>0</v>
      </c>
      <c r="S480" s="123">
        <f>IFERROR(VLOOKUP(L480,'[4]Carton Sizes Chart'!$A$4:$E$15,5,FALSE),0)</f>
        <v>0</v>
      </c>
      <c r="T480" s="124">
        <f>S480</f>
        <v>0</v>
      </c>
      <c r="U480" s="124">
        <f>I480*T480</f>
        <v>0</v>
      </c>
      <c r="V480" s="123">
        <f>((T480*I480)-W480)*4%</f>
        <v>0</v>
      </c>
      <c r="W480" s="124">
        <f>S480*I480*5%</f>
        <v>0</v>
      </c>
    </row>
    <row r="481" spans="1:23">
      <c r="A481" s="118"/>
      <c r="B481" s="118"/>
      <c r="C481" s="119"/>
      <c r="D481" s="118"/>
      <c r="E481" s="118"/>
      <c r="F481" s="118"/>
      <c r="G481" s="119"/>
      <c r="H481" s="119"/>
      <c r="I481" s="119"/>
      <c r="J481" s="119" t="s">
        <v>95</v>
      </c>
      <c r="K481" s="119" t="s">
        <v>110</v>
      </c>
      <c r="L481" s="119" t="s">
        <v>123</v>
      </c>
      <c r="M481" s="51" cm="1">
        <f t="array" ref="M481">IF(L481="",0,_xlfn.SWITCH(L481,"A1",495,"A2",495,"A3",495,"Custom",0,595))</f>
        <v>0</v>
      </c>
      <c r="N481" s="51" cm="1">
        <f t="array" ref="N481">IF(L481="",0,_xlfn.SWITCH(L481,"C1",325,"C2",325,"C3",325,"D1",380,"D2",380,"D3",380,"Custom",0,285))</f>
        <v>0</v>
      </c>
      <c r="O481" s="51">
        <f>IF(L481="",0,_xlfn.SWITCH(L481,"A1",375,"B1",375,"C1",375,"D1",375,"A2",310,"B2",310,"C2",310,"D2",310,"Custom",0,260))</f>
        <v>0</v>
      </c>
      <c r="P481" s="51">
        <f>IFERROR(IF(OR(M481=0,N481=0),0,(M481+N481)*2+11),0)</f>
        <v>0</v>
      </c>
      <c r="Q481" s="51">
        <f>IFERROR(IF(OR(N481=0,O481=0),0,(N481+O481)-16),0)</f>
        <v>0</v>
      </c>
      <c r="R481" s="53">
        <f>P481*Q481/1000000</f>
        <v>0</v>
      </c>
      <c r="S481" s="123">
        <f>IFERROR(VLOOKUP(L481,'[4]Carton Sizes Chart'!$A$4:$E$15,5,FALSE),0)</f>
        <v>0</v>
      </c>
      <c r="T481" s="124">
        <f>S481</f>
        <v>0</v>
      </c>
      <c r="U481" s="124">
        <f>I481*T481</f>
        <v>0</v>
      </c>
      <c r="V481" s="123">
        <f>((T481*I481)-W481)*4%</f>
        <v>0</v>
      </c>
      <c r="W481" s="124">
        <f>S481*I481*5%</f>
        <v>0</v>
      </c>
    </row>
    <row r="482" spans="1:23">
      <c r="A482" s="118"/>
      <c r="B482" s="118"/>
      <c r="C482" s="119"/>
      <c r="D482" s="118"/>
      <c r="E482" s="118"/>
      <c r="F482" s="118"/>
      <c r="G482" s="119"/>
      <c r="H482" s="119"/>
      <c r="I482" s="119"/>
      <c r="J482" s="119" t="s">
        <v>95</v>
      </c>
      <c r="K482" s="119" t="s">
        <v>110</v>
      </c>
      <c r="L482" s="119" t="s">
        <v>123</v>
      </c>
      <c r="M482" s="51" cm="1">
        <f t="array" ref="M482">IF(L482="",0,_xlfn.SWITCH(L482,"A1",495,"A2",495,"A3",495,"Custom",0,595))</f>
        <v>0</v>
      </c>
      <c r="N482" s="51" cm="1">
        <f t="array" ref="N482">IF(L482="",0,_xlfn.SWITCH(L482,"C1",325,"C2",325,"C3",325,"D1",380,"D2",380,"D3",380,"Custom",0,285))</f>
        <v>0</v>
      </c>
      <c r="O482" s="51">
        <f>IF(L482="",0,_xlfn.SWITCH(L482,"A1",375,"B1",375,"C1",375,"D1",375,"A2",310,"B2",310,"C2",310,"D2",310,"Custom",0,260))</f>
        <v>0</v>
      </c>
      <c r="P482" s="51">
        <f>IFERROR(IF(OR(M482=0,N482=0),0,(M482+N482)*2+11),0)</f>
        <v>0</v>
      </c>
      <c r="Q482" s="51">
        <f>IFERROR(IF(OR(N482=0,O482=0),0,(N482+O482)-16),0)</f>
        <v>0</v>
      </c>
      <c r="R482" s="53">
        <f>P482*Q482/1000000</f>
        <v>0</v>
      </c>
      <c r="S482" s="123">
        <f>IFERROR(VLOOKUP(L482,'[4]Carton Sizes Chart'!$A$4:$E$15,5,FALSE),0)</f>
        <v>0</v>
      </c>
      <c r="T482" s="124">
        <f>S482</f>
        <v>0</v>
      </c>
      <c r="U482" s="124">
        <f>I482*T482</f>
        <v>0</v>
      </c>
      <c r="V482" s="123">
        <f>((T482*I482)-W482)*4%</f>
        <v>0</v>
      </c>
      <c r="W482" s="124">
        <f>S482*I482*5%</f>
        <v>0</v>
      </c>
    </row>
    <row r="483" spans="1:23">
      <c r="A483" s="118"/>
      <c r="B483" s="118"/>
      <c r="C483" s="119"/>
      <c r="D483" s="118"/>
      <c r="E483" s="118"/>
      <c r="F483" s="118"/>
      <c r="G483" s="119"/>
      <c r="H483" s="119"/>
      <c r="I483" s="119"/>
      <c r="J483" s="119" t="s">
        <v>95</v>
      </c>
      <c r="K483" s="119" t="s">
        <v>110</v>
      </c>
      <c r="L483" s="119" t="s">
        <v>123</v>
      </c>
      <c r="M483" s="51" cm="1">
        <f t="array" ref="M483">IF(L483="",0,_xlfn.SWITCH(L483,"A1",495,"A2",495,"A3",495,"Custom",0,595))</f>
        <v>0</v>
      </c>
      <c r="N483" s="51" cm="1">
        <f t="array" ref="N483">IF(L483="",0,_xlfn.SWITCH(L483,"C1",325,"C2",325,"C3",325,"D1",380,"D2",380,"D3",380,"Custom",0,285))</f>
        <v>0</v>
      </c>
      <c r="O483" s="51">
        <f>IF(L483="",0,_xlfn.SWITCH(L483,"A1",375,"B1",375,"C1",375,"D1",375,"A2",310,"B2",310,"C2",310,"D2",310,"Custom",0,260))</f>
        <v>0</v>
      </c>
      <c r="P483" s="51">
        <f>IFERROR(IF(OR(M483=0,N483=0),0,(M483+N483)*2+11),0)</f>
        <v>0</v>
      </c>
      <c r="Q483" s="51">
        <f>IFERROR(IF(OR(N483=0,O483=0),0,(N483+O483)-16),0)</f>
        <v>0</v>
      </c>
      <c r="R483" s="53">
        <f>P483*Q483/1000000</f>
        <v>0</v>
      </c>
      <c r="S483" s="123">
        <f>IFERROR(VLOOKUP(L483,'[4]Carton Sizes Chart'!$A$4:$E$15,5,FALSE),0)</f>
        <v>0</v>
      </c>
      <c r="T483" s="124">
        <f>S483</f>
        <v>0</v>
      </c>
      <c r="U483" s="124">
        <f>I483*T483</f>
        <v>0</v>
      </c>
      <c r="V483" s="123">
        <f>((T483*I483)-W483)*4%</f>
        <v>0</v>
      </c>
      <c r="W483" s="124">
        <f>S483*I483*5%</f>
        <v>0</v>
      </c>
    </row>
    <row r="484" spans="1:23">
      <c r="A484" s="118"/>
      <c r="B484" s="118"/>
      <c r="C484" s="119"/>
      <c r="D484" s="118"/>
      <c r="E484" s="118"/>
      <c r="F484" s="118"/>
      <c r="G484" s="119"/>
      <c r="H484" s="119"/>
      <c r="I484" s="119"/>
      <c r="J484" s="119" t="s">
        <v>95</v>
      </c>
      <c r="K484" s="119" t="s">
        <v>110</v>
      </c>
      <c r="L484" s="119" t="s">
        <v>123</v>
      </c>
      <c r="M484" s="51" cm="1">
        <f t="array" ref="M484">IF(L484="",0,_xlfn.SWITCH(L484,"A1",495,"A2",495,"A3",495,"Custom",0,595))</f>
        <v>0</v>
      </c>
      <c r="N484" s="51" cm="1">
        <f t="array" ref="N484">IF(L484="",0,_xlfn.SWITCH(L484,"C1",325,"C2",325,"C3",325,"D1",380,"D2",380,"D3",380,"Custom",0,285))</f>
        <v>0</v>
      </c>
      <c r="O484" s="51">
        <f>IF(L484="",0,_xlfn.SWITCH(L484,"A1",375,"B1",375,"C1",375,"D1",375,"A2",310,"B2",310,"C2",310,"D2",310,"Custom",0,260))</f>
        <v>0</v>
      </c>
      <c r="P484" s="51">
        <f>IFERROR(IF(OR(M484=0,N484=0),0,(M484+N484)*2+11),0)</f>
        <v>0</v>
      </c>
      <c r="Q484" s="51">
        <f>IFERROR(IF(OR(N484=0,O484=0),0,(N484+O484)-16),0)</f>
        <v>0</v>
      </c>
      <c r="R484" s="53">
        <f>P484*Q484/1000000</f>
        <v>0</v>
      </c>
      <c r="S484" s="123">
        <f>IFERROR(VLOOKUP(L484,'[4]Carton Sizes Chart'!$A$4:$E$15,5,FALSE),0)</f>
        <v>0</v>
      </c>
      <c r="T484" s="124">
        <f>S484</f>
        <v>0</v>
      </c>
      <c r="U484" s="124">
        <f>I484*T484</f>
        <v>0</v>
      </c>
      <c r="V484" s="123">
        <f>((T484*I484)-W484)*4%</f>
        <v>0</v>
      </c>
      <c r="W484" s="124">
        <f>S484*I484*5%</f>
        <v>0</v>
      </c>
    </row>
    <row r="485" spans="1:23">
      <c r="A485" s="118"/>
      <c r="B485" s="118"/>
      <c r="C485" s="119"/>
      <c r="D485" s="118"/>
      <c r="E485" s="118"/>
      <c r="F485" s="118"/>
      <c r="G485" s="119"/>
      <c r="H485" s="119"/>
      <c r="I485" s="119"/>
      <c r="J485" s="119" t="s">
        <v>95</v>
      </c>
      <c r="K485" s="119" t="s">
        <v>110</v>
      </c>
      <c r="L485" s="119" t="s">
        <v>123</v>
      </c>
      <c r="M485" s="51" cm="1">
        <f t="array" ref="M485">IF(L485="",0,_xlfn.SWITCH(L485,"A1",495,"A2",495,"A3",495,"Custom",0,595))</f>
        <v>0</v>
      </c>
      <c r="N485" s="51" cm="1">
        <f t="array" ref="N485">IF(L485="",0,_xlfn.SWITCH(L485,"C1",325,"C2",325,"C3",325,"D1",380,"D2",380,"D3",380,"Custom",0,285))</f>
        <v>0</v>
      </c>
      <c r="O485" s="51">
        <f>IF(L485="",0,_xlfn.SWITCH(L485,"A1",375,"B1",375,"C1",375,"D1",375,"A2",310,"B2",310,"C2",310,"D2",310,"Custom",0,260))</f>
        <v>0</v>
      </c>
      <c r="P485" s="51">
        <f>IFERROR(IF(OR(M485=0,N485=0),0,(M485+N485)*2+11),0)</f>
        <v>0</v>
      </c>
      <c r="Q485" s="51">
        <f>IFERROR(IF(OR(N485=0,O485=0),0,(N485+O485)-16),0)</f>
        <v>0</v>
      </c>
      <c r="R485" s="53">
        <f>P485*Q485/1000000</f>
        <v>0</v>
      </c>
      <c r="S485" s="123">
        <f>IFERROR(VLOOKUP(L485,'[4]Carton Sizes Chart'!$A$4:$E$15,5,FALSE),0)</f>
        <v>0</v>
      </c>
      <c r="T485" s="124">
        <f>S485</f>
        <v>0</v>
      </c>
      <c r="U485" s="124">
        <f>I485*T485</f>
        <v>0</v>
      </c>
      <c r="V485" s="123">
        <f>((T485*I485)-W485)*4%</f>
        <v>0</v>
      </c>
      <c r="W485" s="124">
        <f>S485*I485*5%</f>
        <v>0</v>
      </c>
    </row>
    <row r="486" spans="1:23">
      <c r="A486" s="118"/>
      <c r="B486" s="118"/>
      <c r="C486" s="119"/>
      <c r="D486" s="118"/>
      <c r="E486" s="118"/>
      <c r="F486" s="118"/>
      <c r="G486" s="119"/>
      <c r="H486" s="119"/>
      <c r="I486" s="119"/>
      <c r="J486" s="119" t="s">
        <v>95</v>
      </c>
      <c r="K486" s="119" t="s">
        <v>110</v>
      </c>
      <c r="L486" s="119" t="s">
        <v>123</v>
      </c>
      <c r="M486" s="51" cm="1">
        <f t="array" ref="M486">IF(L486="",0,_xlfn.SWITCH(L486,"A1",495,"A2",495,"A3",495,"Custom",0,595))</f>
        <v>0</v>
      </c>
      <c r="N486" s="51" cm="1">
        <f t="array" ref="N486">IF(L486="",0,_xlfn.SWITCH(L486,"C1",325,"C2",325,"C3",325,"D1",380,"D2",380,"D3",380,"Custom",0,285))</f>
        <v>0</v>
      </c>
      <c r="O486" s="51">
        <f>IF(L486="",0,_xlfn.SWITCH(L486,"A1",375,"B1",375,"C1",375,"D1",375,"A2",310,"B2",310,"C2",310,"D2",310,"Custom",0,260))</f>
        <v>0</v>
      </c>
      <c r="P486" s="51">
        <f>IFERROR(IF(OR(M486=0,N486=0),0,(M486+N486)*2+11),0)</f>
        <v>0</v>
      </c>
      <c r="Q486" s="51">
        <f>IFERROR(IF(OR(N486=0,O486=0),0,(N486+O486)-16),0)</f>
        <v>0</v>
      </c>
      <c r="R486" s="53">
        <f>P486*Q486/1000000</f>
        <v>0</v>
      </c>
      <c r="S486" s="123">
        <f>IFERROR(VLOOKUP(L486,'[4]Carton Sizes Chart'!$A$4:$E$15,5,FALSE),0)</f>
        <v>0</v>
      </c>
      <c r="T486" s="124">
        <f>S486</f>
        <v>0</v>
      </c>
      <c r="U486" s="124">
        <f>I486*T486</f>
        <v>0</v>
      </c>
      <c r="V486" s="123">
        <f>((T486*I486)-W486)*4%</f>
        <v>0</v>
      </c>
      <c r="W486" s="124">
        <f>S486*I486*5%</f>
        <v>0</v>
      </c>
    </row>
    <row r="487" spans="1:23">
      <c r="A487" s="118"/>
      <c r="B487" s="118"/>
      <c r="C487" s="119"/>
      <c r="D487" s="118"/>
      <c r="E487" s="118"/>
      <c r="F487" s="118"/>
      <c r="G487" s="119"/>
      <c r="H487" s="119"/>
      <c r="I487" s="119"/>
      <c r="J487" s="119" t="s">
        <v>95</v>
      </c>
      <c r="K487" s="119" t="s">
        <v>110</v>
      </c>
      <c r="L487" s="119" t="s">
        <v>123</v>
      </c>
      <c r="M487" s="51" cm="1">
        <f t="array" ref="M487">IF(L487="",0,_xlfn.SWITCH(L487,"A1",495,"A2",495,"A3",495,"Custom",0,595))</f>
        <v>0</v>
      </c>
      <c r="N487" s="51" cm="1">
        <f t="array" ref="N487">IF(L487="",0,_xlfn.SWITCH(L487,"C1",325,"C2",325,"C3",325,"D1",380,"D2",380,"D3",380,"Custom",0,285))</f>
        <v>0</v>
      </c>
      <c r="O487" s="51">
        <f>IF(L487="",0,_xlfn.SWITCH(L487,"A1",375,"B1",375,"C1",375,"D1",375,"A2",310,"B2",310,"C2",310,"D2",310,"Custom",0,260))</f>
        <v>0</v>
      </c>
      <c r="P487" s="51">
        <f>IFERROR(IF(OR(M487=0,N487=0),0,(M487+N487)*2+11),0)</f>
        <v>0</v>
      </c>
      <c r="Q487" s="51">
        <f>IFERROR(IF(OR(N487=0,O487=0),0,(N487+O487)-16),0)</f>
        <v>0</v>
      </c>
      <c r="R487" s="53">
        <f>P487*Q487/1000000</f>
        <v>0</v>
      </c>
      <c r="S487" s="123">
        <f>IFERROR(VLOOKUP(L487,'[4]Carton Sizes Chart'!$A$4:$E$15,5,FALSE),0)</f>
        <v>0</v>
      </c>
      <c r="T487" s="124">
        <f>S487</f>
        <v>0</v>
      </c>
      <c r="U487" s="124">
        <f>I487*T487</f>
        <v>0</v>
      </c>
      <c r="V487" s="123">
        <f>((T487*I487)-W487)*4%</f>
        <v>0</v>
      </c>
      <c r="W487" s="124">
        <f>S487*I487*5%</f>
        <v>0</v>
      </c>
    </row>
    <row r="488" spans="1:23">
      <c r="A488" s="118"/>
      <c r="B488" s="118"/>
      <c r="C488" s="119"/>
      <c r="D488" s="118"/>
      <c r="E488" s="118"/>
      <c r="F488" s="118"/>
      <c r="G488" s="119"/>
      <c r="H488" s="119"/>
      <c r="I488" s="119"/>
      <c r="J488" s="119" t="s">
        <v>95</v>
      </c>
      <c r="K488" s="119" t="s">
        <v>110</v>
      </c>
      <c r="L488" s="119" t="s">
        <v>123</v>
      </c>
      <c r="M488" s="51" cm="1">
        <f t="array" ref="M488">IF(L488="",0,_xlfn.SWITCH(L488,"A1",495,"A2",495,"A3",495,"Custom",0,595))</f>
        <v>0</v>
      </c>
      <c r="N488" s="51" cm="1">
        <f t="array" ref="N488">IF(L488="",0,_xlfn.SWITCH(L488,"C1",325,"C2",325,"C3",325,"D1",380,"D2",380,"D3",380,"Custom",0,285))</f>
        <v>0</v>
      </c>
      <c r="O488" s="51">
        <f>IF(L488="",0,_xlfn.SWITCH(L488,"A1",375,"B1",375,"C1",375,"D1",375,"A2",310,"B2",310,"C2",310,"D2",310,"Custom",0,260))</f>
        <v>0</v>
      </c>
      <c r="P488" s="51">
        <f>IFERROR(IF(OR(M488=0,N488=0),0,(M488+N488)*2+11),0)</f>
        <v>0</v>
      </c>
      <c r="Q488" s="51">
        <f>IFERROR(IF(OR(N488=0,O488=0),0,(N488+O488)-16),0)</f>
        <v>0</v>
      </c>
      <c r="R488" s="53">
        <f>P488*Q488/1000000</f>
        <v>0</v>
      </c>
      <c r="S488" s="123">
        <f>IFERROR(VLOOKUP(L488,'[4]Carton Sizes Chart'!$A$4:$E$15,5,FALSE),0)</f>
        <v>0</v>
      </c>
      <c r="T488" s="124">
        <f>S488</f>
        <v>0</v>
      </c>
      <c r="U488" s="124">
        <f>I488*T488</f>
        <v>0</v>
      </c>
      <c r="V488" s="123">
        <f>((T488*I488)-W488)*4%</f>
        <v>0</v>
      </c>
      <c r="W488" s="124">
        <f>S488*I488*5%</f>
        <v>0</v>
      </c>
    </row>
    <row r="489" spans="1:23">
      <c r="A489" s="118"/>
      <c r="B489" s="118"/>
      <c r="C489" s="119"/>
      <c r="D489" s="118"/>
      <c r="E489" s="118"/>
      <c r="F489" s="118"/>
      <c r="G489" s="119"/>
      <c r="H489" s="119"/>
      <c r="I489" s="119"/>
      <c r="J489" s="119" t="s">
        <v>95</v>
      </c>
      <c r="K489" s="119" t="s">
        <v>110</v>
      </c>
      <c r="L489" s="119" t="s">
        <v>123</v>
      </c>
      <c r="M489" s="51" cm="1">
        <f t="array" ref="M489">IF(L489="",0,_xlfn.SWITCH(L489,"A1",495,"A2",495,"A3",495,"Custom",0,595))</f>
        <v>0</v>
      </c>
      <c r="N489" s="51" cm="1">
        <f t="array" ref="N489">IF(L489="",0,_xlfn.SWITCH(L489,"C1",325,"C2",325,"C3",325,"D1",380,"D2",380,"D3",380,"Custom",0,285))</f>
        <v>0</v>
      </c>
      <c r="O489" s="51">
        <f>IF(L489="",0,_xlfn.SWITCH(L489,"A1",375,"B1",375,"C1",375,"D1",375,"A2",310,"B2",310,"C2",310,"D2",310,"Custom",0,260))</f>
        <v>0</v>
      </c>
      <c r="P489" s="51">
        <f>IFERROR(IF(OR(M489=0,N489=0),0,(M489+N489)*2+11),0)</f>
        <v>0</v>
      </c>
      <c r="Q489" s="51">
        <f>IFERROR(IF(OR(N489=0,O489=0),0,(N489+O489)-16),0)</f>
        <v>0</v>
      </c>
      <c r="R489" s="53">
        <f>P489*Q489/1000000</f>
        <v>0</v>
      </c>
      <c r="S489" s="123">
        <f>IFERROR(VLOOKUP(L489,'[4]Carton Sizes Chart'!$A$4:$E$15,5,FALSE),0)</f>
        <v>0</v>
      </c>
      <c r="T489" s="124">
        <f>S489</f>
        <v>0</v>
      </c>
      <c r="U489" s="124">
        <f>I489*T489</f>
        <v>0</v>
      </c>
      <c r="V489" s="123">
        <f>((T489*I489)-W489)*4%</f>
        <v>0</v>
      </c>
      <c r="W489" s="124">
        <f>S489*I489*5%</f>
        <v>0</v>
      </c>
    </row>
    <row r="490" spans="1:23">
      <c r="A490" s="118"/>
      <c r="B490" s="118"/>
      <c r="C490" s="119"/>
      <c r="D490" s="118"/>
      <c r="E490" s="118"/>
      <c r="F490" s="118"/>
      <c r="G490" s="119"/>
      <c r="H490" s="119"/>
      <c r="I490" s="119"/>
      <c r="J490" s="119" t="s">
        <v>95</v>
      </c>
      <c r="K490" s="119" t="s">
        <v>110</v>
      </c>
      <c r="L490" s="119" t="s">
        <v>123</v>
      </c>
      <c r="M490" s="51" cm="1">
        <f t="array" ref="M490">IF(L490="",0,_xlfn.SWITCH(L490,"A1",495,"A2",495,"A3",495,"Custom",0,595))</f>
        <v>0</v>
      </c>
      <c r="N490" s="51" cm="1">
        <f t="array" ref="N490">IF(L490="",0,_xlfn.SWITCH(L490,"C1",325,"C2",325,"C3",325,"D1",380,"D2",380,"D3",380,"Custom",0,285))</f>
        <v>0</v>
      </c>
      <c r="O490" s="51">
        <f>IF(L490="",0,_xlfn.SWITCH(L490,"A1",375,"B1",375,"C1",375,"D1",375,"A2",310,"B2",310,"C2",310,"D2",310,"Custom",0,260))</f>
        <v>0</v>
      </c>
      <c r="P490" s="51">
        <f>IFERROR(IF(OR(M490=0,N490=0),0,(M490+N490)*2+11),0)</f>
        <v>0</v>
      </c>
      <c r="Q490" s="51">
        <f>IFERROR(IF(OR(N490=0,O490=0),0,(N490+O490)-16),0)</f>
        <v>0</v>
      </c>
      <c r="R490" s="53">
        <f>P490*Q490/1000000</f>
        <v>0</v>
      </c>
      <c r="S490" s="123">
        <f>IFERROR(VLOOKUP(L490,'[4]Carton Sizes Chart'!$A$4:$E$15,5,FALSE),0)</f>
        <v>0</v>
      </c>
      <c r="T490" s="124">
        <f>S490</f>
        <v>0</v>
      </c>
      <c r="U490" s="124">
        <f>I490*T490</f>
        <v>0</v>
      </c>
      <c r="V490" s="123">
        <f>((T490*I490)-W490)*4%</f>
        <v>0</v>
      </c>
      <c r="W490" s="124">
        <f>S490*I490*5%</f>
        <v>0</v>
      </c>
    </row>
    <row r="491" spans="1:23">
      <c r="A491" s="118"/>
      <c r="B491" s="118"/>
      <c r="C491" s="119"/>
      <c r="D491" s="118"/>
      <c r="E491" s="118"/>
      <c r="F491" s="118"/>
      <c r="G491" s="119"/>
      <c r="H491" s="119"/>
      <c r="I491" s="119"/>
      <c r="J491" s="119" t="s">
        <v>95</v>
      </c>
      <c r="K491" s="119" t="s">
        <v>110</v>
      </c>
      <c r="L491" s="119" t="s">
        <v>123</v>
      </c>
      <c r="M491" s="51" cm="1">
        <f t="array" ref="M491">IF(L491="",0,_xlfn.SWITCH(L491,"A1",495,"A2",495,"A3",495,"Custom",0,595))</f>
        <v>0</v>
      </c>
      <c r="N491" s="51" cm="1">
        <f t="array" ref="N491">IF(L491="",0,_xlfn.SWITCH(L491,"C1",325,"C2",325,"C3",325,"D1",380,"D2",380,"D3",380,"Custom",0,285))</f>
        <v>0</v>
      </c>
      <c r="O491" s="51">
        <f>IF(L491="",0,_xlfn.SWITCH(L491,"A1",375,"B1",375,"C1",375,"D1",375,"A2",310,"B2",310,"C2",310,"D2",310,"Custom",0,260))</f>
        <v>0</v>
      </c>
      <c r="P491" s="51">
        <f>IFERROR(IF(OR(M491=0,N491=0),0,(M491+N491)*2+11),0)</f>
        <v>0</v>
      </c>
      <c r="Q491" s="51">
        <f>IFERROR(IF(OR(N491=0,O491=0),0,(N491+O491)-16),0)</f>
        <v>0</v>
      </c>
      <c r="R491" s="53">
        <f>P491*Q491/1000000</f>
        <v>0</v>
      </c>
      <c r="S491" s="123">
        <f>IFERROR(VLOOKUP(L491,'[4]Carton Sizes Chart'!$A$4:$E$15,5,FALSE),0)</f>
        <v>0</v>
      </c>
      <c r="T491" s="124">
        <f>S491</f>
        <v>0</v>
      </c>
      <c r="U491" s="124">
        <f>I491*T491</f>
        <v>0</v>
      </c>
      <c r="V491" s="123">
        <f>((T491*I491)-W491)*4%</f>
        <v>0</v>
      </c>
      <c r="W491" s="124">
        <f>S491*I491*5%</f>
        <v>0</v>
      </c>
    </row>
    <row r="492" spans="1:23">
      <c r="A492" s="118"/>
      <c r="B492" s="118"/>
      <c r="C492" s="119"/>
      <c r="D492" s="118"/>
      <c r="E492" s="118"/>
      <c r="F492" s="118"/>
      <c r="G492" s="119"/>
      <c r="H492" s="121"/>
      <c r="I492" s="121"/>
      <c r="J492" s="119" t="s">
        <v>95</v>
      </c>
      <c r="K492" s="119" t="s">
        <v>110</v>
      </c>
      <c r="L492" s="119" t="s">
        <v>123</v>
      </c>
      <c r="M492" s="51" cm="1">
        <f t="array" ref="M492">IF(L492="",0,_xlfn.SWITCH(L492,"A1",495,"A2",495,"A3",495,"Custom",0,595))</f>
        <v>0</v>
      </c>
      <c r="N492" s="51" cm="1">
        <f t="array" ref="N492">IF(L492="",0,_xlfn.SWITCH(L492,"C1",325,"C2",325,"C3",325,"D1",380,"D2",380,"D3",380,"Custom",0,285))</f>
        <v>0</v>
      </c>
      <c r="O492" s="51">
        <f>IF(L492="",0,_xlfn.SWITCH(L492,"A1",375,"B1",375,"C1",375,"D1",375,"A2",310,"B2",310,"C2",310,"D2",310,"Custom",0,260))</f>
        <v>0</v>
      </c>
      <c r="P492" s="51">
        <f>IFERROR(IF(OR(M492=0,N492=0),0,(M492+N492)*2+11),0)</f>
        <v>0</v>
      </c>
      <c r="Q492" s="51">
        <f>IFERROR(IF(OR(N492=0,O492=0),0,(N492+O492)-16),0)</f>
        <v>0</v>
      </c>
      <c r="R492" s="53">
        <f>P492*Q492/1000000</f>
        <v>0</v>
      </c>
      <c r="S492" s="123">
        <f>IFERROR(VLOOKUP(L492,'[4]Carton Sizes Chart'!$A$4:$E$15,5,FALSE),0)</f>
        <v>0</v>
      </c>
      <c r="T492" s="124">
        <f>S492</f>
        <v>0</v>
      </c>
      <c r="U492" s="124">
        <f>I492*T492</f>
        <v>0</v>
      </c>
      <c r="V492" s="123">
        <f>((T492*I492)-W492)*4%</f>
        <v>0</v>
      </c>
      <c r="W492" s="124">
        <f>S492*I492*5%</f>
        <v>0</v>
      </c>
    </row>
    <row r="493" spans="1:23">
      <c r="A493" s="118"/>
      <c r="B493" s="118"/>
      <c r="C493" s="119"/>
      <c r="D493" s="118"/>
      <c r="E493" s="118"/>
      <c r="F493" s="118"/>
      <c r="G493" s="119"/>
      <c r="H493" s="119"/>
      <c r="I493" s="119"/>
      <c r="J493" s="119" t="s">
        <v>95</v>
      </c>
      <c r="K493" s="119" t="s">
        <v>110</v>
      </c>
      <c r="L493" s="119" t="s">
        <v>123</v>
      </c>
      <c r="M493" s="51" cm="1">
        <f t="array" ref="M493">IF(L493="",0,_xlfn.SWITCH(L493,"A1",495,"A2",495,"A3",495,"Custom",0,595))</f>
        <v>0</v>
      </c>
      <c r="N493" s="51" cm="1">
        <f t="array" ref="N493">IF(L493="",0,_xlfn.SWITCH(L493,"C1",325,"C2",325,"C3",325,"D1",380,"D2",380,"D3",380,"Custom",0,285))</f>
        <v>0</v>
      </c>
      <c r="O493" s="51">
        <f>IF(L493="",0,_xlfn.SWITCH(L493,"A1",375,"B1",375,"C1",375,"D1",375,"A2",310,"B2",310,"C2",310,"D2",310,"Custom",0,260))</f>
        <v>0</v>
      </c>
      <c r="P493" s="51">
        <f>IFERROR(IF(OR(M493=0,N493=0),0,(M493+N493)*2+11),0)</f>
        <v>0</v>
      </c>
      <c r="Q493" s="51">
        <f>IFERROR(IF(OR(N493=0,O493=0),0,(N493+O493)-16),0)</f>
        <v>0</v>
      </c>
      <c r="R493" s="53">
        <f>P493*Q493/1000000</f>
        <v>0</v>
      </c>
      <c r="S493" s="123">
        <f>IFERROR(VLOOKUP(L493,'[4]Carton Sizes Chart'!$A$4:$E$15,5,FALSE),0)</f>
        <v>0</v>
      </c>
      <c r="T493" s="124">
        <f>S493</f>
        <v>0</v>
      </c>
      <c r="U493" s="124">
        <f>I493*T493</f>
        <v>0</v>
      </c>
      <c r="V493" s="123">
        <f>((T493*I493)-W493)*4%</f>
        <v>0</v>
      </c>
      <c r="W493" s="124">
        <f>S493*I493*5%</f>
        <v>0</v>
      </c>
    </row>
    <row r="494" spans="1:23">
      <c r="A494" s="118"/>
      <c r="B494" s="118"/>
      <c r="C494" s="119"/>
      <c r="D494" s="118"/>
      <c r="E494" s="118"/>
      <c r="F494" s="118"/>
      <c r="G494" s="119"/>
      <c r="H494" s="119"/>
      <c r="I494" s="119"/>
      <c r="J494" s="119" t="s">
        <v>95</v>
      </c>
      <c r="K494" s="119" t="s">
        <v>110</v>
      </c>
      <c r="L494" s="119" t="s">
        <v>123</v>
      </c>
      <c r="M494" s="51" cm="1">
        <f t="array" ref="M494">IF(L494="",0,_xlfn.SWITCH(L494,"A1",495,"A2",495,"A3",495,"Custom",0,595))</f>
        <v>0</v>
      </c>
      <c r="N494" s="51" cm="1">
        <f t="array" ref="N494">IF(L494="",0,_xlfn.SWITCH(L494,"C1",325,"C2",325,"C3",325,"D1",380,"D2",380,"D3",380,"Custom",0,285))</f>
        <v>0</v>
      </c>
      <c r="O494" s="51">
        <f>IF(L494="",0,_xlfn.SWITCH(L494,"A1",375,"B1",375,"C1",375,"D1",375,"A2",310,"B2",310,"C2",310,"D2",310,"Custom",0,260))</f>
        <v>0</v>
      </c>
      <c r="P494" s="51">
        <f>IFERROR(IF(OR(M494=0,N494=0),0,(M494+N494)*2+11),0)</f>
        <v>0</v>
      </c>
      <c r="Q494" s="51">
        <f>IFERROR(IF(OR(N494=0,O494=0),0,(N494+O494)-16),0)</f>
        <v>0</v>
      </c>
      <c r="R494" s="53">
        <f>P494*Q494/1000000</f>
        <v>0</v>
      </c>
      <c r="S494" s="123">
        <f>IFERROR(VLOOKUP(L494,'[4]Carton Sizes Chart'!$A$4:$E$15,5,FALSE),0)</f>
        <v>0</v>
      </c>
      <c r="T494" s="124">
        <f>S494</f>
        <v>0</v>
      </c>
      <c r="U494" s="124">
        <f>I494*T494</f>
        <v>0</v>
      </c>
      <c r="V494" s="123">
        <f>((T494*I494)-W494)*4%</f>
        <v>0</v>
      </c>
      <c r="W494" s="124">
        <f>S494*I494*5%</f>
        <v>0</v>
      </c>
    </row>
    <row r="495" spans="1:23">
      <c r="A495" s="118"/>
      <c r="B495" s="118"/>
      <c r="C495" s="119"/>
      <c r="D495" s="118"/>
      <c r="E495" s="118"/>
      <c r="F495" s="118"/>
      <c r="G495" s="119"/>
      <c r="H495" s="121"/>
      <c r="I495" s="121"/>
      <c r="J495" s="119" t="s">
        <v>95</v>
      </c>
      <c r="K495" s="119" t="s">
        <v>110</v>
      </c>
      <c r="L495" s="119" t="s">
        <v>123</v>
      </c>
      <c r="M495" s="51" cm="1">
        <f t="array" ref="M495">IF(L495="",0,_xlfn.SWITCH(L495,"A1",495,"A2",495,"A3",495,"Custom",0,595))</f>
        <v>0</v>
      </c>
      <c r="N495" s="51" cm="1">
        <f t="array" ref="N495">IF(L495="",0,_xlfn.SWITCH(L495,"C1",325,"C2",325,"C3",325,"D1",380,"D2",380,"D3",380,"Custom",0,285))</f>
        <v>0</v>
      </c>
      <c r="O495" s="51">
        <f>IF(L495="",0,_xlfn.SWITCH(L495,"A1",375,"B1",375,"C1",375,"D1",375,"A2",310,"B2",310,"C2",310,"D2",310,"Custom",0,260))</f>
        <v>0</v>
      </c>
      <c r="P495" s="51">
        <f>IFERROR(IF(OR(M495=0,N495=0),0,(M495+N495)*2+11),0)</f>
        <v>0</v>
      </c>
      <c r="Q495" s="51">
        <f>IFERROR(IF(OR(N495=0,O495=0),0,(N495+O495)-16),0)</f>
        <v>0</v>
      </c>
      <c r="R495" s="53">
        <f>P495*Q495/1000000</f>
        <v>0</v>
      </c>
      <c r="S495" s="123">
        <f>IFERROR(VLOOKUP(L495,'[4]Carton Sizes Chart'!$A$4:$E$15,5,FALSE),0)</f>
        <v>0</v>
      </c>
      <c r="T495" s="124">
        <f>S495</f>
        <v>0</v>
      </c>
      <c r="U495" s="124">
        <f>I495*T495</f>
        <v>0</v>
      </c>
      <c r="V495" s="123">
        <f>((T495*I495)-W495)*4%</f>
        <v>0</v>
      </c>
      <c r="W495" s="124">
        <f>S495*I495*5%</f>
        <v>0</v>
      </c>
    </row>
    <row r="496" spans="1:23">
      <c r="A496" s="118"/>
      <c r="B496" s="118"/>
      <c r="C496" s="119"/>
      <c r="D496" s="118"/>
      <c r="E496" s="118"/>
      <c r="F496" s="118"/>
      <c r="G496" s="119"/>
      <c r="H496" s="119"/>
      <c r="I496" s="119"/>
      <c r="J496" s="119" t="s">
        <v>95</v>
      </c>
      <c r="K496" s="119" t="s">
        <v>110</v>
      </c>
      <c r="L496" s="119" t="s">
        <v>123</v>
      </c>
      <c r="M496" s="51" cm="1">
        <f t="array" ref="M496">IF(L496="",0,_xlfn.SWITCH(L496,"A1",495,"A2",495,"A3",495,"Custom",0,595))</f>
        <v>0</v>
      </c>
      <c r="N496" s="51" cm="1">
        <f t="array" ref="N496">IF(L496="",0,_xlfn.SWITCH(L496,"C1",325,"C2",325,"C3",325,"D1",380,"D2",380,"D3",380,"Custom",0,285))</f>
        <v>0</v>
      </c>
      <c r="O496" s="51">
        <f>IF(L496="",0,_xlfn.SWITCH(L496,"A1",375,"B1",375,"C1",375,"D1",375,"A2",310,"B2",310,"C2",310,"D2",310,"Custom",0,260))</f>
        <v>0</v>
      </c>
      <c r="P496" s="51">
        <f>IFERROR(IF(OR(M496=0,N496=0),0,(M496+N496)*2+11),0)</f>
        <v>0</v>
      </c>
      <c r="Q496" s="51">
        <f>IFERROR(IF(OR(N496=0,O496=0),0,(N496+O496)-16),0)</f>
        <v>0</v>
      </c>
      <c r="R496" s="53">
        <f>P496*Q496/1000000</f>
        <v>0</v>
      </c>
      <c r="S496" s="123">
        <f>IFERROR(VLOOKUP(L496,'[4]Carton Sizes Chart'!$A$4:$E$15,5,FALSE),0)</f>
        <v>0</v>
      </c>
      <c r="T496" s="124">
        <f>S496</f>
        <v>0</v>
      </c>
      <c r="U496" s="124">
        <f>I496*T496</f>
        <v>0</v>
      </c>
      <c r="V496" s="123">
        <f>((T496*I496)-W496)*4%</f>
        <v>0</v>
      </c>
      <c r="W496" s="124">
        <f>S496*I496*5%</f>
        <v>0</v>
      </c>
    </row>
    <row r="497" spans="1:23">
      <c r="A497" s="118"/>
      <c r="B497" s="118"/>
      <c r="C497" s="119"/>
      <c r="D497" s="118"/>
      <c r="E497" s="118"/>
      <c r="F497" s="118"/>
      <c r="G497" s="119"/>
      <c r="H497" s="119"/>
      <c r="I497" s="119"/>
      <c r="J497" s="119" t="s">
        <v>95</v>
      </c>
      <c r="K497" s="119" t="s">
        <v>110</v>
      </c>
      <c r="L497" s="119" t="s">
        <v>123</v>
      </c>
      <c r="M497" s="51" cm="1">
        <f t="array" ref="M497">IF(L497="",0,_xlfn.SWITCH(L497,"A1",495,"A2",495,"A3",495,"Custom",0,595))</f>
        <v>0</v>
      </c>
      <c r="N497" s="51" cm="1">
        <f t="array" ref="N497">IF(L497="",0,_xlfn.SWITCH(L497,"C1",325,"C2",325,"C3",325,"D1",380,"D2",380,"D3",380,"Custom",0,285))</f>
        <v>0</v>
      </c>
      <c r="O497" s="51">
        <f>IF(L497="",0,_xlfn.SWITCH(L497,"A1",375,"B1",375,"C1",375,"D1",375,"A2",310,"B2",310,"C2",310,"D2",310,"Custom",0,260))</f>
        <v>0</v>
      </c>
      <c r="P497" s="51">
        <f>IFERROR(IF(OR(M497=0,N497=0),0,(M497+N497)*2+11),0)</f>
        <v>0</v>
      </c>
      <c r="Q497" s="51">
        <f>IFERROR(IF(OR(N497=0,O497=0),0,(N497+O497)-16),0)</f>
        <v>0</v>
      </c>
      <c r="R497" s="53">
        <f>P497*Q497/1000000</f>
        <v>0</v>
      </c>
      <c r="S497" s="123">
        <f>IFERROR(VLOOKUP(L497,'[4]Carton Sizes Chart'!$A$4:$E$15,5,FALSE),0)</f>
        <v>0</v>
      </c>
      <c r="T497" s="124">
        <f>S497</f>
        <v>0</v>
      </c>
      <c r="U497" s="124">
        <f>I497*T497</f>
        <v>0</v>
      </c>
      <c r="V497" s="123">
        <f>((T497*I497)-W497)*4%</f>
        <v>0</v>
      </c>
      <c r="W497" s="124">
        <f>S497*I497*5%</f>
        <v>0</v>
      </c>
    </row>
    <row r="498" spans="1:23">
      <c r="A498" s="118"/>
      <c r="B498" s="118"/>
      <c r="C498" s="119"/>
      <c r="D498" s="118"/>
      <c r="E498" s="118"/>
      <c r="F498" s="118"/>
      <c r="G498" s="119"/>
      <c r="H498" s="119"/>
      <c r="I498" s="119"/>
      <c r="J498" s="119" t="s">
        <v>95</v>
      </c>
      <c r="K498" s="119" t="s">
        <v>110</v>
      </c>
      <c r="L498" s="119" t="s">
        <v>123</v>
      </c>
      <c r="M498" s="51" cm="1">
        <f t="array" ref="M498">IF(L498="",0,_xlfn.SWITCH(L498,"A1",495,"A2",495,"A3",495,"Custom",0,595))</f>
        <v>0</v>
      </c>
      <c r="N498" s="51" cm="1">
        <f t="array" ref="N498">IF(L498="",0,_xlfn.SWITCH(L498,"C1",325,"C2",325,"C3",325,"D1",380,"D2",380,"D3",380,"Custom",0,285))</f>
        <v>0</v>
      </c>
      <c r="O498" s="51">
        <f>IF(L498="",0,_xlfn.SWITCH(L498,"A1",375,"B1",375,"C1",375,"D1",375,"A2",310,"B2",310,"C2",310,"D2",310,"Custom",0,260))</f>
        <v>0</v>
      </c>
      <c r="P498" s="51">
        <f>IFERROR(IF(OR(M498=0,N498=0),0,(M498+N498)*2+11),0)</f>
        <v>0</v>
      </c>
      <c r="Q498" s="51">
        <f>IFERROR(IF(OR(N498=0,O498=0),0,(N498+O498)-16),0)</f>
        <v>0</v>
      </c>
      <c r="R498" s="53">
        <f>P498*Q498/1000000</f>
        <v>0</v>
      </c>
      <c r="S498" s="123">
        <f>IFERROR(VLOOKUP(L498,'[4]Carton Sizes Chart'!$A$4:$E$15,5,FALSE),0)</f>
        <v>0</v>
      </c>
      <c r="T498" s="124">
        <f>S498</f>
        <v>0</v>
      </c>
      <c r="U498" s="124">
        <f>I498*T498</f>
        <v>0</v>
      </c>
      <c r="V498" s="123">
        <f>((T498*I498)-W498)*4%</f>
        <v>0</v>
      </c>
      <c r="W498" s="124">
        <f>S498*I498*5%</f>
        <v>0</v>
      </c>
    </row>
    <row r="499" spans="1:23">
      <c r="A499" s="118"/>
      <c r="B499" s="118"/>
      <c r="C499" s="119"/>
      <c r="D499" s="118"/>
      <c r="E499" s="118"/>
      <c r="F499" s="118"/>
      <c r="G499" s="119"/>
      <c r="H499" s="119"/>
      <c r="I499" s="119"/>
      <c r="J499" s="119" t="s">
        <v>95</v>
      </c>
      <c r="K499" s="119" t="s">
        <v>110</v>
      </c>
      <c r="L499" s="119" t="s">
        <v>123</v>
      </c>
      <c r="M499" s="51" cm="1">
        <f t="array" ref="M499">IF(L499="",0,_xlfn.SWITCH(L499,"A1",495,"A2",495,"A3",495,"Custom",0,595))</f>
        <v>0</v>
      </c>
      <c r="N499" s="51" cm="1">
        <f t="array" ref="N499">IF(L499="",0,_xlfn.SWITCH(L499,"C1",325,"C2",325,"C3",325,"D1",380,"D2",380,"D3",380,"Custom",0,285))</f>
        <v>0</v>
      </c>
      <c r="O499" s="51">
        <f>IF(L499="",0,_xlfn.SWITCH(L499,"A1",375,"B1",375,"C1",375,"D1",375,"A2",310,"B2",310,"C2",310,"D2",310,"Custom",0,260))</f>
        <v>0</v>
      </c>
      <c r="P499" s="51">
        <f>IFERROR(IF(OR(M499=0,N499=0),0,(M499+N499)*2+11),0)</f>
        <v>0</v>
      </c>
      <c r="Q499" s="51">
        <f>IFERROR(IF(OR(N499=0,O499=0),0,(N499+O499)-16),0)</f>
        <v>0</v>
      </c>
      <c r="R499" s="53">
        <f>P499*Q499/1000000</f>
        <v>0</v>
      </c>
      <c r="S499" s="123">
        <f>IFERROR(VLOOKUP(L499,'[4]Carton Sizes Chart'!$A$4:$E$15,5,FALSE),0)</f>
        <v>0</v>
      </c>
      <c r="T499" s="124">
        <f>S499</f>
        <v>0</v>
      </c>
      <c r="U499" s="124">
        <f>I499*T499</f>
        <v>0</v>
      </c>
      <c r="V499" s="123">
        <f>((T499*I499)-W499)*4%</f>
        <v>0</v>
      </c>
      <c r="W499" s="124">
        <f>S499*I499*5%</f>
        <v>0</v>
      </c>
    </row>
    <row r="500" spans="1:23">
      <c r="A500" s="118"/>
      <c r="B500" s="118"/>
      <c r="C500" s="119"/>
      <c r="D500" s="118"/>
      <c r="E500" s="118"/>
      <c r="F500" s="118"/>
      <c r="G500" s="119"/>
      <c r="H500" s="119"/>
      <c r="I500" s="119"/>
      <c r="J500" s="119" t="s">
        <v>95</v>
      </c>
      <c r="K500" s="119" t="s">
        <v>110</v>
      </c>
      <c r="L500" s="119" t="s">
        <v>123</v>
      </c>
      <c r="M500" s="51" cm="1">
        <f t="array" ref="M500">IF(L500="",0,_xlfn.SWITCH(L500,"A1",495,"A2",495,"A3",495,"Custom",0,595))</f>
        <v>0</v>
      </c>
      <c r="N500" s="51" cm="1">
        <f t="array" ref="N500">IF(L500="",0,_xlfn.SWITCH(L500,"C1",325,"C2",325,"C3",325,"D1",380,"D2",380,"D3",380,"Custom",0,285))</f>
        <v>0</v>
      </c>
      <c r="O500" s="51">
        <f>IF(L500="",0,_xlfn.SWITCH(L500,"A1",375,"B1",375,"C1",375,"D1",375,"A2",310,"B2",310,"C2",310,"D2",310,"Custom",0,260))</f>
        <v>0</v>
      </c>
      <c r="P500" s="51">
        <f>IFERROR(IF(OR(M500=0,N500=0),0,(M500+N500)*2+11),0)</f>
        <v>0</v>
      </c>
      <c r="Q500" s="51">
        <f>IFERROR(IF(OR(N500=0,O500=0),0,(N500+O500)-16),0)</f>
        <v>0</v>
      </c>
      <c r="R500" s="53">
        <f>P500*Q500/1000000</f>
        <v>0</v>
      </c>
      <c r="S500" s="123">
        <f>IFERROR(VLOOKUP(L500,'[4]Carton Sizes Chart'!$A$4:$E$15,5,FALSE),0)</f>
        <v>0</v>
      </c>
      <c r="T500" s="124">
        <f>S500</f>
        <v>0</v>
      </c>
      <c r="U500" s="124">
        <f>I500*T500</f>
        <v>0</v>
      </c>
      <c r="V500" s="123">
        <f>((T500*I500)-W500)*4%</f>
        <v>0</v>
      </c>
      <c r="W500" s="124">
        <f>S500*I500*5%</f>
        <v>0</v>
      </c>
    </row>
    <row r="501" spans="1:23">
      <c r="A501" s="118"/>
      <c r="B501" s="118"/>
      <c r="C501" s="119"/>
      <c r="D501" s="118"/>
      <c r="E501" s="118"/>
      <c r="F501" s="118"/>
      <c r="G501" s="119"/>
      <c r="H501" s="119"/>
      <c r="I501" s="119"/>
      <c r="J501" s="119" t="s">
        <v>95</v>
      </c>
      <c r="K501" s="119" t="s">
        <v>110</v>
      </c>
      <c r="L501" s="119" t="s">
        <v>123</v>
      </c>
      <c r="M501" s="51" cm="1">
        <f t="array" ref="M501">IF(L501="",0,_xlfn.SWITCH(L501,"A1",495,"A2",495,"A3",495,"Custom",0,595))</f>
        <v>0</v>
      </c>
      <c r="N501" s="51" cm="1">
        <f t="array" ref="N501">IF(L501="",0,_xlfn.SWITCH(L501,"C1",325,"C2",325,"C3",325,"D1",380,"D2",380,"D3",380,"Custom",0,285))</f>
        <v>0</v>
      </c>
      <c r="O501" s="51">
        <f>IF(L501="",0,_xlfn.SWITCH(L501,"A1",375,"B1",375,"C1",375,"D1",375,"A2",310,"B2",310,"C2",310,"D2",310,"Custom",0,260))</f>
        <v>0</v>
      </c>
      <c r="P501" s="51">
        <f>IFERROR(IF(OR(M501=0,N501=0),0,(M501+N501)*2+11),0)</f>
        <v>0</v>
      </c>
      <c r="Q501" s="51">
        <f>IFERROR(IF(OR(N501=0,O501=0),0,(N501+O501)-16),0)</f>
        <v>0</v>
      </c>
      <c r="R501" s="53">
        <f>P501*Q501/1000000</f>
        <v>0</v>
      </c>
      <c r="S501" s="123">
        <f>IFERROR(VLOOKUP(L501,'[4]Carton Sizes Chart'!$A$4:$E$15,5,FALSE),0)</f>
        <v>0</v>
      </c>
      <c r="T501" s="124">
        <f>S501</f>
        <v>0</v>
      </c>
      <c r="U501" s="124">
        <f>I501*T501</f>
        <v>0</v>
      </c>
      <c r="V501" s="123">
        <f>((T501*I501)-W501)*4%</f>
        <v>0</v>
      </c>
      <c r="W501" s="124">
        <f>S501*I501*5%</f>
        <v>0</v>
      </c>
    </row>
    <row r="502" spans="1:23">
      <c r="A502" s="118"/>
      <c r="B502" s="118"/>
      <c r="C502" s="119"/>
      <c r="D502" s="118"/>
      <c r="E502" s="118"/>
      <c r="F502" s="118"/>
      <c r="G502" s="119"/>
      <c r="H502" s="119"/>
      <c r="I502" s="119"/>
      <c r="J502" s="119" t="s">
        <v>95</v>
      </c>
      <c r="K502" s="119" t="s">
        <v>110</v>
      </c>
      <c r="L502" s="119" t="s">
        <v>123</v>
      </c>
      <c r="M502" s="51" cm="1">
        <f t="array" ref="M502">IF(L502="",0,_xlfn.SWITCH(L502,"A1",495,"A2",495,"A3",495,"Custom",0,595))</f>
        <v>0</v>
      </c>
      <c r="N502" s="51" cm="1">
        <f t="array" ref="N502">IF(L502="",0,_xlfn.SWITCH(L502,"C1",325,"C2",325,"C3",325,"D1",380,"D2",380,"D3",380,"Custom",0,285))</f>
        <v>0</v>
      </c>
      <c r="O502" s="51">
        <f>IF(L502="",0,_xlfn.SWITCH(L502,"A1",375,"B1",375,"C1",375,"D1",375,"A2",310,"B2",310,"C2",310,"D2",310,"Custom",0,260))</f>
        <v>0</v>
      </c>
      <c r="P502" s="51">
        <f>IFERROR(IF(OR(M502=0,N502=0),0,(M502+N502)*2+11),0)</f>
        <v>0</v>
      </c>
      <c r="Q502" s="51">
        <f>IFERROR(IF(OR(N502=0,O502=0),0,(N502+O502)-16),0)</f>
        <v>0</v>
      </c>
      <c r="R502" s="53">
        <f>P502*Q502/1000000</f>
        <v>0</v>
      </c>
      <c r="S502" s="123">
        <f>IFERROR(VLOOKUP(L502,'[4]Carton Sizes Chart'!$A$4:$E$15,5,FALSE),0)</f>
        <v>0</v>
      </c>
      <c r="T502" s="124">
        <f>S502</f>
        <v>0</v>
      </c>
      <c r="U502" s="124">
        <f>I502*T502</f>
        <v>0</v>
      </c>
      <c r="V502" s="123">
        <f>((T502*I502)-W502)*4%</f>
        <v>0</v>
      </c>
      <c r="W502" s="124">
        <f>S502*I502*5%</f>
        <v>0</v>
      </c>
    </row>
    <row r="503" spans="1:23">
      <c r="A503" s="118"/>
      <c r="B503" s="118"/>
      <c r="C503" s="119"/>
      <c r="D503" s="118"/>
      <c r="E503" s="118"/>
      <c r="F503" s="118"/>
      <c r="G503" s="119"/>
      <c r="H503" s="119"/>
      <c r="I503" s="119"/>
      <c r="J503" s="119" t="s">
        <v>95</v>
      </c>
      <c r="K503" s="119" t="s">
        <v>110</v>
      </c>
      <c r="L503" s="119" t="s">
        <v>123</v>
      </c>
      <c r="M503" s="51" cm="1">
        <f t="array" ref="M503">IF(L503="",0,_xlfn.SWITCH(L503,"A1",495,"A2",495,"A3",495,"Custom",0,595))</f>
        <v>0</v>
      </c>
      <c r="N503" s="51" cm="1">
        <f t="array" ref="N503">IF(L503="",0,_xlfn.SWITCH(L503,"C1",325,"C2",325,"C3",325,"D1",380,"D2",380,"D3",380,"Custom",0,285))</f>
        <v>0</v>
      </c>
      <c r="O503" s="51">
        <f>IF(L503="",0,_xlfn.SWITCH(L503,"A1",375,"B1",375,"C1",375,"D1",375,"A2",310,"B2",310,"C2",310,"D2",310,"Custom",0,260))</f>
        <v>0</v>
      </c>
      <c r="P503" s="51">
        <f>IFERROR(IF(OR(M503=0,N503=0),0,(M503+N503)*2+11),0)</f>
        <v>0</v>
      </c>
      <c r="Q503" s="51">
        <f>IFERROR(IF(OR(N503=0,O503=0),0,(N503+O503)-16),0)</f>
        <v>0</v>
      </c>
      <c r="R503" s="53">
        <f>P503*Q503/1000000</f>
        <v>0</v>
      </c>
      <c r="S503" s="129">
        <f>IF(L503="Custom", R503*'[1]RFQ_Matalan Carton'!$M$40, IFERROR(VLOOKUP(L503,'[1]Carton Sizes Chart'!$A$4:$E$15,5,FALSE),0))</f>
        <v>0</v>
      </c>
      <c r="T503" s="124">
        <f>S503</f>
        <v>0</v>
      </c>
      <c r="U503" s="124">
        <f>I503*T503</f>
        <v>0</v>
      </c>
      <c r="V503" s="123">
        <f>((T503*I503)-W503)*4%</f>
        <v>0</v>
      </c>
      <c r="W503" s="124">
        <f>S503*I503*5%</f>
        <v>0</v>
      </c>
    </row>
    <row r="504" spans="1:23">
      <c r="A504" s="118"/>
      <c r="B504" s="118"/>
      <c r="C504" s="119"/>
      <c r="D504" s="118"/>
      <c r="E504" s="118"/>
      <c r="F504" s="118"/>
      <c r="G504" s="119"/>
      <c r="H504" s="121"/>
      <c r="I504" s="121"/>
      <c r="J504" s="119" t="s">
        <v>95</v>
      </c>
      <c r="K504" s="119" t="s">
        <v>110</v>
      </c>
      <c r="L504" s="119" t="s">
        <v>123</v>
      </c>
      <c r="M504" s="51" cm="1">
        <f t="array" ref="M504">IF(L504="",0,_xlfn.SWITCH(L504,"A1",495,"A2",495,"A3",495,"Custom",0,595))</f>
        <v>0</v>
      </c>
      <c r="N504" s="51" cm="1">
        <f t="array" ref="N504">IF(L504="",0,_xlfn.SWITCH(L504,"C1",325,"C2",325,"C3",325,"D1",380,"D2",380,"D3",380,"Custom",0,285))</f>
        <v>0</v>
      </c>
      <c r="O504" s="51">
        <f>IF(L504="",0,_xlfn.SWITCH(L504,"A1",375,"B1",375,"C1",375,"D1",375,"A2",310,"B2",310,"C2",310,"D2",310,"Custom",0,260))</f>
        <v>0</v>
      </c>
      <c r="P504" s="51">
        <f>IFERROR(IF(OR(M504=0,N504=0),0,(M504+N504)*2+11),0)</f>
        <v>0</v>
      </c>
      <c r="Q504" s="51">
        <f>IFERROR(IF(OR(N504=0,O504=0),0,(N504+O504)-16),0)</f>
        <v>0</v>
      </c>
      <c r="R504" s="53">
        <f>P504*Q504/1000000</f>
        <v>0</v>
      </c>
      <c r="S504" s="129">
        <f>IF(L504="Custom", R504*'[1]RFQ_Matalan Carton'!$M$40, IFERROR(VLOOKUP(L504,'[1]Carton Sizes Chart'!$A$4:$E$15,5,FALSE),0))</f>
        <v>0</v>
      </c>
      <c r="T504" s="124">
        <f>S504</f>
        <v>0</v>
      </c>
      <c r="U504" s="124">
        <f>I504*T504</f>
        <v>0</v>
      </c>
      <c r="V504" s="123">
        <f>((T504*I504)-W504)*4%</f>
        <v>0</v>
      </c>
      <c r="W504" s="124">
        <f>S504*I504*5%</f>
        <v>0</v>
      </c>
    </row>
    <row r="505" spans="1:23">
      <c r="A505" s="118"/>
      <c r="B505" s="118"/>
      <c r="C505" s="119"/>
      <c r="D505" s="118"/>
      <c r="E505" s="118"/>
      <c r="F505" s="118"/>
      <c r="G505" s="119"/>
      <c r="H505" s="119"/>
      <c r="I505" s="119"/>
      <c r="J505" s="119" t="s">
        <v>95</v>
      </c>
      <c r="K505" s="119" t="s">
        <v>110</v>
      </c>
      <c r="L505" s="119" t="s">
        <v>123</v>
      </c>
      <c r="M505" s="51" cm="1">
        <f t="array" ref="M505">IF(L505="",0,_xlfn.SWITCH(L505,"A1",495,"A2",495,"A3",495,"Custom",0,595))</f>
        <v>0</v>
      </c>
      <c r="N505" s="51" cm="1">
        <f t="array" ref="N505">IF(L505="",0,_xlfn.SWITCH(L505,"C1",325,"C2",325,"C3",325,"D1",380,"D2",380,"D3",380,"Custom",0,285))</f>
        <v>0</v>
      </c>
      <c r="O505" s="51">
        <f>IF(L505="",0,_xlfn.SWITCH(L505,"A1",375,"B1",375,"C1",375,"D1",375,"A2",310,"B2",310,"C2",310,"D2",310,"Custom",0,260))</f>
        <v>0</v>
      </c>
      <c r="P505" s="51">
        <f>IFERROR(IF(OR(M505=0,N505=0),0,(M505+N505)*2+11),0)</f>
        <v>0</v>
      </c>
      <c r="Q505" s="51">
        <f>IFERROR(IF(OR(N505=0,O505=0),0,(N505+O505)-16),0)</f>
        <v>0</v>
      </c>
      <c r="R505" s="53">
        <f>P505*Q505/1000000</f>
        <v>0</v>
      </c>
      <c r="S505" s="129">
        <f>IF(L505="Custom", R505*'[1]RFQ_Matalan Carton'!$M$40, IFERROR(VLOOKUP(L505,'[1]Carton Sizes Chart'!$A$4:$E$15,5,FALSE),0))</f>
        <v>0</v>
      </c>
      <c r="T505" s="124">
        <f>S505</f>
        <v>0</v>
      </c>
      <c r="U505" s="124">
        <f>I505*T505</f>
        <v>0</v>
      </c>
      <c r="V505" s="123">
        <f>((T505*I505)-W505)*4%</f>
        <v>0</v>
      </c>
      <c r="W505" s="124">
        <f>S505*I505*5%</f>
        <v>0</v>
      </c>
    </row>
    <row r="506" spans="1:23">
      <c r="A506" s="118"/>
      <c r="B506" s="118"/>
      <c r="C506" s="119"/>
      <c r="D506" s="118"/>
      <c r="E506" s="118"/>
      <c r="F506" s="118"/>
      <c r="G506" s="119"/>
      <c r="H506" s="119"/>
      <c r="I506" s="119"/>
      <c r="J506" s="119" t="s">
        <v>95</v>
      </c>
      <c r="K506" s="119" t="s">
        <v>110</v>
      </c>
      <c r="L506" s="119" t="s">
        <v>123</v>
      </c>
      <c r="M506" s="51" cm="1">
        <f t="array" ref="M506">IF(L506="",0,_xlfn.SWITCH(L506,"A1",495,"A2",495,"A3",495,"Custom",0,595))</f>
        <v>0</v>
      </c>
      <c r="N506" s="51" cm="1">
        <f t="array" ref="N506">IF(L506="",0,_xlfn.SWITCH(L506,"C1",325,"C2",325,"C3",325,"D1",380,"D2",380,"D3",380,"Custom",0,285))</f>
        <v>0</v>
      </c>
      <c r="O506" s="51">
        <f>IF(L506="",0,_xlfn.SWITCH(L506,"A1",375,"B1",375,"C1",375,"D1",375,"A2",310,"B2",310,"C2",310,"D2",310,"Custom",0,260))</f>
        <v>0</v>
      </c>
      <c r="P506" s="51">
        <f>IFERROR(IF(OR(M506=0,N506=0),0,(M506+N506)*2+11),0)</f>
        <v>0</v>
      </c>
      <c r="Q506" s="51">
        <f>IFERROR(IF(OR(N506=0,O506=0),0,(N506+O506)-16),0)</f>
        <v>0</v>
      </c>
      <c r="R506" s="53">
        <f>P506*Q506/1000000</f>
        <v>0</v>
      </c>
      <c r="S506" s="123">
        <f>IFERROR(VLOOKUP(L506,'[4]Carton Sizes Chart'!$A$4:$E$15,5,FALSE),0)</f>
        <v>0</v>
      </c>
      <c r="T506" s="124">
        <f>S506</f>
        <v>0</v>
      </c>
      <c r="U506" s="124">
        <f>I506*T506</f>
        <v>0</v>
      </c>
      <c r="V506" s="123">
        <f>((T506*I506)-W506)*4%</f>
        <v>0</v>
      </c>
      <c r="W506" s="124">
        <f>S506*I506*5%</f>
        <v>0</v>
      </c>
    </row>
    <row r="507" spans="1:23">
      <c r="A507" s="118"/>
      <c r="B507" s="118"/>
      <c r="C507" s="119"/>
      <c r="D507" s="118"/>
      <c r="E507" s="118"/>
      <c r="F507" s="118"/>
      <c r="G507" s="119"/>
      <c r="H507" s="119"/>
      <c r="I507" s="119"/>
      <c r="J507" s="119"/>
      <c r="K507" s="119"/>
      <c r="L507" s="119" t="s">
        <v>123</v>
      </c>
      <c r="M507" s="51" cm="1">
        <f t="array" ref="M507">IF(L507="",0,_xlfn.SWITCH(L507,"A1",495,"A2",495,"A3",495,"Custom",0,595))</f>
        <v>0</v>
      </c>
      <c r="N507" s="51" cm="1">
        <f t="array" ref="N507">IF(L507="",0,_xlfn.SWITCH(L507,"C1",325,"C2",325,"C3",325,"D1",380,"D2",380,"D3",380,"Custom",0,285))</f>
        <v>0</v>
      </c>
      <c r="O507" s="51">
        <f>IF(L507="",0,_xlfn.SWITCH(L507,"A1",375,"B1",375,"C1",375,"D1",375,"A2",310,"B2",310,"C2",310,"D2",310,"Custom",0,260))</f>
        <v>0</v>
      </c>
      <c r="P507" s="51">
        <f>IFERROR(IF(OR(M507=0,N507=0),0,(M507+N507)*2+11),0)</f>
        <v>0</v>
      </c>
      <c r="Q507" s="51">
        <f>IFERROR(IF(OR(N507=0,O507=0),0,(N507+O507)-16),0)</f>
        <v>0</v>
      </c>
      <c r="R507" s="53">
        <f>P507*Q507/1000000</f>
        <v>0</v>
      </c>
      <c r="S507" s="123">
        <f>IFERROR(VLOOKUP(L507,'[4]Carton Sizes Chart'!$A$4:$E$15,5,FALSE),0)</f>
        <v>0</v>
      </c>
      <c r="T507" s="124">
        <f>S507</f>
        <v>0</v>
      </c>
      <c r="U507" s="124">
        <f>I507*T507</f>
        <v>0</v>
      </c>
      <c r="V507" s="123">
        <f>((T507*I507)-W507)*4%</f>
        <v>0</v>
      </c>
      <c r="W507" s="124">
        <f>S507*I507*5%</f>
        <v>0</v>
      </c>
    </row>
    <row r="508" spans="1:23">
      <c r="A508" s="118"/>
      <c r="B508" s="118"/>
      <c r="C508" s="119"/>
      <c r="D508" s="118"/>
      <c r="E508" s="118"/>
      <c r="F508" s="118"/>
      <c r="G508" s="119"/>
      <c r="H508" s="119"/>
      <c r="I508" s="119"/>
      <c r="J508" s="119"/>
      <c r="K508" s="119"/>
      <c r="L508" s="119" t="s">
        <v>123</v>
      </c>
      <c r="M508" s="51" cm="1">
        <f t="array" ref="M508">IF(L508="",0,_xlfn.SWITCH(L508,"A1",495,"A2",495,"A3",495,"Custom",0,595))</f>
        <v>0</v>
      </c>
      <c r="N508" s="51" cm="1">
        <f t="array" ref="N508">IF(L508="",0,_xlfn.SWITCH(L508,"C1",325,"C2",325,"C3",325,"D1",380,"D2",380,"D3",380,"Custom",0,285))</f>
        <v>0</v>
      </c>
      <c r="O508" s="51">
        <f>IF(L508="",0,_xlfn.SWITCH(L508,"A1",375,"B1",375,"C1",375,"D1",375,"A2",310,"B2",310,"C2",310,"D2",310,"Custom",0,260))</f>
        <v>0</v>
      </c>
      <c r="P508" s="51">
        <f>IFERROR(IF(OR(M508=0,N508=0),0,(M508+N508)*2+11),0)</f>
        <v>0</v>
      </c>
      <c r="Q508" s="51">
        <f>IFERROR(IF(OR(N508=0,O508=0),0,(N508+O508)-16),0)</f>
        <v>0</v>
      </c>
      <c r="R508" s="53">
        <f>P508*Q508/1000000</f>
        <v>0</v>
      </c>
      <c r="S508" s="123">
        <f>IFERROR(VLOOKUP(L508,'[4]Carton Sizes Chart'!$A$4:$E$15,5,FALSE),0)</f>
        <v>0</v>
      </c>
      <c r="T508" s="124">
        <f>S508</f>
        <v>0</v>
      </c>
      <c r="U508" s="124">
        <f>I508*T508</f>
        <v>0</v>
      </c>
      <c r="V508" s="123">
        <f>((T508*I508)-W508)*4%</f>
        <v>0</v>
      </c>
      <c r="W508" s="124">
        <f>S508*I508*5%</f>
        <v>0</v>
      </c>
    </row>
    <row r="509" spans="1:23">
      <c r="A509" s="118"/>
      <c r="B509" s="118"/>
      <c r="C509" s="119"/>
      <c r="D509" s="118"/>
      <c r="E509" s="118"/>
      <c r="F509" s="118"/>
      <c r="G509" s="119"/>
      <c r="H509" s="119"/>
      <c r="I509" s="119"/>
      <c r="J509" s="119"/>
      <c r="K509" s="119"/>
      <c r="L509" s="119" t="s">
        <v>123</v>
      </c>
      <c r="M509" s="51" cm="1">
        <f t="array" ref="M509">IF(L509="",0,_xlfn.SWITCH(L509,"A1",495,"A2",495,"A3",495,"Custom",0,595))</f>
        <v>0</v>
      </c>
      <c r="N509" s="51" cm="1">
        <f t="array" ref="N509">IF(L509="",0,_xlfn.SWITCH(L509,"C1",325,"C2",325,"C3",325,"D1",380,"D2",380,"D3",380,"Custom",0,285))</f>
        <v>0</v>
      </c>
      <c r="O509" s="51">
        <f>IF(L509="",0,_xlfn.SWITCH(L509,"A1",375,"B1",375,"C1",375,"D1",375,"A2",310,"B2",310,"C2",310,"D2",310,"Custom",0,260))</f>
        <v>0</v>
      </c>
      <c r="P509" s="51">
        <f>IFERROR(IF(OR(M509=0,N509=0),0,(M509+N509)*2+11),0)</f>
        <v>0</v>
      </c>
      <c r="Q509" s="51">
        <f>IFERROR(IF(OR(N509=0,O509=0),0,(N509+O509)-16),0)</f>
        <v>0</v>
      </c>
      <c r="R509" s="53">
        <f>P509*Q509/1000000</f>
        <v>0</v>
      </c>
      <c r="S509" s="123">
        <f>IFERROR(VLOOKUP(L509,'[4]Carton Sizes Chart'!$A$4:$E$15,5,FALSE),0)</f>
        <v>0</v>
      </c>
      <c r="T509" s="124">
        <f>S509</f>
        <v>0</v>
      </c>
      <c r="U509" s="124">
        <f>I509*T509</f>
        <v>0</v>
      </c>
      <c r="V509" s="123">
        <f>((T509*I509)-W509)*4%</f>
        <v>0</v>
      </c>
      <c r="W509" s="124">
        <f>S509*I509*5%</f>
        <v>0</v>
      </c>
    </row>
  </sheetData>
  <autoFilter ref="A2:X509" xr:uid="{1E4D3685-8F5D-4F63-BD53-B854E5FA0160}">
    <sortState xmlns:xlrd2="http://schemas.microsoft.com/office/spreadsheetml/2017/richdata2" ref="A3:X509">
      <sortCondition ref="F2:F509"/>
    </sortState>
  </autoFilter>
  <phoneticPr fontId="3" type="noConversion"/>
  <conditionalFormatting sqref="A6:E22 A145:E149 A152:F176 A29:E139 L3:O509 G29:K133">
    <cfRule type="cellIs" dxfId="109" priority="45" operator="equal">
      <formula>0</formula>
    </cfRule>
  </conditionalFormatting>
  <conditionalFormatting sqref="I3:K3 A177:K200 A510:O1048576 A4:E5 G4:K5 F201:F305 F394:F453 G134:K139 I140:K144 G145:K149 G152:K162 I150:K151 F114:F129 F91:F107 F45:F52 F59:F83">
    <cfRule type="cellIs" dxfId="108" priority="56" operator="equal">
      <formula>0</formula>
    </cfRule>
  </conditionalFormatting>
  <conditionalFormatting sqref="G6:K22 I23:K27 H28:K28">
    <cfRule type="cellIs" dxfId="107" priority="50" operator="equal">
      <formula>0</formula>
    </cfRule>
  </conditionalFormatting>
  <conditionalFormatting sqref="G163:K176">
    <cfRule type="cellIs" dxfId="106" priority="46" operator="equal">
      <formula>0</formula>
    </cfRule>
  </conditionalFormatting>
  <conditionalFormatting sqref="B115:B139 B145:B149 B152:B200">
    <cfRule type="expression" priority="40">
      <formula>ROW()=CELL("row")</formula>
    </cfRule>
  </conditionalFormatting>
  <conditionalFormatting sqref="B2 B510:B1048576 B4:B22 B145:B149 B152:B200 B29:B139">
    <cfRule type="expression" priority="39">
      <formula>AND(ROW()=CELL("row"),CELL("col")=8)</formula>
    </cfRule>
  </conditionalFormatting>
  <conditionalFormatting sqref="F306:F393 A204:E378">
    <cfRule type="cellIs" dxfId="105" priority="34" operator="equal">
      <formula>0</formula>
    </cfRule>
  </conditionalFormatting>
  <conditionalFormatting sqref="A201:E203 A379:K393 G335:K364 G201:K203">
    <cfRule type="cellIs" dxfId="104" priority="37" operator="equal">
      <formula>0</formula>
    </cfRule>
  </conditionalFormatting>
  <conditionalFormatting sqref="G204:K334">
    <cfRule type="cellIs" dxfId="103" priority="36" operator="equal">
      <formula>0</formula>
    </cfRule>
  </conditionalFormatting>
  <conditionalFormatting sqref="G365:K378">
    <cfRule type="cellIs" dxfId="102" priority="35" operator="equal">
      <formula>0</formula>
    </cfRule>
  </conditionalFormatting>
  <conditionalFormatting sqref="B316:B393">
    <cfRule type="expression" priority="33">
      <formula>ROW()=CELL("row")</formula>
    </cfRule>
  </conditionalFormatting>
  <conditionalFormatting sqref="B201:B393">
    <cfRule type="expression" priority="32">
      <formula>AND(ROW()=CELL("row"),CELL("col")=8)</formula>
    </cfRule>
  </conditionalFormatting>
  <conditionalFormatting sqref="H323">
    <cfRule type="expression" dxfId="101" priority="31">
      <formula>AND(ROW()=CELL("row"),CELL("col")=8)</formula>
    </cfRule>
  </conditionalFormatting>
  <conditionalFormatting sqref="A397:E509">
    <cfRule type="cellIs" dxfId="100" priority="27" operator="equal">
      <formula>0</formula>
    </cfRule>
  </conditionalFormatting>
  <conditionalFormatting sqref="A394:E396 G394:K396">
    <cfRule type="cellIs" dxfId="99" priority="29" operator="equal">
      <formula>0</formula>
    </cfRule>
  </conditionalFormatting>
  <conditionalFormatting sqref="G397:K509">
    <cfRule type="cellIs" dxfId="98" priority="28" operator="equal">
      <formula>0</formula>
    </cfRule>
  </conditionalFormatting>
  <conditionalFormatting sqref="B509">
    <cfRule type="expression" priority="26">
      <formula>ROW()=CELL("row")</formula>
    </cfRule>
  </conditionalFormatting>
  <conditionalFormatting sqref="B394:B509">
    <cfRule type="expression" priority="25">
      <formula>AND(ROW()=CELL("row"),CELL("col")=8)</formula>
    </cfRule>
  </conditionalFormatting>
  <conditionalFormatting sqref="F454:F509">
    <cfRule type="cellIs" dxfId="97" priority="24" operator="equal">
      <formula>0</formula>
    </cfRule>
  </conditionalFormatting>
  <conditionalFormatting sqref="A23:E24">
    <cfRule type="cellIs" dxfId="96" priority="16" operator="equal">
      <formula>0</formula>
    </cfRule>
  </conditionalFormatting>
  <conditionalFormatting sqref="S285:S286 S270:S275">
    <cfRule type="expression" dxfId="95" priority="20">
      <formula>OR(CELL("col")=COLUMN(),CELL("row")=ROW())</formula>
    </cfRule>
  </conditionalFormatting>
  <conditionalFormatting sqref="S107:S111 S128:S136 S139:S143 S190:S194 S314:S320 S322:S328 S336 S341:S342 S347:S353 S360 S364:S365 S370:S373 S379:S383 S389:S391 S454:S458 S466:S467 S470 S473">
    <cfRule type="expression" dxfId="94" priority="22">
      <formula>OR(CELL("col")=COLUMN(),CELL("row")=ROW())</formula>
    </cfRule>
  </conditionalFormatting>
  <conditionalFormatting sqref="A3:H3 F108:F113 F130:F151 F4:F44 F53:F58 F84:F90">
    <cfRule type="cellIs" dxfId="93" priority="19" operator="equal">
      <formula>0</formula>
    </cfRule>
  </conditionalFormatting>
  <conditionalFormatting sqref="G23:H24">
    <cfRule type="cellIs" dxfId="92" priority="17" operator="equal">
      <formula>0</formula>
    </cfRule>
  </conditionalFormatting>
  <conditionalFormatting sqref="B23:B24">
    <cfRule type="expression" priority="15">
      <formula>AND(ROW()=CELL("row"),CELL("col")=8)</formula>
    </cfRule>
  </conditionalFormatting>
  <conditionalFormatting sqref="G25:H27 G28 A25:E28">
    <cfRule type="cellIs" dxfId="91" priority="13" operator="equal">
      <formula>0</formula>
    </cfRule>
  </conditionalFormatting>
  <conditionalFormatting sqref="S91:S106">
    <cfRule type="expression" dxfId="90" priority="11">
      <formula>OR(CELL("col")=COLUMN(),CELL("row")=ROW())</formula>
    </cfRule>
  </conditionalFormatting>
  <conditionalFormatting sqref="S117:S119">
    <cfRule type="expression" dxfId="89" priority="10">
      <formula>OR(CELL("col")=COLUMN(),CELL("row")=ROW())</formula>
    </cfRule>
  </conditionalFormatting>
  <conditionalFormatting sqref="S114:S115">
    <cfRule type="expression" dxfId="88" priority="9">
      <formula>OR(CELL("col")=COLUMN(),CELL("row")=ROW())</formula>
    </cfRule>
  </conditionalFormatting>
  <conditionalFormatting sqref="S120">
    <cfRule type="expression" dxfId="87" priority="8">
      <formula>OR(CELL("col")=COLUMN(),CELL("row")=ROW())</formula>
    </cfRule>
  </conditionalFormatting>
  <conditionalFormatting sqref="S121">
    <cfRule type="expression" dxfId="86" priority="7">
      <formula>OR(CELL("col")=COLUMN(),CELL("row")=ROW())</formula>
    </cfRule>
  </conditionalFormatting>
  <conditionalFormatting sqref="A140:E144">
    <cfRule type="cellIs" dxfId="85" priority="4" operator="equal">
      <formula>0</formula>
    </cfRule>
  </conditionalFormatting>
  <conditionalFormatting sqref="G140:H144">
    <cfRule type="cellIs" dxfId="84" priority="5" operator="equal">
      <formula>0</formula>
    </cfRule>
  </conditionalFormatting>
  <conditionalFormatting sqref="A150:E151">
    <cfRule type="cellIs" dxfId="83" priority="2" operator="equal">
      <formula>0</formula>
    </cfRule>
  </conditionalFormatting>
  <conditionalFormatting sqref="G150:H151">
    <cfRule type="cellIs" dxfId="82" priority="3" operator="equal">
      <formula>0</formula>
    </cfRule>
  </conditionalFormatting>
  <conditionalFormatting sqref="S126 S124">
    <cfRule type="expression" dxfId="81" priority="1">
      <formula>OR(CELL("col")=COLUMN(),CELL("row")=ROW())</formula>
    </cfRule>
  </conditionalFormatting>
  <dataValidations count="3">
    <dataValidation type="list" allowBlank="1" showInputMessage="1" showErrorMessage="1" sqref="J3:J509" xr:uid="{C978F875-E6FF-404C-A00C-41778F112210}">
      <formula1>"Standard Carton-Singles"</formula1>
    </dataValidation>
    <dataValidation type="list" allowBlank="1" showInputMessage="1" showErrorMessage="1" sqref="K3:K509" xr:uid="{E0BF245A-3F4B-4345-BB32-8376E208B025}">
      <formula1>"BC-Flute"</formula1>
    </dataValidation>
    <dataValidation type="list" allowBlank="1" showInputMessage="1" showErrorMessage="1" sqref="L3:L509" xr:uid="{D84D89AC-D524-42DA-BAE2-900CD1BA887D}">
      <formula1>"A1,A2,A3,B1,B2,B3,C1,C2,C3,D1,D2,D3, Custom"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781A-BC87-43E8-BA65-320B819DEF30}">
  <sheetPr filterMode="1"/>
  <dimension ref="A1:Y570"/>
  <sheetViews>
    <sheetView zoomScaleNormal="100" workbookViewId="0">
      <pane ySplit="2" topLeftCell="A3" activePane="bottomLeft" state="frozen"/>
      <selection pane="bottomLeft" activeCell="C4" sqref="C4"/>
    </sheetView>
  </sheetViews>
  <sheetFormatPr defaultColWidth="8.875" defaultRowHeight="12"/>
  <cols>
    <col min="1" max="2" width="16.375" style="86" customWidth="1"/>
    <col min="3" max="3" width="16.375" style="106" customWidth="1"/>
    <col min="4" max="4" width="21.25" style="86" bestFit="1" customWidth="1"/>
    <col min="5" max="5" width="24.25" style="86" bestFit="1" customWidth="1"/>
    <col min="6" max="6" width="23.75" style="86" bestFit="1" customWidth="1"/>
    <col min="7" max="7" width="16.375" style="17" customWidth="1"/>
    <col min="8" max="8" width="15.125" style="17" bestFit="1" customWidth="1"/>
    <col min="9" max="11" width="10.375" style="17" customWidth="1"/>
    <col min="12" max="12" width="11.875" style="17" bestFit="1" customWidth="1"/>
    <col min="13" max="18" width="10.375" style="17" customWidth="1"/>
    <col min="19" max="19" width="22.25" style="17" customWidth="1"/>
    <col min="20" max="20" width="12.875" style="17" customWidth="1"/>
    <col min="21" max="21" width="13.375" style="17" bestFit="1" customWidth="1"/>
    <col min="22" max="22" width="18.75" style="17" customWidth="1"/>
    <col min="23" max="23" width="22" style="17" customWidth="1"/>
    <col min="24" max="24" width="20.25" style="17" customWidth="1"/>
    <col min="25" max="16384" width="8.875" style="17"/>
  </cols>
  <sheetData>
    <row r="1" spans="1:25" ht="21" customHeight="1">
      <c r="I1" s="17">
        <f>SUBTOTAL(9,I3:I446)</f>
        <v>31386</v>
      </c>
      <c r="U1" s="128">
        <f t="shared" ref="U1:W1" si="0">SUBTOTAL(9,U3:U446)</f>
        <v>27383.78133088124</v>
      </c>
      <c r="V1" s="128">
        <f t="shared" si="0"/>
        <v>1848.4052398344838</v>
      </c>
      <c r="W1" s="128">
        <f t="shared" si="0"/>
        <v>2738.3781330881261</v>
      </c>
    </row>
    <row r="2" spans="1:25" s="35" customFormat="1" ht="31.35" customHeight="1">
      <c r="A2" s="88" t="s">
        <v>103</v>
      </c>
      <c r="B2" s="88" t="s">
        <v>102</v>
      </c>
      <c r="C2" s="88" t="s">
        <v>108</v>
      </c>
      <c r="D2" s="88" t="s">
        <v>104</v>
      </c>
      <c r="E2" s="88" t="s">
        <v>100</v>
      </c>
      <c r="F2" s="88" t="s">
        <v>101</v>
      </c>
      <c r="G2" s="88" t="s">
        <v>105</v>
      </c>
      <c r="H2" s="88" t="s">
        <v>106</v>
      </c>
      <c r="I2" s="88" t="s">
        <v>107</v>
      </c>
      <c r="J2" s="88" t="s">
        <v>73</v>
      </c>
      <c r="K2" s="88" t="s">
        <v>74</v>
      </c>
      <c r="L2" s="88" t="s">
        <v>93</v>
      </c>
      <c r="M2" s="88" t="s">
        <v>97</v>
      </c>
      <c r="N2" s="88" t="s">
        <v>98</v>
      </c>
      <c r="O2" s="88" t="s">
        <v>99</v>
      </c>
      <c r="P2" s="33" t="s">
        <v>82</v>
      </c>
      <c r="Q2" s="33" t="s">
        <v>83</v>
      </c>
      <c r="R2" s="33" t="s">
        <v>78</v>
      </c>
      <c r="S2" s="33" t="s">
        <v>79</v>
      </c>
      <c r="T2" s="33" t="s">
        <v>94</v>
      </c>
      <c r="U2" s="85" t="s">
        <v>92</v>
      </c>
      <c r="V2" s="85" t="s">
        <v>122</v>
      </c>
      <c r="W2" s="85" t="s">
        <v>96</v>
      </c>
      <c r="X2" s="84" t="s">
        <v>81</v>
      </c>
    </row>
    <row r="3" spans="1:25" ht="14.25">
      <c r="A3" s="118">
        <v>46235</v>
      </c>
      <c r="B3" s="118">
        <v>46237</v>
      </c>
      <c r="C3" s="119"/>
      <c r="D3" s="118" t="s">
        <v>159</v>
      </c>
      <c r="E3" s="118" t="s">
        <v>159</v>
      </c>
      <c r="F3" s="118" t="s">
        <v>126</v>
      </c>
      <c r="G3" s="119" t="s">
        <v>161</v>
      </c>
      <c r="H3" s="119">
        <v>7124457</v>
      </c>
      <c r="I3" s="119">
        <v>190</v>
      </c>
      <c r="J3" s="119" t="s">
        <v>121</v>
      </c>
      <c r="K3" s="119" t="s">
        <v>68</v>
      </c>
      <c r="L3" s="119" t="s">
        <v>130</v>
      </c>
      <c r="M3" s="51" cm="1">
        <f t="array" ref="M3">IFERROR(_xlfn.SWITCH(L3,"R-FPA",495,"R-FPB",595,"R-FPC",595,"R-FPD",595,"Custom Carton","input L"),0)</f>
        <v>595</v>
      </c>
      <c r="N3" s="51" cm="1">
        <f t="array" ref="N3">IFERROR(_xlfn.SWITCH(L3,"R-FPA",285,"R-FPB",285,"R-FPC",325,"R-FPD",380,"Custom Carton","input W"),0)</f>
        <v>325</v>
      </c>
      <c r="O3" s="51">
        <v>100</v>
      </c>
      <c r="P3" s="51">
        <f>IFERROR(IF(K3="",0,(M3+N3)*2+15),0)</f>
        <v>1855</v>
      </c>
      <c r="Q3" s="51">
        <f>IFERROR(IF(K3="",0,(N3+O3)-10),0)</f>
        <v>415</v>
      </c>
      <c r="R3" s="53">
        <f xml:space="preserve"> P3 * Q3 * (1 + 2.5%) / 1000000</f>
        <v>0.78907062499999991</v>
      </c>
      <c r="S3" s="125">
        <f>R3*'RFQ_Matalan Carton'!$M$32</f>
        <v>0.81274274374999989</v>
      </c>
      <c r="T3" s="124">
        <f>S3</f>
        <v>0.81274274374999989</v>
      </c>
      <c r="U3" s="124">
        <f>I3*T3</f>
        <v>154.42112131249999</v>
      </c>
      <c r="V3" s="123">
        <f>((T3*I3)-W3)*7.5%</f>
        <v>10.423425688593747</v>
      </c>
      <c r="W3" s="124">
        <f>S3*I3*10%</f>
        <v>15.442112131249999</v>
      </c>
      <c r="X3" s="126"/>
      <c r="Y3" s="35"/>
    </row>
    <row r="4" spans="1:25">
      <c r="A4" s="118">
        <v>46235</v>
      </c>
      <c r="B4" s="118">
        <v>46237</v>
      </c>
      <c r="C4" s="119"/>
      <c r="D4" s="118" t="s">
        <v>159</v>
      </c>
      <c r="E4" s="118" t="s">
        <v>159</v>
      </c>
      <c r="F4" s="118" t="s">
        <v>126</v>
      </c>
      <c r="G4" s="119" t="s">
        <v>161</v>
      </c>
      <c r="H4" s="119">
        <v>7124457</v>
      </c>
      <c r="I4" s="119">
        <v>190</v>
      </c>
      <c r="J4" s="119" t="s">
        <v>121</v>
      </c>
      <c r="K4" s="119" t="s">
        <v>68</v>
      </c>
      <c r="L4" s="119" t="s">
        <v>130</v>
      </c>
      <c r="M4" s="51" cm="1">
        <f t="array" ref="M4">IFERROR(_xlfn.SWITCH(L4,"R-FPA",495,"R-FPB",595,"R-FPC",595,"R-FPD",595,"Custom Carton","input L"),0)</f>
        <v>595</v>
      </c>
      <c r="N4" s="51" cm="1">
        <f t="array" ref="N4">IFERROR(_xlfn.SWITCH(L4,"R-FPA",285,"R-FPB",285,"R-FPC",325,"R-FPD",380,"Custom Carton","input W"),0)</f>
        <v>325</v>
      </c>
      <c r="O4" s="51">
        <v>230</v>
      </c>
      <c r="P4" s="51">
        <f>IFERROR(IF(K4="",0,(M4+N4)*2+15),0)</f>
        <v>1855</v>
      </c>
      <c r="Q4" s="51">
        <f>IFERROR(IF(K4="",0,(N4+O4)-10),0)</f>
        <v>545</v>
      </c>
      <c r="R4" s="53">
        <f xml:space="preserve"> P4 * Q4 * (1 + 2.5%) / 1000000</f>
        <v>1.0362493749999999</v>
      </c>
      <c r="S4" s="125">
        <f>R4*'RFQ_Matalan Carton'!$M$32</f>
        <v>1.0673368562499999</v>
      </c>
      <c r="T4" s="124">
        <f>S4</f>
        <v>1.0673368562499999</v>
      </c>
      <c r="U4" s="124">
        <f>I4*T4</f>
        <v>202.79400268749998</v>
      </c>
      <c r="V4" s="123">
        <f>((T4*I4)-W4)*7.5%</f>
        <v>13.688595181406248</v>
      </c>
      <c r="W4" s="124">
        <f>S4*I4*10%</f>
        <v>20.279400268749999</v>
      </c>
      <c r="X4" s="127"/>
    </row>
    <row r="5" spans="1:25">
      <c r="A5" s="118">
        <v>46235</v>
      </c>
      <c r="B5" s="118">
        <v>46237</v>
      </c>
      <c r="C5" s="119"/>
      <c r="D5" s="118" t="s">
        <v>159</v>
      </c>
      <c r="E5" s="118" t="s">
        <v>159</v>
      </c>
      <c r="F5" s="118" t="s">
        <v>126</v>
      </c>
      <c r="G5" s="119" t="s">
        <v>162</v>
      </c>
      <c r="H5" s="119">
        <v>7125716</v>
      </c>
      <c r="I5" s="119">
        <v>525</v>
      </c>
      <c r="J5" s="119" t="s">
        <v>121</v>
      </c>
      <c r="K5" s="119" t="s">
        <v>68</v>
      </c>
      <c r="L5" s="119" t="s">
        <v>141</v>
      </c>
      <c r="M5" s="51" cm="1">
        <f t="array" ref="M5">IFERROR(_xlfn.SWITCH(L5,"R-FPA",495,"R-FPB",595,"R-FPC",595,"R-FPD",595,"Custom Carton","input L"),0)</f>
        <v>595</v>
      </c>
      <c r="N5" s="51" cm="1">
        <f t="array" ref="N5">IFERROR(_xlfn.SWITCH(L5,"R-FPA",285,"R-FPB",285,"R-FPC",325,"R-FPD",380,"Custom Carton","input W"),0)</f>
        <v>380</v>
      </c>
      <c r="O5" s="51">
        <v>120</v>
      </c>
      <c r="P5" s="51">
        <f>IFERROR(IF(K5="",0,(M5+N5)*2+15),0)</f>
        <v>1965</v>
      </c>
      <c r="Q5" s="51">
        <f>IFERROR(IF(K5="",0,(N5+O5)-10),0)</f>
        <v>490</v>
      </c>
      <c r="R5" s="53">
        <f xml:space="preserve"> P5 * Q5 * (1 + 2.5%) / 1000000</f>
        <v>0.98692124999999986</v>
      </c>
      <c r="S5" s="125">
        <f>R5*'RFQ_Matalan Carton'!$M$32</f>
        <v>1.0165288874999998</v>
      </c>
      <c r="T5" s="124">
        <f>S5</f>
        <v>1.0165288874999998</v>
      </c>
      <c r="U5" s="124">
        <f>I5*T5</f>
        <v>533.67766593749991</v>
      </c>
      <c r="V5" s="123">
        <f>((T5*I5)-W5)*7.5%</f>
        <v>36.02324245078124</v>
      </c>
      <c r="W5" s="124">
        <f>S5*I5*10%</f>
        <v>53.367766593749991</v>
      </c>
      <c r="X5" s="127"/>
    </row>
    <row r="6" spans="1:25">
      <c r="A6" s="118">
        <v>46233</v>
      </c>
      <c r="B6" s="118">
        <v>46235</v>
      </c>
      <c r="C6" s="119"/>
      <c r="D6" s="118" t="s">
        <v>200</v>
      </c>
      <c r="E6" s="118" t="s">
        <v>218</v>
      </c>
      <c r="F6" s="118" t="s">
        <v>126</v>
      </c>
      <c r="G6" s="119" t="s">
        <v>222</v>
      </c>
      <c r="H6" s="119">
        <v>7126668</v>
      </c>
      <c r="I6" s="119">
        <v>338</v>
      </c>
      <c r="J6" s="119" t="s">
        <v>121</v>
      </c>
      <c r="K6" s="119" t="s">
        <v>68</v>
      </c>
      <c r="L6" s="119" t="s">
        <v>109</v>
      </c>
      <c r="M6" s="51">
        <v>420</v>
      </c>
      <c r="N6" s="51">
        <v>360</v>
      </c>
      <c r="O6" s="51">
        <v>100</v>
      </c>
      <c r="P6" s="51">
        <f>IFERROR(IF(K6="",0,(M6+N6)*2+15),0)</f>
        <v>1575</v>
      </c>
      <c r="Q6" s="51">
        <f>IFERROR(IF(K6="",0,(N6+O6)-10),0)</f>
        <v>450</v>
      </c>
      <c r="R6" s="53">
        <f xml:space="preserve"> P6 * Q6 * (1 + 2.5%) / 1000000</f>
        <v>0.72646874999999989</v>
      </c>
      <c r="S6" s="125">
        <f>R6*'RFQ_Matalan Carton'!$M$32</f>
        <v>0.74826281249999993</v>
      </c>
      <c r="T6" s="124">
        <f>S6</f>
        <v>0.74826281249999993</v>
      </c>
      <c r="U6" s="124">
        <f>I6*T6</f>
        <v>252.91283062499997</v>
      </c>
      <c r="V6" s="123">
        <f>((T6*I6)-W6)*7.5%</f>
        <v>17.071616067187499</v>
      </c>
      <c r="W6" s="124">
        <f>S6*I6*10%</f>
        <v>25.2912830625</v>
      </c>
      <c r="X6" s="127"/>
    </row>
    <row r="7" spans="1:25">
      <c r="A7" s="118">
        <v>46233</v>
      </c>
      <c r="B7" s="118">
        <v>46235</v>
      </c>
      <c r="C7" s="119"/>
      <c r="D7" s="118" t="s">
        <v>200</v>
      </c>
      <c r="E7" s="118" t="s">
        <v>218</v>
      </c>
      <c r="F7" s="118" t="s">
        <v>126</v>
      </c>
      <c r="G7" s="119" t="s">
        <v>222</v>
      </c>
      <c r="H7" s="119">
        <v>7126668</v>
      </c>
      <c r="I7" s="119">
        <v>327</v>
      </c>
      <c r="J7" s="119" t="s">
        <v>121</v>
      </c>
      <c r="K7" s="119" t="s">
        <v>68</v>
      </c>
      <c r="L7" s="119" t="s">
        <v>109</v>
      </c>
      <c r="M7" s="51">
        <v>520</v>
      </c>
      <c r="N7" s="51">
        <v>400</v>
      </c>
      <c r="O7" s="51">
        <v>110</v>
      </c>
      <c r="P7" s="51">
        <f>IFERROR(IF(K7="",0,(M7+N7)*2+15),0)</f>
        <v>1855</v>
      </c>
      <c r="Q7" s="51">
        <f>IFERROR(IF(K7="",0,(N7+O7)-10),0)</f>
        <v>500</v>
      </c>
      <c r="R7" s="53">
        <f xml:space="preserve"> P7 * Q7 * (1 + 2.5%) / 1000000</f>
        <v>0.95068749999999991</v>
      </c>
      <c r="S7" s="125">
        <f>R7*'RFQ_Matalan Carton'!$M$32</f>
        <v>0.97920812499999998</v>
      </c>
      <c r="T7" s="124">
        <f>S7</f>
        <v>0.97920812499999998</v>
      </c>
      <c r="U7" s="124">
        <f>I7*T7</f>
        <v>320.20105687500001</v>
      </c>
      <c r="V7" s="123">
        <f>((T7*I7)-W7)*7.5%</f>
        <v>21.613571339062499</v>
      </c>
      <c r="W7" s="124">
        <f>S7*I7*10%</f>
        <v>32.020105687499999</v>
      </c>
      <c r="X7" s="127"/>
    </row>
    <row r="8" spans="1:25">
      <c r="A8" s="118">
        <v>46236</v>
      </c>
      <c r="B8" s="118">
        <v>46238</v>
      </c>
      <c r="C8" s="119"/>
      <c r="D8" s="118" t="s">
        <v>200</v>
      </c>
      <c r="E8" s="118" t="s">
        <v>218</v>
      </c>
      <c r="F8" s="118" t="s">
        <v>126</v>
      </c>
      <c r="G8" s="119" t="s">
        <v>223</v>
      </c>
      <c r="H8" s="119">
        <v>7127937</v>
      </c>
      <c r="I8" s="119">
        <v>279</v>
      </c>
      <c r="J8" s="119" t="s">
        <v>121</v>
      </c>
      <c r="K8" s="119" t="s">
        <v>68</v>
      </c>
      <c r="L8" s="119" t="s">
        <v>109</v>
      </c>
      <c r="M8" s="51">
        <v>420</v>
      </c>
      <c r="N8" s="51">
        <v>360</v>
      </c>
      <c r="O8" s="51">
        <v>100</v>
      </c>
      <c r="P8" s="51">
        <f>IFERROR(IF(K8="",0,(M8+N8)*2+15),0)</f>
        <v>1575</v>
      </c>
      <c r="Q8" s="51">
        <f>IFERROR(IF(K8="",0,(N8+O8)-10),0)</f>
        <v>450</v>
      </c>
      <c r="R8" s="53">
        <f xml:space="preserve"> P8 * Q8 * (1 + 2.5%) / 1000000</f>
        <v>0.72646874999999989</v>
      </c>
      <c r="S8" s="125">
        <f>R8*'RFQ_Matalan Carton'!$M$32</f>
        <v>0.74826281249999993</v>
      </c>
      <c r="T8" s="124">
        <f>S8</f>
        <v>0.74826281249999993</v>
      </c>
      <c r="U8" s="124">
        <f>I8*T8</f>
        <v>208.76532468749997</v>
      </c>
      <c r="V8" s="123">
        <f>((T8*I8)-W8)*7.5%</f>
        <v>14.091659416406248</v>
      </c>
      <c r="W8" s="124">
        <f>S8*I8*10%</f>
        <v>20.87653246875</v>
      </c>
      <c r="X8" s="127"/>
    </row>
    <row r="9" spans="1:25">
      <c r="A9" s="118">
        <v>46236</v>
      </c>
      <c r="B9" s="118">
        <v>46238</v>
      </c>
      <c r="C9" s="119"/>
      <c r="D9" s="118" t="s">
        <v>200</v>
      </c>
      <c r="E9" s="118" t="s">
        <v>218</v>
      </c>
      <c r="F9" s="118" t="s">
        <v>126</v>
      </c>
      <c r="G9" s="119" t="s">
        <v>223</v>
      </c>
      <c r="H9" s="119">
        <v>7127937</v>
      </c>
      <c r="I9" s="119">
        <v>279</v>
      </c>
      <c r="J9" s="119" t="s">
        <v>121</v>
      </c>
      <c r="K9" s="119" t="s">
        <v>68</v>
      </c>
      <c r="L9" s="119" t="s">
        <v>109</v>
      </c>
      <c r="M9" s="51">
        <v>520</v>
      </c>
      <c r="N9" s="51">
        <v>400</v>
      </c>
      <c r="O9" s="51">
        <v>120</v>
      </c>
      <c r="P9" s="51">
        <f>IFERROR(IF(K9="",0,(M9+N9)*2+15),0)</f>
        <v>1855</v>
      </c>
      <c r="Q9" s="51">
        <f>IFERROR(IF(K9="",0,(N9+O9)-10),0)</f>
        <v>510</v>
      </c>
      <c r="R9" s="53">
        <f xml:space="preserve"> P9 * Q9 * (1 + 2.5%) / 1000000</f>
        <v>0.96970124999999985</v>
      </c>
      <c r="S9" s="125">
        <f>R9*'RFQ_Matalan Carton'!$M$32</f>
        <v>0.99879228749999982</v>
      </c>
      <c r="T9" s="124">
        <f>S9</f>
        <v>0.99879228749999982</v>
      </c>
      <c r="U9" s="124">
        <f>I9*T9</f>
        <v>278.66304821249997</v>
      </c>
      <c r="V9" s="123">
        <f>((T9*I9)-W9)*7.5%</f>
        <v>18.809755754343747</v>
      </c>
      <c r="W9" s="124">
        <f>S9*I9*10%</f>
        <v>27.866304821249997</v>
      </c>
      <c r="X9" s="127"/>
    </row>
    <row r="10" spans="1:25">
      <c r="A10" s="118">
        <v>46236</v>
      </c>
      <c r="B10" s="118">
        <v>46238</v>
      </c>
      <c r="C10" s="119"/>
      <c r="D10" s="118" t="s">
        <v>200</v>
      </c>
      <c r="E10" s="118" t="s">
        <v>218</v>
      </c>
      <c r="F10" s="118" t="s">
        <v>126</v>
      </c>
      <c r="G10" s="119" t="s">
        <v>223</v>
      </c>
      <c r="H10" s="119">
        <v>7127937</v>
      </c>
      <c r="I10" s="119">
        <v>4</v>
      </c>
      <c r="J10" s="119" t="s">
        <v>121</v>
      </c>
      <c r="K10" s="119" t="s">
        <v>68</v>
      </c>
      <c r="L10" s="119" t="s">
        <v>109</v>
      </c>
      <c r="M10" s="51">
        <v>420</v>
      </c>
      <c r="N10" s="51">
        <v>300</v>
      </c>
      <c r="O10" s="51">
        <v>190</v>
      </c>
      <c r="P10" s="51">
        <f>IFERROR(IF(K10="",0,(M10+N10)*2+15),0)</f>
        <v>1455</v>
      </c>
      <c r="Q10" s="51">
        <f>IFERROR(IF(K10="",0,(N10+O10)-10),0)</f>
        <v>480</v>
      </c>
      <c r="R10" s="53">
        <f xml:space="preserve"> P10 * Q10 * (1 + 2.5%) / 1000000</f>
        <v>0.71585999999999983</v>
      </c>
      <c r="S10" s="125">
        <f>R10*'RFQ_Matalan Carton'!$M$32</f>
        <v>0.73733579999999987</v>
      </c>
      <c r="T10" s="124">
        <f>S10</f>
        <v>0.73733579999999987</v>
      </c>
      <c r="U10" s="124">
        <f>I10*T10</f>
        <v>2.9493431999999995</v>
      </c>
      <c r="V10" s="123">
        <f>((T10*I10)-W10)*7.5%</f>
        <v>0.19908066599999996</v>
      </c>
      <c r="W10" s="124">
        <f>S10*I10*10%</f>
        <v>0.29493431999999997</v>
      </c>
      <c r="X10" s="127"/>
    </row>
    <row r="11" spans="1:25">
      <c r="A11" s="118">
        <v>46236</v>
      </c>
      <c r="B11" s="118">
        <v>46238</v>
      </c>
      <c r="C11" s="119"/>
      <c r="D11" s="118" t="s">
        <v>200</v>
      </c>
      <c r="E11" s="118" t="s">
        <v>218</v>
      </c>
      <c r="F11" s="118" t="s">
        <v>126</v>
      </c>
      <c r="G11" s="119" t="s">
        <v>224</v>
      </c>
      <c r="H11" s="119">
        <v>7127940</v>
      </c>
      <c r="I11" s="119">
        <v>314</v>
      </c>
      <c r="J11" s="119" t="s">
        <v>121</v>
      </c>
      <c r="K11" s="119" t="s">
        <v>68</v>
      </c>
      <c r="L11" s="119" t="s">
        <v>109</v>
      </c>
      <c r="M11" s="51">
        <v>380</v>
      </c>
      <c r="N11" s="51">
        <v>300</v>
      </c>
      <c r="O11" s="51">
        <v>100</v>
      </c>
      <c r="P11" s="51">
        <f>IFERROR(IF(K11="",0,(M11+N11)*2+15),0)</f>
        <v>1375</v>
      </c>
      <c r="Q11" s="51">
        <f>IFERROR(IF(K11="",0,(N11+O11)-10),0)</f>
        <v>390</v>
      </c>
      <c r="R11" s="53">
        <f xml:space="preserve"> P11 * Q11 * (1 + 2.5%) / 1000000</f>
        <v>0.54965624999999996</v>
      </c>
      <c r="S11" s="125">
        <f>R11*'RFQ_Matalan Carton'!$M$32</f>
        <v>0.56614593749999997</v>
      </c>
      <c r="T11" s="124">
        <f>S11</f>
        <v>0.56614593749999997</v>
      </c>
      <c r="U11" s="124">
        <f>I11*T11</f>
        <v>177.76982437499998</v>
      </c>
      <c r="V11" s="123">
        <f>((T11*I11)-W11)*7.5%</f>
        <v>11.999463145312498</v>
      </c>
      <c r="W11" s="124">
        <f>S11*I11*10%</f>
        <v>17.776982437499999</v>
      </c>
      <c r="X11" s="127"/>
    </row>
    <row r="12" spans="1:25">
      <c r="A12" s="118">
        <v>46236</v>
      </c>
      <c r="B12" s="118">
        <v>46238</v>
      </c>
      <c r="C12" s="119"/>
      <c r="D12" s="118" t="s">
        <v>200</v>
      </c>
      <c r="E12" s="118" t="s">
        <v>218</v>
      </c>
      <c r="F12" s="118" t="s">
        <v>126</v>
      </c>
      <c r="G12" s="119" t="s">
        <v>224</v>
      </c>
      <c r="H12" s="119">
        <v>7127940</v>
      </c>
      <c r="I12" s="119">
        <v>314</v>
      </c>
      <c r="J12" s="119" t="s">
        <v>121</v>
      </c>
      <c r="K12" s="119" t="s">
        <v>68</v>
      </c>
      <c r="L12" s="119" t="s">
        <v>109</v>
      </c>
      <c r="M12" s="51">
        <v>420</v>
      </c>
      <c r="N12" s="51">
        <v>300</v>
      </c>
      <c r="O12" s="51">
        <v>190</v>
      </c>
      <c r="P12" s="51">
        <f>IFERROR(IF(K12="",0,(M12+N12)*2+15),0)</f>
        <v>1455</v>
      </c>
      <c r="Q12" s="51">
        <f>IFERROR(IF(K12="",0,(N12+O12)-10),0)</f>
        <v>480</v>
      </c>
      <c r="R12" s="53">
        <f xml:space="preserve"> P12 * Q12 * (1 + 2.5%) / 1000000</f>
        <v>0.71585999999999983</v>
      </c>
      <c r="S12" s="125">
        <f>R12*'RFQ_Matalan Carton'!$M$32</f>
        <v>0.73733579999999987</v>
      </c>
      <c r="T12" s="124">
        <f>S12</f>
        <v>0.73733579999999987</v>
      </c>
      <c r="U12" s="124">
        <f>I12*T12</f>
        <v>231.52344119999995</v>
      </c>
      <c r="V12" s="123">
        <f>((T12*I12)-W12)*7.5%</f>
        <v>15.627832280999996</v>
      </c>
      <c r="W12" s="124">
        <f>S12*I12*10%</f>
        <v>23.152344119999995</v>
      </c>
      <c r="X12" s="127"/>
    </row>
    <row r="13" spans="1:25">
      <c r="A13" s="118">
        <v>46236</v>
      </c>
      <c r="B13" s="118">
        <v>46238</v>
      </c>
      <c r="C13" s="119"/>
      <c r="D13" s="118" t="s">
        <v>200</v>
      </c>
      <c r="E13" s="118" t="s">
        <v>218</v>
      </c>
      <c r="F13" s="118" t="s">
        <v>126</v>
      </c>
      <c r="G13" s="119" t="s">
        <v>225</v>
      </c>
      <c r="H13" s="119">
        <v>7127943</v>
      </c>
      <c r="I13" s="119">
        <v>320</v>
      </c>
      <c r="J13" s="119" t="s">
        <v>121</v>
      </c>
      <c r="K13" s="119" t="s">
        <v>68</v>
      </c>
      <c r="L13" s="119" t="s">
        <v>109</v>
      </c>
      <c r="M13" s="51">
        <v>300</v>
      </c>
      <c r="N13" s="51">
        <v>250</v>
      </c>
      <c r="O13" s="51">
        <v>100</v>
      </c>
      <c r="P13" s="51">
        <f>IFERROR(IF(K13="",0,(M13+N13)*2+15),0)</f>
        <v>1115</v>
      </c>
      <c r="Q13" s="51">
        <f>IFERROR(IF(K13="",0,(N13+O13)-10),0)</f>
        <v>340</v>
      </c>
      <c r="R13" s="53">
        <f xml:space="preserve"> P13 * Q13 * (1 + 2.5%) / 1000000</f>
        <v>0.38857749999999996</v>
      </c>
      <c r="S13" s="125">
        <f>R13*'RFQ_Matalan Carton'!$M$32</f>
        <v>0.40023482499999996</v>
      </c>
      <c r="T13" s="124">
        <f>S13</f>
        <v>0.40023482499999996</v>
      </c>
      <c r="U13" s="124">
        <f>I13*T13</f>
        <v>128.07514399999999</v>
      </c>
      <c r="V13" s="123">
        <f>((T13*I13)-W13)*7.5%</f>
        <v>8.6450722199999994</v>
      </c>
      <c r="W13" s="124">
        <f>S13*I13*10%</f>
        <v>12.807514400000001</v>
      </c>
      <c r="X13" s="127"/>
    </row>
    <row r="14" spans="1:25">
      <c r="A14" s="118">
        <v>46236</v>
      </c>
      <c r="B14" s="118">
        <v>46238</v>
      </c>
      <c r="C14" s="119"/>
      <c r="D14" s="118" t="s">
        <v>200</v>
      </c>
      <c r="E14" s="118" t="s">
        <v>218</v>
      </c>
      <c r="F14" s="118" t="s">
        <v>126</v>
      </c>
      <c r="G14" s="119" t="s">
        <v>225</v>
      </c>
      <c r="H14" s="119">
        <v>7127943</v>
      </c>
      <c r="I14" s="119">
        <v>314</v>
      </c>
      <c r="J14" s="119" t="s">
        <v>121</v>
      </c>
      <c r="K14" s="119" t="s">
        <v>68</v>
      </c>
      <c r="L14" s="119" t="s">
        <v>109</v>
      </c>
      <c r="M14" s="51">
        <v>490</v>
      </c>
      <c r="N14" s="51">
        <v>300</v>
      </c>
      <c r="O14" s="51">
        <v>120</v>
      </c>
      <c r="P14" s="51">
        <f>IFERROR(IF(K14="",0,(M14+N14)*2+15),0)</f>
        <v>1595</v>
      </c>
      <c r="Q14" s="51">
        <f>IFERROR(IF(K14="",0,(N14+O14)-10),0)</f>
        <v>410</v>
      </c>
      <c r="R14" s="53">
        <f xml:space="preserve"> P14 * Q14 * (1 + 2.5%) / 1000000</f>
        <v>0.67029875000000005</v>
      </c>
      <c r="S14" s="125">
        <f>R14*'RFQ_Matalan Carton'!$M$32</f>
        <v>0.6904077125000001</v>
      </c>
      <c r="T14" s="124">
        <f>S14</f>
        <v>0.6904077125000001</v>
      </c>
      <c r="U14" s="124">
        <f>I14*T14</f>
        <v>216.78802172500002</v>
      </c>
      <c r="V14" s="123">
        <f>((T14*I14)-W14)*7.5%</f>
        <v>14.6331914664375</v>
      </c>
      <c r="W14" s="124">
        <f>S14*I14*10%</f>
        <v>21.678802172500003</v>
      </c>
      <c r="X14" s="127"/>
    </row>
    <row r="15" spans="1:25">
      <c r="A15" s="118">
        <v>46236</v>
      </c>
      <c r="B15" s="118">
        <v>46238</v>
      </c>
      <c r="C15" s="119"/>
      <c r="D15" s="118" t="s">
        <v>200</v>
      </c>
      <c r="E15" s="118" t="s">
        <v>218</v>
      </c>
      <c r="F15" s="118" t="s">
        <v>126</v>
      </c>
      <c r="G15" s="119" t="s">
        <v>226</v>
      </c>
      <c r="H15" s="119">
        <v>7127946</v>
      </c>
      <c r="I15" s="119">
        <v>224</v>
      </c>
      <c r="J15" s="119" t="s">
        <v>121</v>
      </c>
      <c r="K15" s="119" t="s">
        <v>68</v>
      </c>
      <c r="L15" s="119" t="s">
        <v>109</v>
      </c>
      <c r="M15" s="51">
        <v>460</v>
      </c>
      <c r="N15" s="51">
        <v>320</v>
      </c>
      <c r="O15" s="51">
        <v>100</v>
      </c>
      <c r="P15" s="51">
        <f>IFERROR(IF(K15="",0,(M15+N15)*2+15),0)</f>
        <v>1575</v>
      </c>
      <c r="Q15" s="51">
        <f>IFERROR(IF(K15="",0,(N15+O15)-10),0)</f>
        <v>410</v>
      </c>
      <c r="R15" s="53">
        <f xml:space="preserve"> P15 * Q15 * (1 + 2.5%) / 1000000</f>
        <v>0.66189374999999995</v>
      </c>
      <c r="S15" s="125">
        <f>R15*'RFQ_Matalan Carton'!$M$32</f>
        <v>0.68175056249999999</v>
      </c>
      <c r="T15" s="124">
        <f>S15</f>
        <v>0.68175056249999999</v>
      </c>
      <c r="U15" s="124">
        <f>I15*T15</f>
        <v>152.71212600000001</v>
      </c>
      <c r="V15" s="123">
        <f>((T15*I15)-W15)*7.5%</f>
        <v>10.308068505</v>
      </c>
      <c r="W15" s="124">
        <f>S15*I15*10%</f>
        <v>15.271212600000002</v>
      </c>
      <c r="X15" s="127"/>
    </row>
    <row r="16" spans="1:25">
      <c r="A16" s="118">
        <v>46236</v>
      </c>
      <c r="B16" s="118">
        <v>46238</v>
      </c>
      <c r="C16" s="119"/>
      <c r="D16" s="118" t="s">
        <v>200</v>
      </c>
      <c r="E16" s="118" t="s">
        <v>218</v>
      </c>
      <c r="F16" s="118" t="s">
        <v>126</v>
      </c>
      <c r="G16" s="119" t="s">
        <v>226</v>
      </c>
      <c r="H16" s="119">
        <v>7127946</v>
      </c>
      <c r="I16" s="119">
        <v>224</v>
      </c>
      <c r="J16" s="119" t="s">
        <v>121</v>
      </c>
      <c r="K16" s="119" t="s">
        <v>68</v>
      </c>
      <c r="L16" s="119" t="s">
        <v>109</v>
      </c>
      <c r="M16" s="51">
        <v>540</v>
      </c>
      <c r="N16" s="51">
        <v>380</v>
      </c>
      <c r="O16" s="51">
        <v>100</v>
      </c>
      <c r="P16" s="51">
        <f>IFERROR(IF(K16="",0,(M16+N16)*2+15),0)</f>
        <v>1855</v>
      </c>
      <c r="Q16" s="51">
        <f>IFERROR(IF(K16="",0,(N16+O16)-10),0)</f>
        <v>470</v>
      </c>
      <c r="R16" s="53">
        <f xml:space="preserve"> P16 * Q16 * (1 + 2.5%) / 1000000</f>
        <v>0.89364624999999986</v>
      </c>
      <c r="S16" s="125">
        <f>R16*'RFQ_Matalan Carton'!$M$32</f>
        <v>0.92045563749999992</v>
      </c>
      <c r="T16" s="124">
        <f>S16</f>
        <v>0.92045563749999992</v>
      </c>
      <c r="U16" s="124">
        <f>I16*T16</f>
        <v>206.18206279999998</v>
      </c>
      <c r="V16" s="123">
        <f>((T16*I16)-W16)*7.5%</f>
        <v>13.917289238999997</v>
      </c>
      <c r="W16" s="124">
        <f>S16*I16*10%</f>
        <v>20.618206279999999</v>
      </c>
      <c r="X16" s="127"/>
    </row>
    <row r="17" spans="1:24">
      <c r="A17" s="118">
        <v>46236</v>
      </c>
      <c r="B17" s="118">
        <v>46238</v>
      </c>
      <c r="C17" s="119"/>
      <c r="D17" s="118" t="s">
        <v>200</v>
      </c>
      <c r="E17" s="118" t="s">
        <v>218</v>
      </c>
      <c r="F17" s="118" t="s">
        <v>126</v>
      </c>
      <c r="G17" s="119" t="s">
        <v>227</v>
      </c>
      <c r="H17" s="119">
        <v>7127949</v>
      </c>
      <c r="I17" s="119">
        <v>130</v>
      </c>
      <c r="J17" s="119" t="s">
        <v>121</v>
      </c>
      <c r="K17" s="119" t="s">
        <v>68</v>
      </c>
      <c r="L17" s="119" t="s">
        <v>109</v>
      </c>
      <c r="M17" s="51">
        <v>420</v>
      </c>
      <c r="N17" s="51">
        <v>350</v>
      </c>
      <c r="O17" s="51">
        <v>100</v>
      </c>
      <c r="P17" s="51">
        <f>IFERROR(IF(K17="",0,(M17+N17)*2+15),0)</f>
        <v>1555</v>
      </c>
      <c r="Q17" s="51">
        <f>IFERROR(IF(K17="",0,(N17+O17)-10),0)</f>
        <v>440</v>
      </c>
      <c r="R17" s="53">
        <f xml:space="preserve"> P17 * Q17 * (1 + 2.5%) / 1000000</f>
        <v>0.70130499999999985</v>
      </c>
      <c r="S17" s="125">
        <f>R17*'RFQ_Matalan Carton'!$M$32</f>
        <v>0.72234414999999985</v>
      </c>
      <c r="T17" s="124">
        <f>S17</f>
        <v>0.72234414999999985</v>
      </c>
      <c r="U17" s="124">
        <f>I17*T17</f>
        <v>93.904739499999977</v>
      </c>
      <c r="V17" s="123">
        <f>((T17*I17)-W17)*7.5%</f>
        <v>6.3385699162499982</v>
      </c>
      <c r="W17" s="124">
        <f>S17*I17*10%</f>
        <v>9.3904739499999987</v>
      </c>
      <c r="X17" s="127"/>
    </row>
    <row r="18" spans="1:24">
      <c r="A18" s="118">
        <v>46236</v>
      </c>
      <c r="B18" s="118">
        <v>46238</v>
      </c>
      <c r="C18" s="119"/>
      <c r="D18" s="118" t="s">
        <v>200</v>
      </c>
      <c r="E18" s="118" t="s">
        <v>218</v>
      </c>
      <c r="F18" s="118" t="s">
        <v>126</v>
      </c>
      <c r="G18" s="119" t="s">
        <v>227</v>
      </c>
      <c r="H18" s="119">
        <v>7127949</v>
      </c>
      <c r="I18" s="119">
        <v>125</v>
      </c>
      <c r="J18" s="119" t="s">
        <v>121</v>
      </c>
      <c r="K18" s="119" t="s">
        <v>68</v>
      </c>
      <c r="L18" s="119" t="s">
        <v>109</v>
      </c>
      <c r="M18" s="51">
        <v>450</v>
      </c>
      <c r="N18" s="51">
        <v>380</v>
      </c>
      <c r="O18" s="51">
        <v>140</v>
      </c>
      <c r="P18" s="51">
        <f>IFERROR(IF(K18="",0,(M18+N18)*2+15),0)</f>
        <v>1675</v>
      </c>
      <c r="Q18" s="51">
        <f>IFERROR(IF(K18="",0,(N18+O18)-10),0)</f>
        <v>510</v>
      </c>
      <c r="R18" s="53">
        <f xml:space="preserve"> P18 * Q18 * (1 + 2.5%) / 1000000</f>
        <v>0.87560624999999992</v>
      </c>
      <c r="S18" s="125">
        <f>R18*'RFQ_Matalan Carton'!$M$32</f>
        <v>0.90187443749999996</v>
      </c>
      <c r="T18" s="124">
        <f>S18</f>
        <v>0.90187443749999996</v>
      </c>
      <c r="U18" s="124">
        <f>I18*T18</f>
        <v>112.7343046875</v>
      </c>
      <c r="V18" s="123">
        <f>((T18*I18)-W18)*7.5%</f>
        <v>7.6095655664062498</v>
      </c>
      <c r="W18" s="124">
        <f>S18*I18*10%</f>
        <v>11.27343046875</v>
      </c>
      <c r="X18" s="127"/>
    </row>
    <row r="19" spans="1:24">
      <c r="A19" s="118">
        <v>46240</v>
      </c>
      <c r="B19" s="118">
        <v>46243</v>
      </c>
      <c r="C19" s="119"/>
      <c r="D19" s="118" t="s">
        <v>159</v>
      </c>
      <c r="E19" s="118" t="s">
        <v>159</v>
      </c>
      <c r="F19" s="118" t="s">
        <v>126</v>
      </c>
      <c r="G19" s="119" t="s">
        <v>163</v>
      </c>
      <c r="H19" s="119">
        <v>7130655</v>
      </c>
      <c r="I19" s="119">
        <v>145</v>
      </c>
      <c r="J19" s="119" t="s">
        <v>121</v>
      </c>
      <c r="K19" s="119" t="s">
        <v>68</v>
      </c>
      <c r="L19" s="119" t="s">
        <v>141</v>
      </c>
      <c r="M19" s="51" cm="1">
        <f t="array" ref="M19">IFERROR(_xlfn.SWITCH(L19,"R-FPA",495,"R-FPB",595,"R-FPC",595,"R-FPD",595,"Custom Carton","input L"),0)</f>
        <v>595</v>
      </c>
      <c r="N19" s="51" cm="1">
        <f t="array" ref="N19">IFERROR(_xlfn.SWITCH(L19,"R-FPA",285,"R-FPB",285,"R-FPC",325,"R-FPD",380,"Custom Carton","input W"),0)</f>
        <v>380</v>
      </c>
      <c r="O19" s="51">
        <v>180</v>
      </c>
      <c r="P19" s="51">
        <f>IFERROR(IF(K19="",0,(M19+N19)*2+15),0)</f>
        <v>1965</v>
      </c>
      <c r="Q19" s="51">
        <f>IFERROR(IF(K19="",0,(N19+O19)-10),0)</f>
        <v>550</v>
      </c>
      <c r="R19" s="53">
        <f xml:space="preserve"> P19 * Q19 * (1 + 2.5%) / 1000000</f>
        <v>1.10776875</v>
      </c>
      <c r="S19" s="125">
        <f>R19*'RFQ_Matalan Carton'!$M$32</f>
        <v>1.1410018125000001</v>
      </c>
      <c r="T19" s="124">
        <f>S19</f>
        <v>1.1410018125000001</v>
      </c>
      <c r="U19" s="124">
        <f>I19*T19</f>
        <v>165.4452628125</v>
      </c>
      <c r="V19" s="123">
        <f>((T19*I19)-W19)*7.5%</f>
        <v>11.16755523984375</v>
      </c>
      <c r="W19" s="124">
        <f>S19*I19*10%</f>
        <v>16.54452628125</v>
      </c>
      <c r="X19" s="127"/>
    </row>
    <row r="20" spans="1:24">
      <c r="A20" s="118">
        <v>46240</v>
      </c>
      <c r="B20" s="118">
        <v>46243</v>
      </c>
      <c r="C20" s="119"/>
      <c r="D20" s="118" t="s">
        <v>159</v>
      </c>
      <c r="E20" s="118" t="s">
        <v>159</v>
      </c>
      <c r="F20" s="118" t="s">
        <v>126</v>
      </c>
      <c r="G20" s="119" t="s">
        <v>163</v>
      </c>
      <c r="H20" s="119">
        <v>7130655</v>
      </c>
      <c r="I20" s="119">
        <v>145</v>
      </c>
      <c r="J20" s="119" t="s">
        <v>121</v>
      </c>
      <c r="K20" s="119" t="s">
        <v>68</v>
      </c>
      <c r="L20" s="119" t="s">
        <v>141</v>
      </c>
      <c r="M20" s="51" cm="1">
        <f t="array" ref="M20">IFERROR(_xlfn.SWITCH(L20,"R-FPA",495,"R-FPB",595,"R-FPC",595,"R-FPD",595,"Custom Carton","input L"),0)</f>
        <v>595</v>
      </c>
      <c r="N20" s="51" cm="1">
        <f t="array" ref="N20">IFERROR(_xlfn.SWITCH(L20,"R-FPA",285,"R-FPB",285,"R-FPC",325,"R-FPD",380,"Custom Carton","input W"),0)</f>
        <v>380</v>
      </c>
      <c r="O20" s="51">
        <v>220</v>
      </c>
      <c r="P20" s="51">
        <f>IFERROR(IF(K20="",0,(M20+N20)*2+15),0)</f>
        <v>1965</v>
      </c>
      <c r="Q20" s="51">
        <f>IFERROR(IF(K20="",0,(N20+O20)-10),0)</f>
        <v>590</v>
      </c>
      <c r="R20" s="53">
        <f xml:space="preserve"> P20 * Q20 * (1 + 2.5%) / 1000000</f>
        <v>1.18833375</v>
      </c>
      <c r="S20" s="125">
        <f>R20*'RFQ_Matalan Carton'!$M$32</f>
        <v>1.2239837625000001</v>
      </c>
      <c r="T20" s="124">
        <f>S20</f>
        <v>1.2239837625000001</v>
      </c>
      <c r="U20" s="124">
        <f>I20*T20</f>
        <v>177.47764556250002</v>
      </c>
      <c r="V20" s="123">
        <f>((T20*I20)-W20)*7.5%</f>
        <v>11.979741075468752</v>
      </c>
      <c r="W20" s="124">
        <f>S20*I20*10%</f>
        <v>17.747764556250001</v>
      </c>
      <c r="X20" s="127"/>
    </row>
    <row r="21" spans="1:24">
      <c r="A21" s="118">
        <v>46240</v>
      </c>
      <c r="B21" s="118">
        <v>46243</v>
      </c>
      <c r="C21" s="119"/>
      <c r="D21" s="118" t="s">
        <v>159</v>
      </c>
      <c r="E21" s="118" t="s">
        <v>159</v>
      </c>
      <c r="F21" s="118" t="s">
        <v>126</v>
      </c>
      <c r="G21" s="119" t="s">
        <v>186</v>
      </c>
      <c r="H21" s="119">
        <v>7131103</v>
      </c>
      <c r="I21" s="119">
        <v>15</v>
      </c>
      <c r="J21" s="119" t="s">
        <v>121</v>
      </c>
      <c r="K21" s="119" t="s">
        <v>68</v>
      </c>
      <c r="L21" s="119" t="s">
        <v>141</v>
      </c>
      <c r="M21" s="51" cm="1">
        <f t="array" ref="M21">IFERROR(_xlfn.SWITCH(L21,"R-FPA",495,"R-FPB",595,"R-FPC",595,"R-FPD",595,"Custom Carton","input L"),0)</f>
        <v>595</v>
      </c>
      <c r="N21" s="51" cm="1">
        <f t="array" ref="N21">IFERROR(_xlfn.SWITCH(L21,"R-FPA",285,"R-FPB",285,"R-FPC",325,"R-FPD",380,"Custom Carton","input W"),0)</f>
        <v>380</v>
      </c>
      <c r="O21" s="51">
        <v>300</v>
      </c>
      <c r="P21" s="51">
        <f>IFERROR(IF(K21="",0,(M21+N21)*2+15),0)</f>
        <v>1965</v>
      </c>
      <c r="Q21" s="51">
        <f>IFERROR(IF(K21="",0,(N21+O21)-10),0)</f>
        <v>670</v>
      </c>
      <c r="R21" s="53">
        <f xml:space="preserve"> P21 * Q21 * (1 + 2.5%) / 1000000</f>
        <v>1.3494637499999997</v>
      </c>
      <c r="S21" s="125">
        <f>R21*'RFQ_Matalan Carton'!$M$32</f>
        <v>1.3899476624999998</v>
      </c>
      <c r="T21" s="124">
        <f>S21</f>
        <v>1.3899476624999998</v>
      </c>
      <c r="U21" s="124">
        <f>I21*T21</f>
        <v>20.849214937499998</v>
      </c>
      <c r="V21" s="123">
        <f>((T21*I21)-W21)*7.5%</f>
        <v>1.4073220082812499</v>
      </c>
      <c r="W21" s="124">
        <f>S21*I21*10%</f>
        <v>2.08492149375</v>
      </c>
      <c r="X21" s="127"/>
    </row>
    <row r="22" spans="1:24">
      <c r="A22" s="118">
        <v>46243</v>
      </c>
      <c r="B22" s="118">
        <v>46244</v>
      </c>
      <c r="C22" s="119"/>
      <c r="D22" s="118" t="s">
        <v>200</v>
      </c>
      <c r="E22" s="118" t="s">
        <v>218</v>
      </c>
      <c r="F22" s="118" t="s">
        <v>126</v>
      </c>
      <c r="G22" s="119" t="s">
        <v>228</v>
      </c>
      <c r="H22" s="119">
        <v>7132164</v>
      </c>
      <c r="I22" s="119">
        <v>317</v>
      </c>
      <c r="J22" s="119" t="s">
        <v>121</v>
      </c>
      <c r="K22" s="119" t="s">
        <v>68</v>
      </c>
      <c r="L22" s="119" t="s">
        <v>109</v>
      </c>
      <c r="M22" s="51">
        <v>390</v>
      </c>
      <c r="N22" s="51">
        <v>350</v>
      </c>
      <c r="O22" s="51">
        <v>100</v>
      </c>
      <c r="P22" s="51">
        <f>IFERROR(IF(K22="",0,(M22+N22)*2+15),0)</f>
        <v>1495</v>
      </c>
      <c r="Q22" s="51">
        <f>IFERROR(IF(K22="",0,(N22+O22)-10),0)</f>
        <v>440</v>
      </c>
      <c r="R22" s="53">
        <f xml:space="preserve"> P22 * Q22 * (1 + 2.5%) / 1000000</f>
        <v>0.67424499999999987</v>
      </c>
      <c r="S22" s="125">
        <f>R22*'RFQ_Matalan Carton'!$M$32</f>
        <v>0.69447234999999985</v>
      </c>
      <c r="T22" s="124">
        <f>S22</f>
        <v>0.69447234999999985</v>
      </c>
      <c r="U22" s="124">
        <f>I22*T22</f>
        <v>220.14773494999994</v>
      </c>
      <c r="V22" s="123">
        <f>((T22*I22)-W22)*7.5%</f>
        <v>14.859972109124996</v>
      </c>
      <c r="W22" s="124">
        <f>S22*I22*10%</f>
        <v>22.014773494999996</v>
      </c>
      <c r="X22" s="127"/>
    </row>
    <row r="23" spans="1:24">
      <c r="A23" s="118">
        <v>46243</v>
      </c>
      <c r="B23" s="118">
        <v>46244</v>
      </c>
      <c r="C23" s="119"/>
      <c r="D23" s="118" t="s">
        <v>200</v>
      </c>
      <c r="E23" s="118" t="s">
        <v>218</v>
      </c>
      <c r="F23" s="118" t="s">
        <v>126</v>
      </c>
      <c r="G23" s="119" t="s">
        <v>228</v>
      </c>
      <c r="H23" s="119">
        <v>7132164</v>
      </c>
      <c r="I23" s="119">
        <v>317</v>
      </c>
      <c r="J23" s="119" t="s">
        <v>121</v>
      </c>
      <c r="K23" s="119" t="s">
        <v>68</v>
      </c>
      <c r="L23" s="119" t="s">
        <v>109</v>
      </c>
      <c r="M23" s="51">
        <v>420</v>
      </c>
      <c r="N23" s="51">
        <v>370</v>
      </c>
      <c r="O23" s="51">
        <v>100</v>
      </c>
      <c r="P23" s="51">
        <f>IFERROR(IF(K23="",0,(M23+N23)*2+15),0)</f>
        <v>1595</v>
      </c>
      <c r="Q23" s="51">
        <f>IFERROR(IF(K23="",0,(N23+O23)-10),0)</f>
        <v>460</v>
      </c>
      <c r="R23" s="53">
        <f xml:space="preserve"> P23 * Q23 * (1 + 2.5%) / 1000000</f>
        <v>0.75204249999999984</v>
      </c>
      <c r="S23" s="125">
        <f>R23*'RFQ_Matalan Carton'!$M$32</f>
        <v>0.77460377499999988</v>
      </c>
      <c r="T23" s="124">
        <f>S23</f>
        <v>0.77460377499999988</v>
      </c>
      <c r="U23" s="124">
        <f>I23*T23</f>
        <v>245.54939667499997</v>
      </c>
      <c r="V23" s="123">
        <f>((T23*I23)-W23)*7.5%</f>
        <v>16.574584275562497</v>
      </c>
      <c r="W23" s="124">
        <f>S23*I23*10%</f>
        <v>24.554939667499998</v>
      </c>
      <c r="X23" s="127"/>
    </row>
    <row r="24" spans="1:24">
      <c r="A24" s="118">
        <v>46243</v>
      </c>
      <c r="B24" s="118">
        <v>46244</v>
      </c>
      <c r="C24" s="119"/>
      <c r="D24" s="118" t="s">
        <v>200</v>
      </c>
      <c r="E24" s="118" t="s">
        <v>218</v>
      </c>
      <c r="F24" s="118" t="s">
        <v>126</v>
      </c>
      <c r="G24" s="119" t="s">
        <v>228</v>
      </c>
      <c r="H24" s="119">
        <v>7132164</v>
      </c>
      <c r="I24" s="119">
        <v>317</v>
      </c>
      <c r="J24" s="119" t="s">
        <v>121</v>
      </c>
      <c r="K24" s="119" t="s">
        <v>68</v>
      </c>
      <c r="L24" s="119" t="s">
        <v>109</v>
      </c>
      <c r="M24" s="51">
        <v>480</v>
      </c>
      <c r="N24" s="51">
        <v>430</v>
      </c>
      <c r="O24" s="51">
        <v>100</v>
      </c>
      <c r="P24" s="51">
        <f>IFERROR(IF(K24="",0,(M24+N24)*2+15),0)</f>
        <v>1835</v>
      </c>
      <c r="Q24" s="51">
        <f>IFERROR(IF(K24="",0,(N24+O24)-10),0)</f>
        <v>520</v>
      </c>
      <c r="R24" s="53">
        <f xml:space="preserve"> P24 * Q24 * (1 + 2.5%) / 1000000</f>
        <v>0.9780549999999999</v>
      </c>
      <c r="S24" s="125">
        <f>R24*'RFQ_Matalan Carton'!$M$32</f>
        <v>1.00739665</v>
      </c>
      <c r="T24" s="124">
        <f>S24</f>
        <v>1.00739665</v>
      </c>
      <c r="U24" s="124">
        <f>I24*T24</f>
        <v>319.34473804999999</v>
      </c>
      <c r="V24" s="123">
        <f>((T24*I24)-W24)*7.5%</f>
        <v>21.555769818375001</v>
      </c>
      <c r="W24" s="124">
        <f>S24*I24*10%</f>
        <v>31.934473805</v>
      </c>
      <c r="X24" s="127"/>
    </row>
    <row r="25" spans="1:24">
      <c r="A25" s="118">
        <v>46245</v>
      </c>
      <c r="B25" s="118">
        <v>46247</v>
      </c>
      <c r="C25" s="119"/>
      <c r="D25" s="118" t="s">
        <v>200</v>
      </c>
      <c r="E25" s="118" t="s">
        <v>218</v>
      </c>
      <c r="F25" s="118" t="s">
        <v>126</v>
      </c>
      <c r="G25" s="119" t="s">
        <v>229</v>
      </c>
      <c r="H25" s="119">
        <v>7132915</v>
      </c>
      <c r="I25" s="119">
        <v>324</v>
      </c>
      <c r="J25" s="119" t="s">
        <v>121</v>
      </c>
      <c r="K25" s="119" t="s">
        <v>68</v>
      </c>
      <c r="L25" s="119" t="s">
        <v>109</v>
      </c>
      <c r="M25" s="51">
        <v>400</v>
      </c>
      <c r="N25" s="51">
        <v>360</v>
      </c>
      <c r="O25" s="51">
        <v>100</v>
      </c>
      <c r="P25" s="51">
        <f>IFERROR(IF(K25="",0,(M25+N25)*2+15),0)</f>
        <v>1535</v>
      </c>
      <c r="Q25" s="51">
        <f>IFERROR(IF(K25="",0,(N25+O25)-10),0)</f>
        <v>450</v>
      </c>
      <c r="R25" s="53">
        <f xml:space="preserve"> P25 * Q25 * (1 + 2.5%) / 1000000</f>
        <v>0.70801874999999992</v>
      </c>
      <c r="S25" s="125">
        <f>R25*'RFQ_Matalan Carton'!$M$32</f>
        <v>0.72925931249999998</v>
      </c>
      <c r="T25" s="124">
        <f>S25</f>
        <v>0.72925931249999998</v>
      </c>
      <c r="U25" s="124">
        <f>I25*T25</f>
        <v>236.28001724999999</v>
      </c>
      <c r="V25" s="123">
        <f>((T25*I25)-W25)*7.5%</f>
        <v>15.948901164374998</v>
      </c>
      <c r="W25" s="124">
        <f>S25*I25*10%</f>
        <v>23.628001725000001</v>
      </c>
      <c r="X25" s="127"/>
    </row>
    <row r="26" spans="1:24">
      <c r="A26" s="118">
        <v>46245</v>
      </c>
      <c r="B26" s="118">
        <v>46247</v>
      </c>
      <c r="C26" s="119"/>
      <c r="D26" s="118" t="s">
        <v>200</v>
      </c>
      <c r="E26" s="118" t="s">
        <v>218</v>
      </c>
      <c r="F26" s="118" t="s">
        <v>126</v>
      </c>
      <c r="G26" s="119" t="s">
        <v>229</v>
      </c>
      <c r="H26" s="119">
        <v>7132915</v>
      </c>
      <c r="I26" s="119">
        <v>323</v>
      </c>
      <c r="J26" s="119" t="s">
        <v>121</v>
      </c>
      <c r="K26" s="119" t="s">
        <v>68</v>
      </c>
      <c r="L26" s="119" t="s">
        <v>109</v>
      </c>
      <c r="M26" s="51">
        <v>460</v>
      </c>
      <c r="N26" s="51">
        <v>420</v>
      </c>
      <c r="O26" s="51">
        <v>210</v>
      </c>
      <c r="P26" s="51">
        <f>IFERROR(IF(K26="",0,(M26+N26)*2+15),0)</f>
        <v>1775</v>
      </c>
      <c r="Q26" s="51">
        <f>IFERROR(IF(K26="",0,(N26+O26)-10),0)</f>
        <v>620</v>
      </c>
      <c r="R26" s="53">
        <f xml:space="preserve"> P26 * Q26 * (1 + 2.5%) / 1000000</f>
        <v>1.1280125000000001</v>
      </c>
      <c r="S26" s="125">
        <f>R26*'RFQ_Matalan Carton'!$M$32</f>
        <v>1.1618528750000001</v>
      </c>
      <c r="T26" s="124">
        <f>S26</f>
        <v>1.1618528750000001</v>
      </c>
      <c r="U26" s="124">
        <f>I26*T26</f>
        <v>375.27847862500005</v>
      </c>
      <c r="V26" s="123">
        <f>((T26*I26)-W26)*7.5%</f>
        <v>25.331297307187505</v>
      </c>
      <c r="W26" s="124">
        <f>S26*I26*10%</f>
        <v>37.527847862500003</v>
      </c>
      <c r="X26" s="127"/>
    </row>
    <row r="27" spans="1:24">
      <c r="A27" s="118">
        <v>46245</v>
      </c>
      <c r="B27" s="118">
        <v>46247</v>
      </c>
      <c r="C27" s="119"/>
      <c r="D27" s="118" t="s">
        <v>200</v>
      </c>
      <c r="E27" s="118" t="s">
        <v>218</v>
      </c>
      <c r="F27" s="118" t="s">
        <v>126</v>
      </c>
      <c r="G27" s="119" t="s">
        <v>230</v>
      </c>
      <c r="H27" s="119">
        <v>7132933</v>
      </c>
      <c r="I27" s="119">
        <v>299</v>
      </c>
      <c r="J27" s="119" t="s">
        <v>121</v>
      </c>
      <c r="K27" s="119" t="s">
        <v>68</v>
      </c>
      <c r="L27" s="119" t="s">
        <v>109</v>
      </c>
      <c r="M27" s="51">
        <v>460</v>
      </c>
      <c r="N27" s="51">
        <v>420</v>
      </c>
      <c r="O27" s="51">
        <v>100</v>
      </c>
      <c r="P27" s="51">
        <f>IFERROR(IF(K27="",0,(M27+N27)*2+15),0)</f>
        <v>1775</v>
      </c>
      <c r="Q27" s="51">
        <f>IFERROR(IF(K27="",0,(N27+O27)-10),0)</f>
        <v>510</v>
      </c>
      <c r="R27" s="53">
        <f xml:space="preserve"> P27 * Q27 * (1 + 2.5%) / 1000000</f>
        <v>0.92788124999999988</v>
      </c>
      <c r="S27" s="125">
        <f>R27*'RFQ_Matalan Carton'!$M$32</f>
        <v>0.95571768749999986</v>
      </c>
      <c r="T27" s="124">
        <f>S27</f>
        <v>0.95571768749999986</v>
      </c>
      <c r="U27" s="124">
        <f>I27*T27</f>
        <v>285.75958856249997</v>
      </c>
      <c r="V27" s="123">
        <f>((T27*I27)-W27)*7.5%</f>
        <v>19.288772227968746</v>
      </c>
      <c r="W27" s="124">
        <f>S27*I27*10%</f>
        <v>28.575958856249997</v>
      </c>
      <c r="X27" s="127"/>
    </row>
    <row r="28" spans="1:24">
      <c r="A28" s="118">
        <v>46245</v>
      </c>
      <c r="B28" s="118">
        <v>46247</v>
      </c>
      <c r="C28" s="119"/>
      <c r="D28" s="118" t="s">
        <v>200</v>
      </c>
      <c r="E28" s="118" t="s">
        <v>218</v>
      </c>
      <c r="F28" s="118" t="s">
        <v>126</v>
      </c>
      <c r="G28" s="119" t="s">
        <v>230</v>
      </c>
      <c r="H28" s="119">
        <v>7132933</v>
      </c>
      <c r="I28" s="119">
        <v>293</v>
      </c>
      <c r="J28" s="119" t="s">
        <v>121</v>
      </c>
      <c r="K28" s="119" t="s">
        <v>68</v>
      </c>
      <c r="L28" s="119" t="s">
        <v>109</v>
      </c>
      <c r="M28" s="51">
        <v>500</v>
      </c>
      <c r="N28" s="51">
        <v>420</v>
      </c>
      <c r="O28" s="51">
        <v>120</v>
      </c>
      <c r="P28" s="51">
        <f>IFERROR(IF(K28="",0,(M28+N28)*2+15),0)</f>
        <v>1855</v>
      </c>
      <c r="Q28" s="51">
        <f>IFERROR(IF(K28="",0,(N28+O28)-10),0)</f>
        <v>530</v>
      </c>
      <c r="R28" s="53">
        <f xml:space="preserve"> P28 * Q28 * (1 + 2.5%) / 1000000</f>
        <v>1.0077287499999998</v>
      </c>
      <c r="S28" s="125">
        <f>R28*'RFQ_Matalan Carton'!$M$32</f>
        <v>1.0379606124999998</v>
      </c>
      <c r="T28" s="124">
        <f>S28</f>
        <v>1.0379606124999998</v>
      </c>
      <c r="U28" s="124">
        <f>I28*T28</f>
        <v>304.12245946249993</v>
      </c>
      <c r="V28" s="123">
        <f>((T28*I28)-W28)*7.5%</f>
        <v>20.528266013718746</v>
      </c>
      <c r="W28" s="124">
        <f>S28*I28*10%</f>
        <v>30.412245946249996</v>
      </c>
      <c r="X28" s="127"/>
    </row>
    <row r="29" spans="1:24">
      <c r="A29" s="118">
        <v>46247</v>
      </c>
      <c r="B29" s="118">
        <v>46249</v>
      </c>
      <c r="C29" s="119"/>
      <c r="D29" s="118" t="s">
        <v>200</v>
      </c>
      <c r="E29" s="118" t="s">
        <v>218</v>
      </c>
      <c r="F29" s="118" t="s">
        <v>126</v>
      </c>
      <c r="G29" s="119" t="s">
        <v>234</v>
      </c>
      <c r="H29" s="119">
        <v>7134055</v>
      </c>
      <c r="I29" s="119">
        <v>301</v>
      </c>
      <c r="J29" s="119" t="s">
        <v>121</v>
      </c>
      <c r="K29" s="119" t="s">
        <v>68</v>
      </c>
      <c r="L29" s="119" t="s">
        <v>109</v>
      </c>
      <c r="M29" s="51">
        <v>400</v>
      </c>
      <c r="N29" s="51">
        <v>300</v>
      </c>
      <c r="O29" s="51">
        <v>100</v>
      </c>
      <c r="P29" s="51">
        <f>IFERROR(IF(K29="",0,(M29+N29)*2+15),0)</f>
        <v>1415</v>
      </c>
      <c r="Q29" s="51">
        <f>IFERROR(IF(K29="",0,(N29+O29)-10),0)</f>
        <v>390</v>
      </c>
      <c r="R29" s="53">
        <f xml:space="preserve"> P29 * Q29 * (1 + 2.5%) / 1000000</f>
        <v>0.56564625000000002</v>
      </c>
      <c r="S29" s="125">
        <f>R29*'RFQ_Matalan Carton'!$M$32</f>
        <v>0.58261563750000001</v>
      </c>
      <c r="T29" s="124">
        <f>S29</f>
        <v>0.58261563750000001</v>
      </c>
      <c r="U29" s="124">
        <f>I29*T29</f>
        <v>175.36730688750001</v>
      </c>
      <c r="V29" s="123">
        <f>((T29*I29)-W29)*7.5%</f>
        <v>11.83729321490625</v>
      </c>
      <c r="W29" s="124">
        <f>S29*I29*10%</f>
        <v>17.536730688750001</v>
      </c>
      <c r="X29" s="127"/>
    </row>
    <row r="30" spans="1:24">
      <c r="A30" s="118">
        <v>46247</v>
      </c>
      <c r="B30" s="118">
        <v>46249</v>
      </c>
      <c r="C30" s="119"/>
      <c r="D30" s="118" t="s">
        <v>200</v>
      </c>
      <c r="E30" s="118" t="s">
        <v>218</v>
      </c>
      <c r="F30" s="118" t="s">
        <v>126</v>
      </c>
      <c r="G30" s="119" t="s">
        <v>234</v>
      </c>
      <c r="H30" s="119">
        <v>7134055</v>
      </c>
      <c r="I30" s="119">
        <v>301</v>
      </c>
      <c r="J30" s="119" t="s">
        <v>121</v>
      </c>
      <c r="K30" s="119" t="s">
        <v>68</v>
      </c>
      <c r="L30" s="119" t="s">
        <v>109</v>
      </c>
      <c r="M30" s="51">
        <v>420</v>
      </c>
      <c r="N30" s="51">
        <v>360</v>
      </c>
      <c r="O30" s="51">
        <v>220</v>
      </c>
      <c r="P30" s="51">
        <f>IFERROR(IF(K30="",0,(M30+N30)*2+15),0)</f>
        <v>1575</v>
      </c>
      <c r="Q30" s="51">
        <f>IFERROR(IF(K30="",0,(N30+O30)-10),0)</f>
        <v>570</v>
      </c>
      <c r="R30" s="53">
        <f xml:space="preserve"> P30 * Q30 * (1 + 2.5%) / 1000000</f>
        <v>0.92019374999999992</v>
      </c>
      <c r="S30" s="125">
        <f>R30*'RFQ_Matalan Carton'!$M$32</f>
        <v>0.94779956249999997</v>
      </c>
      <c r="T30" s="124">
        <f>S30</f>
        <v>0.94779956249999997</v>
      </c>
      <c r="U30" s="124">
        <f>I30*T30</f>
        <v>285.28766831249999</v>
      </c>
      <c r="V30" s="123">
        <f>((T30*I30)-W30)*7.5%</f>
        <v>19.256917611093751</v>
      </c>
      <c r="W30" s="124">
        <f>S30*I30*10%</f>
        <v>28.52876683125</v>
      </c>
      <c r="X30" s="127"/>
    </row>
    <row r="31" spans="1:24">
      <c r="A31" s="118">
        <v>46247</v>
      </c>
      <c r="B31" s="118">
        <v>46249</v>
      </c>
      <c r="C31" s="119"/>
      <c r="D31" s="118" t="s">
        <v>200</v>
      </c>
      <c r="E31" s="118" t="s">
        <v>218</v>
      </c>
      <c r="F31" s="118" t="s">
        <v>126</v>
      </c>
      <c r="G31" s="119" t="s">
        <v>233</v>
      </c>
      <c r="H31" s="119">
        <v>7134646</v>
      </c>
      <c r="I31" s="119">
        <v>320</v>
      </c>
      <c r="J31" s="119" t="s">
        <v>121</v>
      </c>
      <c r="K31" s="119" t="s">
        <v>68</v>
      </c>
      <c r="L31" s="119" t="s">
        <v>109</v>
      </c>
      <c r="M31" s="51">
        <v>380</v>
      </c>
      <c r="N31" s="51">
        <v>260</v>
      </c>
      <c r="O31" s="51">
        <v>100</v>
      </c>
      <c r="P31" s="51">
        <f>IFERROR(IF(K31="",0,(M31+N31)*2+15),0)</f>
        <v>1295</v>
      </c>
      <c r="Q31" s="51">
        <f>IFERROR(IF(K31="",0,(N31+O31)-10),0)</f>
        <v>350</v>
      </c>
      <c r="R31" s="53">
        <f xml:space="preserve"> P31 * Q31 * (1 + 2.5%) / 1000000</f>
        <v>0.46458124999999995</v>
      </c>
      <c r="S31" s="125">
        <f>R31*'RFQ_Matalan Carton'!$M$32</f>
        <v>0.47851868749999998</v>
      </c>
      <c r="T31" s="124">
        <f>S31</f>
        <v>0.47851868749999998</v>
      </c>
      <c r="U31" s="124">
        <f>I31*T31</f>
        <v>153.12598</v>
      </c>
      <c r="V31" s="123">
        <f>((T31*I31)-W31)*7.5%</f>
        <v>10.336003649999999</v>
      </c>
      <c r="W31" s="124">
        <f>S31*I31*10%</f>
        <v>15.312598000000001</v>
      </c>
      <c r="X31" s="127"/>
    </row>
    <row r="32" spans="1:24">
      <c r="A32" s="118">
        <v>46247</v>
      </c>
      <c r="B32" s="118">
        <v>46249</v>
      </c>
      <c r="C32" s="119"/>
      <c r="D32" s="118" t="s">
        <v>200</v>
      </c>
      <c r="E32" s="118" t="s">
        <v>218</v>
      </c>
      <c r="F32" s="118" t="s">
        <v>126</v>
      </c>
      <c r="G32" s="119" t="s">
        <v>233</v>
      </c>
      <c r="H32" s="119">
        <v>7134646</v>
      </c>
      <c r="I32" s="119">
        <v>320</v>
      </c>
      <c r="J32" s="119" t="s">
        <v>121</v>
      </c>
      <c r="K32" s="119" t="s">
        <v>68</v>
      </c>
      <c r="L32" s="119" t="s">
        <v>109</v>
      </c>
      <c r="M32" s="51">
        <v>440</v>
      </c>
      <c r="N32" s="51">
        <v>330</v>
      </c>
      <c r="O32" s="51">
        <v>120</v>
      </c>
      <c r="P32" s="51">
        <f>IFERROR(IF(K32="",0,(M32+N32)*2+15),0)</f>
        <v>1555</v>
      </c>
      <c r="Q32" s="51">
        <f>IFERROR(IF(K32="",0,(N32+O32)-10),0)</f>
        <v>440</v>
      </c>
      <c r="R32" s="53">
        <f xml:space="preserve"> P32 * Q32 * (1 + 2.5%) / 1000000</f>
        <v>0.70130499999999985</v>
      </c>
      <c r="S32" s="125">
        <f>R32*'RFQ_Matalan Carton'!$M$32</f>
        <v>0.72234414999999985</v>
      </c>
      <c r="T32" s="124">
        <f>S32</f>
        <v>0.72234414999999985</v>
      </c>
      <c r="U32" s="124">
        <f>I32*T32</f>
        <v>231.15012799999994</v>
      </c>
      <c r="V32" s="123">
        <f>((T32*I32)-W32)*7.5%</f>
        <v>15.602633639999995</v>
      </c>
      <c r="W32" s="124">
        <f>S32*I32*10%</f>
        <v>23.115012799999995</v>
      </c>
      <c r="X32" s="127"/>
    </row>
    <row r="33" spans="1:25">
      <c r="A33" s="118">
        <v>46247</v>
      </c>
      <c r="B33" s="118">
        <v>46249</v>
      </c>
      <c r="C33" s="119"/>
      <c r="D33" s="118" t="s">
        <v>200</v>
      </c>
      <c r="E33" s="118" t="s">
        <v>218</v>
      </c>
      <c r="F33" s="118" t="s">
        <v>126</v>
      </c>
      <c r="G33" s="119" t="s">
        <v>232</v>
      </c>
      <c r="H33" s="119">
        <v>7134668</v>
      </c>
      <c r="I33" s="119">
        <v>279</v>
      </c>
      <c r="J33" s="119" t="s">
        <v>121</v>
      </c>
      <c r="K33" s="119" t="s">
        <v>68</v>
      </c>
      <c r="L33" s="119" t="s">
        <v>109</v>
      </c>
      <c r="M33" s="51">
        <v>300</v>
      </c>
      <c r="N33" s="51">
        <v>250</v>
      </c>
      <c r="O33" s="51">
        <v>100</v>
      </c>
      <c r="P33" s="51">
        <f>IFERROR(IF(K33="",0,(M33+N33)*2+15),0)</f>
        <v>1115</v>
      </c>
      <c r="Q33" s="51">
        <f>IFERROR(IF(K33="",0,(N33+O33)-10),0)</f>
        <v>340</v>
      </c>
      <c r="R33" s="53">
        <f xml:space="preserve"> P33 * Q33 * (1 + 2.5%) / 1000000</f>
        <v>0.38857749999999996</v>
      </c>
      <c r="S33" s="125">
        <f>R33*'RFQ_Matalan Carton'!$M$32</f>
        <v>0.40023482499999996</v>
      </c>
      <c r="T33" s="124">
        <f>S33</f>
        <v>0.40023482499999996</v>
      </c>
      <c r="U33" s="124">
        <f>I33*T33</f>
        <v>111.66551617499999</v>
      </c>
      <c r="V33" s="123">
        <f>((T33*I33)-W33)*7.5%</f>
        <v>7.5374223418124986</v>
      </c>
      <c r="W33" s="124">
        <f>S33*I33*10%</f>
        <v>11.1665516175</v>
      </c>
      <c r="X33" s="127"/>
    </row>
    <row r="34" spans="1:25">
      <c r="A34" s="118">
        <v>46247</v>
      </c>
      <c r="B34" s="118">
        <v>46249</v>
      </c>
      <c r="C34" s="119"/>
      <c r="D34" s="118" t="s">
        <v>200</v>
      </c>
      <c r="E34" s="118" t="s">
        <v>218</v>
      </c>
      <c r="F34" s="118" t="s">
        <v>126</v>
      </c>
      <c r="G34" s="119" t="s">
        <v>232</v>
      </c>
      <c r="H34" s="119">
        <v>7134668</v>
      </c>
      <c r="I34" s="119">
        <v>279</v>
      </c>
      <c r="J34" s="119" t="s">
        <v>121</v>
      </c>
      <c r="K34" s="119" t="s">
        <v>68</v>
      </c>
      <c r="L34" s="119" t="s">
        <v>109</v>
      </c>
      <c r="M34" s="51">
        <v>490</v>
      </c>
      <c r="N34" s="51">
        <v>290</v>
      </c>
      <c r="O34" s="51">
        <v>120</v>
      </c>
      <c r="P34" s="51">
        <f>IFERROR(IF(K34="",0,(M34+N34)*2+15),0)</f>
        <v>1575</v>
      </c>
      <c r="Q34" s="51">
        <f>IFERROR(IF(K34="",0,(N34+O34)-10),0)</f>
        <v>400</v>
      </c>
      <c r="R34" s="53">
        <f xml:space="preserve"> P34 * Q34 * (1 + 2.5%) / 1000000</f>
        <v>0.64575000000000005</v>
      </c>
      <c r="S34" s="125">
        <f>R34*'RFQ_Matalan Carton'!$M$32</f>
        <v>0.66512250000000006</v>
      </c>
      <c r="T34" s="124">
        <f>S34</f>
        <v>0.66512250000000006</v>
      </c>
      <c r="U34" s="124">
        <f>I34*T34</f>
        <v>185.56917750000002</v>
      </c>
      <c r="V34" s="123">
        <f>((T34*I34)-W34)*7.5%</f>
        <v>12.525919481250002</v>
      </c>
      <c r="W34" s="124">
        <f>S34*I34*10%</f>
        <v>18.556917750000004</v>
      </c>
      <c r="X34" s="127"/>
    </row>
    <row r="35" spans="1:25">
      <c r="A35" s="118">
        <v>46247</v>
      </c>
      <c r="B35" s="118">
        <v>46249</v>
      </c>
      <c r="C35" s="119"/>
      <c r="D35" s="118" t="s">
        <v>200</v>
      </c>
      <c r="E35" s="118" t="s">
        <v>218</v>
      </c>
      <c r="F35" s="118" t="s">
        <v>126</v>
      </c>
      <c r="G35" s="119" t="s">
        <v>231</v>
      </c>
      <c r="H35" s="119">
        <v>7134857</v>
      </c>
      <c r="I35" s="119">
        <v>271</v>
      </c>
      <c r="J35" s="119" t="s">
        <v>121</v>
      </c>
      <c r="K35" s="119" t="s">
        <v>68</v>
      </c>
      <c r="L35" s="119" t="s">
        <v>109</v>
      </c>
      <c r="M35" s="51">
        <v>400</v>
      </c>
      <c r="N35" s="51">
        <v>320</v>
      </c>
      <c r="O35" s="51">
        <v>100</v>
      </c>
      <c r="P35" s="51">
        <f>IFERROR(IF(K35="",0,(M35+N35)*2+15),0)</f>
        <v>1455</v>
      </c>
      <c r="Q35" s="51">
        <f>IFERROR(IF(K35="",0,(N35+O35)-10),0)</f>
        <v>410</v>
      </c>
      <c r="R35" s="53">
        <f xml:space="preserve"> P35 * Q35 * (1 + 2.5%) / 1000000</f>
        <v>0.61146374999999997</v>
      </c>
      <c r="S35" s="125">
        <f>R35*'RFQ_Matalan Carton'!$M$32</f>
        <v>0.62980766249999998</v>
      </c>
      <c r="T35" s="124">
        <f>S35</f>
        <v>0.62980766249999998</v>
      </c>
      <c r="U35" s="124">
        <f>I35*T35</f>
        <v>170.6778765375</v>
      </c>
      <c r="V35" s="123">
        <f>((T35*I35)-W35)*7.5%</f>
        <v>11.520756666281249</v>
      </c>
      <c r="W35" s="124">
        <f>S35*I35*10%</f>
        <v>17.067787653749999</v>
      </c>
      <c r="X35" s="127"/>
    </row>
    <row r="36" spans="1:25">
      <c r="A36" s="118">
        <v>46247</v>
      </c>
      <c r="B36" s="118">
        <v>46249</v>
      </c>
      <c r="C36" s="119"/>
      <c r="D36" s="118" t="s">
        <v>200</v>
      </c>
      <c r="E36" s="118" t="s">
        <v>218</v>
      </c>
      <c r="F36" s="118" t="s">
        <v>126</v>
      </c>
      <c r="G36" s="119" t="s">
        <v>231</v>
      </c>
      <c r="H36" s="119">
        <v>7134857</v>
      </c>
      <c r="I36" s="119">
        <v>271</v>
      </c>
      <c r="J36" s="119" t="s">
        <v>121</v>
      </c>
      <c r="K36" s="119" t="s">
        <v>68</v>
      </c>
      <c r="L36" s="119" t="s">
        <v>109</v>
      </c>
      <c r="M36" s="51">
        <v>500</v>
      </c>
      <c r="N36" s="51">
        <v>420</v>
      </c>
      <c r="O36" s="51">
        <v>230</v>
      </c>
      <c r="P36" s="51">
        <f>IFERROR(IF(K36="",0,(M36+N36)*2+15),0)</f>
        <v>1855</v>
      </c>
      <c r="Q36" s="51">
        <f>IFERROR(IF(K36="",0,(N36+O36)-10),0)</f>
        <v>640</v>
      </c>
      <c r="R36" s="53">
        <f xml:space="preserve"> P36 * Q36 * (1 + 2.5%) / 1000000</f>
        <v>1.21688</v>
      </c>
      <c r="S36" s="125">
        <f>R36*'RFQ_Matalan Carton'!$M$32</f>
        <v>1.2533863999999999</v>
      </c>
      <c r="T36" s="124">
        <f>S36</f>
        <v>1.2533863999999999</v>
      </c>
      <c r="U36" s="124">
        <f>I36*T36</f>
        <v>339.66771439999997</v>
      </c>
      <c r="V36" s="123">
        <f>((T36*I36)-W36)*7.5%</f>
        <v>22.927570721999995</v>
      </c>
      <c r="W36" s="124">
        <f>S36*I36*10%</f>
        <v>33.966771439999995</v>
      </c>
      <c r="X36" s="127"/>
    </row>
    <row r="37" spans="1:25">
      <c r="A37" s="118">
        <v>46250</v>
      </c>
      <c r="B37" s="118">
        <v>46251</v>
      </c>
      <c r="C37" s="119"/>
      <c r="D37" s="118" t="s">
        <v>159</v>
      </c>
      <c r="E37" s="118" t="s">
        <v>159</v>
      </c>
      <c r="F37" s="118" t="s">
        <v>126</v>
      </c>
      <c r="G37" s="119" t="s">
        <v>165</v>
      </c>
      <c r="H37" s="119">
        <v>7135559</v>
      </c>
      <c r="I37" s="119">
        <v>290</v>
      </c>
      <c r="J37" s="119" t="s">
        <v>121</v>
      </c>
      <c r="K37" s="119" t="s">
        <v>68</v>
      </c>
      <c r="L37" s="119" t="s">
        <v>141</v>
      </c>
      <c r="M37" s="51" cm="1">
        <f t="array" ref="M37">IFERROR(_xlfn.SWITCH(L37,"R-FPA",495,"R-FPB",595,"R-FPC",595,"R-FPD",595,"Custom Carton","input L"),0)</f>
        <v>595</v>
      </c>
      <c r="N37" s="51" cm="1">
        <f t="array" ref="N37">IFERROR(_xlfn.SWITCH(L37,"R-FPA",285,"R-FPB",285,"R-FPC",325,"R-FPD",380,"Custom Carton","input W"),0)</f>
        <v>380</v>
      </c>
      <c r="O37" s="51">
        <v>100</v>
      </c>
      <c r="P37" s="51">
        <f>IFERROR(IF(K37="",0,(M37+N37)*2+15),0)</f>
        <v>1965</v>
      </c>
      <c r="Q37" s="51">
        <f>IFERROR(IF(K37="",0,(N37+O37)-10),0)</f>
        <v>470</v>
      </c>
      <c r="R37" s="53">
        <f xml:space="preserve"> P37 * Q37 * (1 + 2.5%) / 1000000</f>
        <v>0.94663874999999986</v>
      </c>
      <c r="S37" s="125">
        <f>R37*'RFQ_Matalan Carton'!$M$32</f>
        <v>0.97503791249999994</v>
      </c>
      <c r="T37" s="124">
        <f>S37</f>
        <v>0.97503791249999994</v>
      </c>
      <c r="U37" s="124">
        <f>I37*T37</f>
        <v>282.76099462499997</v>
      </c>
      <c r="V37" s="123">
        <f>((T37*I37)-W37)*7.5%</f>
        <v>19.086367137187498</v>
      </c>
      <c r="W37" s="124">
        <f>S37*I37*10%</f>
        <v>28.2760994625</v>
      </c>
      <c r="X37" s="127"/>
    </row>
    <row r="38" spans="1:25">
      <c r="A38" s="118">
        <v>46250</v>
      </c>
      <c r="B38" s="118">
        <v>46251</v>
      </c>
      <c r="C38" s="119"/>
      <c r="D38" s="118" t="s">
        <v>159</v>
      </c>
      <c r="E38" s="118" t="s">
        <v>159</v>
      </c>
      <c r="F38" s="118" t="s">
        <v>126</v>
      </c>
      <c r="G38" s="119" t="s">
        <v>165</v>
      </c>
      <c r="H38" s="119">
        <v>7135559</v>
      </c>
      <c r="I38" s="119">
        <v>290</v>
      </c>
      <c r="J38" s="119" t="s">
        <v>121</v>
      </c>
      <c r="K38" s="119" t="s">
        <v>68</v>
      </c>
      <c r="L38" s="119" t="s">
        <v>141</v>
      </c>
      <c r="M38" s="51" cm="1">
        <f t="array" ref="M38">IFERROR(_xlfn.SWITCH(L38,"R-FPA",495,"R-FPB",595,"R-FPC",595,"R-FPD",595,"Custom Carton","input L"),0)</f>
        <v>595</v>
      </c>
      <c r="N38" s="51" cm="1">
        <f t="array" ref="N38">IFERROR(_xlfn.SWITCH(L38,"R-FPA",285,"R-FPB",285,"R-FPC",325,"R-FPD",380,"Custom Carton","input W"),0)</f>
        <v>380</v>
      </c>
      <c r="O38" s="51">
        <v>220</v>
      </c>
      <c r="P38" s="51">
        <f>IFERROR(IF(K38="",0,(M38+N38)*2+15),0)</f>
        <v>1965</v>
      </c>
      <c r="Q38" s="51">
        <f>IFERROR(IF(K38="",0,(N38+O38)-10),0)</f>
        <v>590</v>
      </c>
      <c r="R38" s="53">
        <f xml:space="preserve"> P38 * Q38 * (1 + 2.5%) / 1000000</f>
        <v>1.18833375</v>
      </c>
      <c r="S38" s="125">
        <f>R38*'RFQ_Matalan Carton'!$M$32</f>
        <v>1.2239837625000001</v>
      </c>
      <c r="T38" s="124">
        <f>S38</f>
        <v>1.2239837625000001</v>
      </c>
      <c r="U38" s="124">
        <f>I38*T38</f>
        <v>354.95529112500003</v>
      </c>
      <c r="V38" s="123">
        <f>((T38*I38)-W38)*7.5%</f>
        <v>23.959482150937504</v>
      </c>
      <c r="W38" s="124">
        <f>S38*I38*10%</f>
        <v>35.495529112500002</v>
      </c>
      <c r="X38" s="127"/>
      <c r="Y38" s="35"/>
    </row>
    <row r="39" spans="1:25">
      <c r="A39" s="118">
        <v>46250</v>
      </c>
      <c r="B39" s="118">
        <v>46251</v>
      </c>
      <c r="C39" s="119"/>
      <c r="D39" s="118" t="s">
        <v>159</v>
      </c>
      <c r="E39" s="118" t="s">
        <v>159</v>
      </c>
      <c r="F39" s="118" t="s">
        <v>126</v>
      </c>
      <c r="G39" s="119" t="s">
        <v>164</v>
      </c>
      <c r="H39" s="119">
        <v>7135563</v>
      </c>
      <c r="I39" s="119">
        <v>310</v>
      </c>
      <c r="J39" s="119" t="s">
        <v>121</v>
      </c>
      <c r="K39" s="119" t="s">
        <v>68</v>
      </c>
      <c r="L39" s="119" t="s">
        <v>130</v>
      </c>
      <c r="M39" s="51" cm="1">
        <f t="array" ref="M39">IFERROR(_xlfn.SWITCH(L39,"R-FPA",495,"R-FPB",595,"R-FPC",595,"R-FPD",595,"Custom Carton","input L"),0)</f>
        <v>595</v>
      </c>
      <c r="N39" s="51" cm="1">
        <f t="array" ref="N39">IFERROR(_xlfn.SWITCH(L39,"R-FPA",285,"R-FPB",285,"R-FPC",325,"R-FPD",380,"Custom Carton","input W"),0)</f>
        <v>325</v>
      </c>
      <c r="O39" s="51">
        <v>100</v>
      </c>
      <c r="P39" s="51">
        <f>IFERROR(IF(K39="",0,(M39+N39)*2+15),0)</f>
        <v>1855</v>
      </c>
      <c r="Q39" s="51">
        <f>IFERROR(IF(K39="",0,(N39+O39)-10),0)</f>
        <v>415</v>
      </c>
      <c r="R39" s="53">
        <f xml:space="preserve"> P39 * Q39 * (1 + 2.5%) / 1000000</f>
        <v>0.78907062499999991</v>
      </c>
      <c r="S39" s="125">
        <f>R39*'RFQ_Matalan Carton'!$M$32</f>
        <v>0.81274274374999989</v>
      </c>
      <c r="T39" s="124">
        <f>S39</f>
        <v>0.81274274374999989</v>
      </c>
      <c r="U39" s="124">
        <f>I39*T39</f>
        <v>251.95025056249997</v>
      </c>
      <c r="V39" s="123">
        <f>((T39*I39)-W39)*7.5%</f>
        <v>17.00664191296875</v>
      </c>
      <c r="W39" s="124">
        <f>S39*I39*10%</f>
        <v>25.19502505625</v>
      </c>
      <c r="X39" s="127"/>
    </row>
    <row r="40" spans="1:25">
      <c r="A40" s="118">
        <v>46250</v>
      </c>
      <c r="B40" s="118">
        <v>46251</v>
      </c>
      <c r="C40" s="119"/>
      <c r="D40" s="118" t="s">
        <v>159</v>
      </c>
      <c r="E40" s="118" t="s">
        <v>159</v>
      </c>
      <c r="F40" s="118" t="s">
        <v>126</v>
      </c>
      <c r="G40" s="119" t="s">
        <v>164</v>
      </c>
      <c r="H40" s="119">
        <v>7135563</v>
      </c>
      <c r="I40" s="119">
        <v>310</v>
      </c>
      <c r="J40" s="119" t="s">
        <v>121</v>
      </c>
      <c r="K40" s="119" t="s">
        <v>68</v>
      </c>
      <c r="L40" s="119" t="s">
        <v>130</v>
      </c>
      <c r="M40" s="51" cm="1">
        <f t="array" ref="M40">IFERROR(_xlfn.SWITCH(L40,"R-FPA",495,"R-FPB",595,"R-FPC",595,"R-FPD",595,"Custom Carton","input L"),0)</f>
        <v>595</v>
      </c>
      <c r="N40" s="51" cm="1">
        <f t="array" ref="N40">IFERROR(_xlfn.SWITCH(L40,"R-FPA",285,"R-FPB",285,"R-FPC",325,"R-FPD",380,"Custom Carton","input W"),0)</f>
        <v>325</v>
      </c>
      <c r="O40" s="51">
        <v>270</v>
      </c>
      <c r="P40" s="51">
        <f>IFERROR(IF(K40="",0,(M40+N40)*2+15),0)</f>
        <v>1855</v>
      </c>
      <c r="Q40" s="51">
        <f>IFERROR(IF(K40="",0,(N40+O40)-10),0)</f>
        <v>585</v>
      </c>
      <c r="R40" s="53">
        <f xml:space="preserve"> P40 * Q40 * (1 + 2.5%) / 1000000</f>
        <v>1.1123043749999999</v>
      </c>
      <c r="S40" s="125">
        <f>R40*'RFQ_Matalan Carton'!$M$32</f>
        <v>1.1456735062499999</v>
      </c>
      <c r="T40" s="124">
        <f>S40</f>
        <v>1.1456735062499999</v>
      </c>
      <c r="U40" s="124">
        <f>I40*T40</f>
        <v>355.15878693749994</v>
      </c>
      <c r="V40" s="123">
        <f>((T40*I40)-W40)*7.5%</f>
        <v>23.973218118281245</v>
      </c>
      <c r="W40" s="124">
        <f>S40*I40*10%</f>
        <v>35.515878693749997</v>
      </c>
      <c r="X40" s="127"/>
    </row>
    <row r="41" spans="1:25">
      <c r="A41" s="118">
        <v>46250</v>
      </c>
      <c r="B41" s="118">
        <v>46251</v>
      </c>
      <c r="C41" s="119"/>
      <c r="D41" s="118" t="s">
        <v>159</v>
      </c>
      <c r="E41" s="118" t="s">
        <v>159</v>
      </c>
      <c r="F41" s="118" t="s">
        <v>126</v>
      </c>
      <c r="G41" s="119" t="s">
        <v>166</v>
      </c>
      <c r="H41" s="119">
        <v>7135574</v>
      </c>
      <c r="I41" s="119">
        <v>300</v>
      </c>
      <c r="J41" s="119" t="s">
        <v>121</v>
      </c>
      <c r="K41" s="119" t="s">
        <v>68</v>
      </c>
      <c r="L41" s="119" t="s">
        <v>130</v>
      </c>
      <c r="M41" s="51" cm="1">
        <f t="array" ref="M41">IFERROR(_xlfn.SWITCH(L41,"R-FPA",495,"R-FPB",595,"R-FPC",595,"R-FPD",595,"Custom Carton","input L"),0)</f>
        <v>595</v>
      </c>
      <c r="N41" s="51" cm="1">
        <f t="array" ref="N41">IFERROR(_xlfn.SWITCH(L41,"R-FPA",285,"R-FPB",285,"R-FPC",325,"R-FPD",380,"Custom Carton","input W"),0)</f>
        <v>325</v>
      </c>
      <c r="O41" s="51">
        <v>100</v>
      </c>
      <c r="P41" s="51">
        <f>IFERROR(IF(K41="",0,(M41+N41)*2+15),0)</f>
        <v>1855</v>
      </c>
      <c r="Q41" s="51">
        <f>IFERROR(IF(K41="",0,(N41+O41)-10),0)</f>
        <v>415</v>
      </c>
      <c r="R41" s="53">
        <f xml:space="preserve"> P41 * Q41 * (1 + 2.5%) / 1000000</f>
        <v>0.78907062499999991</v>
      </c>
      <c r="S41" s="125">
        <f>R41*'RFQ_Matalan Carton'!$M$32</f>
        <v>0.81274274374999989</v>
      </c>
      <c r="T41" s="124">
        <f>S41</f>
        <v>0.81274274374999989</v>
      </c>
      <c r="U41" s="124">
        <f>I41*T41</f>
        <v>243.82282312499996</v>
      </c>
      <c r="V41" s="123">
        <f>((T41*I41)-W41)*7.5%</f>
        <v>16.458040560937498</v>
      </c>
      <c r="W41" s="124">
        <f>S41*I41*10%</f>
        <v>24.382282312499996</v>
      </c>
      <c r="X41" s="127"/>
    </row>
    <row r="42" spans="1:25" ht="14.25">
      <c r="A42" s="118">
        <v>46250</v>
      </c>
      <c r="B42" s="118">
        <v>46251</v>
      </c>
      <c r="C42" s="119"/>
      <c r="D42" s="118" t="s">
        <v>159</v>
      </c>
      <c r="E42" s="118" t="s">
        <v>159</v>
      </c>
      <c r="F42" s="118" t="s">
        <v>126</v>
      </c>
      <c r="G42" s="119" t="s">
        <v>166</v>
      </c>
      <c r="H42" s="119">
        <v>7135574</v>
      </c>
      <c r="I42" s="119">
        <v>300</v>
      </c>
      <c r="J42" s="119" t="s">
        <v>121</v>
      </c>
      <c r="K42" s="119" t="s">
        <v>68</v>
      </c>
      <c r="L42" s="119" t="s">
        <v>130</v>
      </c>
      <c r="M42" s="51" cm="1">
        <f t="array" ref="M42">IFERROR(_xlfn.SWITCH(L42,"R-FPA",495,"R-FPB",595,"R-FPC",595,"R-FPD",595,"Custom Carton","input L"),0)</f>
        <v>595</v>
      </c>
      <c r="N42" s="51" cm="1">
        <f t="array" ref="N42">IFERROR(_xlfn.SWITCH(L42,"R-FPA",285,"R-FPB",285,"R-FPC",325,"R-FPD",380,"Custom Carton","input W"),0)</f>
        <v>325</v>
      </c>
      <c r="O42" s="51">
        <v>240</v>
      </c>
      <c r="P42" s="51">
        <f>IFERROR(IF(K42="",0,(M42+N42)*2+15),0)</f>
        <v>1855</v>
      </c>
      <c r="Q42" s="51">
        <f>IFERROR(IF(K42="",0,(N42+O42)-10),0)</f>
        <v>555</v>
      </c>
      <c r="R42" s="53">
        <f xml:space="preserve"> P42 * Q42 * (1 + 2.5%) / 1000000</f>
        <v>1.055263125</v>
      </c>
      <c r="S42" s="125">
        <f>R42*'RFQ_Matalan Carton'!$M$32</f>
        <v>1.08692101875</v>
      </c>
      <c r="T42" s="124">
        <f>S42</f>
        <v>1.08692101875</v>
      </c>
      <c r="U42" s="124">
        <f>I42*T42</f>
        <v>326.07630562500003</v>
      </c>
      <c r="V42" s="123">
        <f>((T42*I42)-W42)*7.5%</f>
        <v>22.010150629687502</v>
      </c>
      <c r="W42" s="124">
        <f>S42*I42*10%</f>
        <v>32.607630562500006</v>
      </c>
      <c r="X42" s="127"/>
    </row>
    <row r="43" spans="1:25">
      <c r="A43" s="118">
        <v>46250</v>
      </c>
      <c r="B43" s="118">
        <v>46251</v>
      </c>
      <c r="C43" s="119"/>
      <c r="D43" s="118" t="s">
        <v>159</v>
      </c>
      <c r="E43" s="118" t="s">
        <v>159</v>
      </c>
      <c r="F43" s="118" t="s">
        <v>126</v>
      </c>
      <c r="G43" s="119" t="s">
        <v>167</v>
      </c>
      <c r="H43" s="119">
        <v>7136205</v>
      </c>
      <c r="I43" s="119">
        <v>520</v>
      </c>
      <c r="J43" s="119" t="s">
        <v>121</v>
      </c>
      <c r="K43" s="119" t="s">
        <v>68</v>
      </c>
      <c r="L43" s="119" t="s">
        <v>141</v>
      </c>
      <c r="M43" s="51" cm="1">
        <f t="array" ref="M43">IFERROR(_xlfn.SWITCH(L43,"R-FPA",495,"R-FPB",595,"R-FPC",595,"R-FPD",595,"Custom Carton","input L"),0)</f>
        <v>595</v>
      </c>
      <c r="N43" s="51" cm="1">
        <f t="array" ref="N43">IFERROR(_xlfn.SWITCH(L43,"R-FPA",285,"R-FPB",285,"R-FPC",325,"R-FPD",380,"Custom Carton","input W"),0)</f>
        <v>380</v>
      </c>
      <c r="O43" s="51">
        <v>100</v>
      </c>
      <c r="P43" s="51">
        <f>IFERROR(IF(K43="",0,(M43+N43)*2+15),0)</f>
        <v>1965</v>
      </c>
      <c r="Q43" s="51">
        <f>IFERROR(IF(K43="",0,(N43+O43)-10),0)</f>
        <v>470</v>
      </c>
      <c r="R43" s="53">
        <f xml:space="preserve"> P43 * Q43 * (1 + 2.5%) / 1000000</f>
        <v>0.94663874999999986</v>
      </c>
      <c r="S43" s="125">
        <f>R43*'RFQ_Matalan Carton'!$M$32</f>
        <v>0.97503791249999994</v>
      </c>
      <c r="T43" s="124">
        <f>S43</f>
        <v>0.97503791249999994</v>
      </c>
      <c r="U43" s="124">
        <f>I43*T43</f>
        <v>507.01971449999996</v>
      </c>
      <c r="V43" s="123">
        <f>((T43*I43)-W43)*7.5%</f>
        <v>34.223830728749995</v>
      </c>
      <c r="W43" s="124">
        <f>S43*I43*10%</f>
        <v>50.701971450000002</v>
      </c>
      <c r="X43" s="127"/>
    </row>
    <row r="44" spans="1:25">
      <c r="A44" s="118">
        <v>46250</v>
      </c>
      <c r="B44" s="118">
        <v>46251</v>
      </c>
      <c r="C44" s="119"/>
      <c r="D44" s="118" t="s">
        <v>151</v>
      </c>
      <c r="E44" s="118" t="s">
        <v>151</v>
      </c>
      <c r="F44" s="118" t="s">
        <v>126</v>
      </c>
      <c r="G44" s="119" t="s">
        <v>154</v>
      </c>
      <c r="H44" s="119">
        <v>7136420</v>
      </c>
      <c r="I44" s="119">
        <v>6</v>
      </c>
      <c r="J44" s="119" t="s">
        <v>121</v>
      </c>
      <c r="K44" s="119" t="s">
        <v>68</v>
      </c>
      <c r="L44" s="119" t="s">
        <v>109</v>
      </c>
      <c r="M44" s="51">
        <v>450</v>
      </c>
      <c r="N44" s="51">
        <v>260</v>
      </c>
      <c r="O44" s="51">
        <v>220</v>
      </c>
      <c r="P44" s="51">
        <f>IFERROR(IF(K44="",0,(M44+N44)*2+15),0)</f>
        <v>1435</v>
      </c>
      <c r="Q44" s="51">
        <f>IFERROR(IF(K44="",0,(N44+O44)-10),0)</f>
        <v>470</v>
      </c>
      <c r="R44" s="53">
        <f xml:space="preserve"> P44 * Q44 * (1 + 2.5%) / 1000000</f>
        <v>0.69131124999999993</v>
      </c>
      <c r="S44" s="125">
        <f>R44*'RFQ_Matalan Carton'!$M$32</f>
        <v>0.71205058749999994</v>
      </c>
      <c r="T44" s="124">
        <f>S44</f>
        <v>0.71205058749999994</v>
      </c>
      <c r="U44" s="124">
        <f>I44*T44</f>
        <v>4.2723035249999999</v>
      </c>
      <c r="V44" s="123">
        <f>((T44*I44)-W44)*7.5%</f>
        <v>0.28838048793749999</v>
      </c>
      <c r="W44" s="124">
        <f>S44*I44*10%</f>
        <v>0.42723035250000002</v>
      </c>
      <c r="X44" s="127"/>
    </row>
    <row r="45" spans="1:25">
      <c r="A45" s="118">
        <v>46250</v>
      </c>
      <c r="B45" s="118">
        <v>46251</v>
      </c>
      <c r="C45" s="119"/>
      <c r="D45" s="118" t="s">
        <v>151</v>
      </c>
      <c r="E45" s="118" t="s">
        <v>151</v>
      </c>
      <c r="F45" s="118" t="s">
        <v>126</v>
      </c>
      <c r="G45" s="119" t="s">
        <v>155</v>
      </c>
      <c r="H45" s="119">
        <v>7136434</v>
      </c>
      <c r="I45" s="119">
        <v>4</v>
      </c>
      <c r="J45" s="119" t="s">
        <v>121</v>
      </c>
      <c r="K45" s="119" t="s">
        <v>68</v>
      </c>
      <c r="L45" s="119" t="s">
        <v>109</v>
      </c>
      <c r="M45" s="51">
        <v>420</v>
      </c>
      <c r="N45" s="51">
        <v>280</v>
      </c>
      <c r="O45" s="51">
        <v>250</v>
      </c>
      <c r="P45" s="51">
        <f>IFERROR(IF(K45="",0,(M45+N45)*2+15),0)</f>
        <v>1415</v>
      </c>
      <c r="Q45" s="51">
        <f>IFERROR(IF(K45="",0,(N45+O45)-10),0)</f>
        <v>520</v>
      </c>
      <c r="R45" s="53">
        <f xml:space="preserve"> P45 * Q45 * (1 + 2.5%) / 1000000</f>
        <v>0.75419499999999984</v>
      </c>
      <c r="S45" s="125">
        <f>R45*'RFQ_Matalan Carton'!$M$32</f>
        <v>0.7768208499999999</v>
      </c>
      <c r="T45" s="124">
        <f>S45</f>
        <v>0.7768208499999999</v>
      </c>
      <c r="U45" s="124">
        <f>I45*T45</f>
        <v>3.1072833999999996</v>
      </c>
      <c r="V45" s="123">
        <f>((T45*I45)-W45)*7.5%</f>
        <v>0.20974162949999997</v>
      </c>
      <c r="W45" s="124">
        <f>S45*I45*10%</f>
        <v>0.31072833999999999</v>
      </c>
      <c r="X45" s="127"/>
    </row>
    <row r="46" spans="1:25">
      <c r="A46" s="118">
        <v>46252</v>
      </c>
      <c r="B46" s="118">
        <v>46258</v>
      </c>
      <c r="C46" s="119"/>
      <c r="D46" s="118" t="s">
        <v>127</v>
      </c>
      <c r="E46" s="118" t="s">
        <v>128</v>
      </c>
      <c r="F46" s="118" t="s">
        <v>126</v>
      </c>
      <c r="G46" s="119" t="s">
        <v>144</v>
      </c>
      <c r="H46" s="119">
        <v>7137458</v>
      </c>
      <c r="I46" s="119">
        <v>214</v>
      </c>
      <c r="J46" s="119" t="s">
        <v>121</v>
      </c>
      <c r="K46" s="119" t="s">
        <v>68</v>
      </c>
      <c r="L46" s="119" t="s">
        <v>141</v>
      </c>
      <c r="M46" s="51" cm="1">
        <f t="array" ref="M46">IFERROR(_xlfn.SWITCH(L46,"R-FPA",495,"R-FPB",595,"R-FPC",595,"R-FPD",595,"Custom Carton","input L"),0)</f>
        <v>595</v>
      </c>
      <c r="N46" s="51" cm="1">
        <f t="array" ref="N46">IFERROR(_xlfn.SWITCH(L46,"R-FPA",285,"R-FPB",285,"R-FPC",325,"R-FPD",380,"Custom Carton","input W"),0)</f>
        <v>380</v>
      </c>
      <c r="O46" s="51">
        <v>180</v>
      </c>
      <c r="P46" s="51">
        <f>IFERROR(IF(K46="",0,(M46+N46)*2+15),0)</f>
        <v>1965</v>
      </c>
      <c r="Q46" s="51">
        <f>IFERROR(IF(K46="",0,(N46+O46)-10),0)</f>
        <v>550</v>
      </c>
      <c r="R46" s="53">
        <f xml:space="preserve"> P46 * Q46 * (1 + 2.5%) / 1000000</f>
        <v>1.10776875</v>
      </c>
      <c r="S46" s="125">
        <f>R46*'RFQ_Matalan Carton'!$M$32</f>
        <v>1.1410018125000001</v>
      </c>
      <c r="T46" s="124">
        <f>S46</f>
        <v>1.1410018125000001</v>
      </c>
      <c r="U46" s="124">
        <f>I46*T46</f>
        <v>244.17438787500001</v>
      </c>
      <c r="V46" s="123">
        <f>((T46*I46)-W46)*7.5%</f>
        <v>16.4817711815625</v>
      </c>
      <c r="W46" s="124">
        <f>S46*I46*10%</f>
        <v>24.417438787500004</v>
      </c>
      <c r="X46" s="127"/>
    </row>
    <row r="47" spans="1:25">
      <c r="A47" s="118">
        <v>46252</v>
      </c>
      <c r="B47" s="118">
        <v>46258</v>
      </c>
      <c r="C47" s="119"/>
      <c r="D47" s="118" t="s">
        <v>127</v>
      </c>
      <c r="E47" s="118" t="s">
        <v>128</v>
      </c>
      <c r="F47" s="118" t="s">
        <v>126</v>
      </c>
      <c r="G47" s="119" t="s">
        <v>143</v>
      </c>
      <c r="H47" s="119">
        <v>7137463</v>
      </c>
      <c r="I47" s="119">
        <v>270</v>
      </c>
      <c r="J47" s="119" t="s">
        <v>121</v>
      </c>
      <c r="K47" s="119" t="s">
        <v>68</v>
      </c>
      <c r="L47" s="119" t="s">
        <v>141</v>
      </c>
      <c r="M47" s="51" cm="1">
        <f t="array" ref="M47">IFERROR(_xlfn.SWITCH(L47,"R-FPA",495,"R-FPB",595,"R-FPC",595,"R-FPD",595,"Custom Carton","input L"),0)</f>
        <v>595</v>
      </c>
      <c r="N47" s="51" cm="1">
        <f t="array" ref="N47">IFERROR(_xlfn.SWITCH(L47,"R-FPA",285,"R-FPB",285,"R-FPC",325,"R-FPD",380,"Custom Carton","input W"),0)</f>
        <v>380</v>
      </c>
      <c r="O47" s="51">
        <v>180</v>
      </c>
      <c r="P47" s="51">
        <f>IFERROR(IF(K47="",0,(M47+N47)*2+15),0)</f>
        <v>1965</v>
      </c>
      <c r="Q47" s="51">
        <f>IFERROR(IF(K47="",0,(N47+O47)-10),0)</f>
        <v>550</v>
      </c>
      <c r="R47" s="53">
        <f xml:space="preserve"> P47 * Q47 * (1 + 2.5%) / 1000000</f>
        <v>1.10776875</v>
      </c>
      <c r="S47" s="125">
        <f>R47*'RFQ_Matalan Carton'!$M$32</f>
        <v>1.1410018125000001</v>
      </c>
      <c r="T47" s="124">
        <f>S47</f>
        <v>1.1410018125000001</v>
      </c>
      <c r="U47" s="124">
        <f>I47*T47</f>
        <v>308.07048937500002</v>
      </c>
      <c r="V47" s="123">
        <f>((T47*I47)-W47)*7.5%</f>
        <v>20.794758032812503</v>
      </c>
      <c r="W47" s="124">
        <f>S47*I47*10%</f>
        <v>30.807048937500003</v>
      </c>
      <c r="X47" s="127"/>
    </row>
    <row r="48" spans="1:25">
      <c r="A48" s="118">
        <v>46253</v>
      </c>
      <c r="B48" s="118">
        <v>46256</v>
      </c>
      <c r="C48" s="119"/>
      <c r="D48" s="118" t="s">
        <v>149</v>
      </c>
      <c r="E48" s="118" t="s">
        <v>149</v>
      </c>
      <c r="F48" s="118" t="s">
        <v>126</v>
      </c>
      <c r="G48" s="119" t="s">
        <v>150</v>
      </c>
      <c r="H48" s="119">
        <v>7137849</v>
      </c>
      <c r="I48" s="119">
        <v>445</v>
      </c>
      <c r="J48" s="119" t="s">
        <v>121</v>
      </c>
      <c r="K48" s="119" t="s">
        <v>68</v>
      </c>
      <c r="L48" s="119" t="s">
        <v>109</v>
      </c>
      <c r="M48" s="51">
        <v>930</v>
      </c>
      <c r="N48" s="51">
        <v>500</v>
      </c>
      <c r="O48" s="51">
        <v>100</v>
      </c>
      <c r="P48" s="51">
        <f>IFERROR(IF(K48="",0,(M48+N48)*2+15),0)</f>
        <v>2875</v>
      </c>
      <c r="Q48" s="51">
        <f>IFERROR(IF(K48="",0,(N48+O48)-10),0)</f>
        <v>590</v>
      </c>
      <c r="R48" s="53">
        <f xml:space="preserve"> P48 * Q48 * (1 + 2.5%) / 1000000</f>
        <v>1.7386562499999998</v>
      </c>
      <c r="S48" s="125">
        <f>R48*'RFQ_Matalan Carton'!$M$32</f>
        <v>1.7908159374999999</v>
      </c>
      <c r="T48" s="124">
        <f>S48</f>
        <v>1.7908159374999999</v>
      </c>
      <c r="U48" s="124">
        <f>I48*T48</f>
        <v>796.91309218749996</v>
      </c>
      <c r="V48" s="123">
        <f>((T48*I48)-W48)*7.5%</f>
        <v>53.791633722656243</v>
      </c>
      <c r="W48" s="124">
        <f>S48*I48*10%</f>
        <v>79.691309218750007</v>
      </c>
      <c r="X48" s="127"/>
    </row>
    <row r="49" spans="1:24">
      <c r="A49" s="118">
        <v>46253</v>
      </c>
      <c r="B49" s="118">
        <v>46256</v>
      </c>
      <c r="C49" s="119"/>
      <c r="D49" s="118" t="s">
        <v>200</v>
      </c>
      <c r="E49" s="118" t="s">
        <v>218</v>
      </c>
      <c r="F49" s="118" t="s">
        <v>126</v>
      </c>
      <c r="G49" s="119" t="s">
        <v>235</v>
      </c>
      <c r="H49" s="119">
        <v>7138009</v>
      </c>
      <c r="I49" s="119">
        <v>237</v>
      </c>
      <c r="J49" s="119" t="s">
        <v>121</v>
      </c>
      <c r="K49" s="119" t="s">
        <v>68</v>
      </c>
      <c r="L49" s="119" t="s">
        <v>109</v>
      </c>
      <c r="M49" s="51">
        <v>400</v>
      </c>
      <c r="N49" s="51">
        <v>300</v>
      </c>
      <c r="O49" s="51">
        <v>100</v>
      </c>
      <c r="P49" s="51">
        <f>IFERROR(IF(K49="",0,(M49+N49)*2+15),0)</f>
        <v>1415</v>
      </c>
      <c r="Q49" s="51">
        <f>IFERROR(IF(K49="",0,(N49+O49)-10),0)</f>
        <v>390</v>
      </c>
      <c r="R49" s="53">
        <f xml:space="preserve"> P49 * Q49 * (1 + 2.5%) / 1000000</f>
        <v>0.56564625000000002</v>
      </c>
      <c r="S49" s="125">
        <f>R49*'RFQ_Matalan Carton'!$M$32</f>
        <v>0.58261563750000001</v>
      </c>
      <c r="T49" s="124">
        <f>S49</f>
        <v>0.58261563750000001</v>
      </c>
      <c r="U49" s="124">
        <f>I49*T49</f>
        <v>138.07990608750001</v>
      </c>
      <c r="V49" s="123">
        <f>((T49*I49)-W49)*7.5%</f>
        <v>9.3203936609062499</v>
      </c>
      <c r="W49" s="124">
        <f>S49*I49*10%</f>
        <v>13.807990608750002</v>
      </c>
      <c r="X49" s="127"/>
    </row>
    <row r="50" spans="1:24">
      <c r="A50" s="118">
        <v>46253</v>
      </c>
      <c r="B50" s="118">
        <v>46256</v>
      </c>
      <c r="C50" s="119"/>
      <c r="D50" s="118" t="s">
        <v>200</v>
      </c>
      <c r="E50" s="118" t="s">
        <v>218</v>
      </c>
      <c r="F50" s="118" t="s">
        <v>126</v>
      </c>
      <c r="G50" s="119" t="s">
        <v>235</v>
      </c>
      <c r="H50" s="119">
        <v>7138009</v>
      </c>
      <c r="I50" s="119">
        <v>237</v>
      </c>
      <c r="J50" s="119" t="s">
        <v>121</v>
      </c>
      <c r="K50" s="119" t="s">
        <v>68</v>
      </c>
      <c r="L50" s="119" t="s">
        <v>109</v>
      </c>
      <c r="M50" s="51">
        <v>400</v>
      </c>
      <c r="N50" s="51">
        <v>350</v>
      </c>
      <c r="O50" s="51">
        <v>100</v>
      </c>
      <c r="P50" s="51">
        <f>IFERROR(IF(K50="",0,(M50+N50)*2+15),0)</f>
        <v>1515</v>
      </c>
      <c r="Q50" s="51">
        <f>IFERROR(IF(K50="",0,(N50+O50)-10),0)</f>
        <v>440</v>
      </c>
      <c r="R50" s="53">
        <f xml:space="preserve"> P50 * Q50 * (1 + 2.5%) / 1000000</f>
        <v>0.6832649999999999</v>
      </c>
      <c r="S50" s="125">
        <f>R50*'RFQ_Matalan Carton'!$M$32</f>
        <v>0.70376294999999989</v>
      </c>
      <c r="T50" s="124">
        <f>S50</f>
        <v>0.70376294999999989</v>
      </c>
      <c r="U50" s="124">
        <f>I50*T50</f>
        <v>166.79181914999998</v>
      </c>
      <c r="V50" s="123">
        <f>((T50*I50)-W50)*7.5%</f>
        <v>11.258447792624999</v>
      </c>
      <c r="W50" s="124">
        <f>S50*I50*10%</f>
        <v>16.679181914999997</v>
      </c>
      <c r="X50" s="127"/>
    </row>
    <row r="51" spans="1:24">
      <c r="A51" s="118">
        <v>46253</v>
      </c>
      <c r="B51" s="118">
        <v>46256</v>
      </c>
      <c r="C51" s="119"/>
      <c r="D51" s="118" t="s">
        <v>200</v>
      </c>
      <c r="E51" s="118" t="s">
        <v>218</v>
      </c>
      <c r="F51" s="118" t="s">
        <v>126</v>
      </c>
      <c r="G51" s="119" t="s">
        <v>235</v>
      </c>
      <c r="H51" s="119">
        <v>7138009</v>
      </c>
      <c r="I51" s="119">
        <v>237</v>
      </c>
      <c r="J51" s="119" t="s">
        <v>121</v>
      </c>
      <c r="K51" s="119" t="s">
        <v>68</v>
      </c>
      <c r="L51" s="119" t="s">
        <v>109</v>
      </c>
      <c r="M51" s="51">
        <v>450</v>
      </c>
      <c r="N51" s="51">
        <v>400</v>
      </c>
      <c r="O51" s="51">
        <v>100</v>
      </c>
      <c r="P51" s="51">
        <f>IFERROR(IF(K51="",0,(M51+N51)*2+15),0)</f>
        <v>1715</v>
      </c>
      <c r="Q51" s="51">
        <f>IFERROR(IF(K51="",0,(N51+O51)-10),0)</f>
        <v>490</v>
      </c>
      <c r="R51" s="53">
        <f xml:space="preserve"> P51 * Q51 * (1 + 2.5%) / 1000000</f>
        <v>0.86135874999999984</v>
      </c>
      <c r="S51" s="125">
        <f>R51*'RFQ_Matalan Carton'!$M$32</f>
        <v>0.88719951249999984</v>
      </c>
      <c r="T51" s="124">
        <f>S51</f>
        <v>0.88719951249999984</v>
      </c>
      <c r="U51" s="124">
        <f>I51*T51</f>
        <v>210.26628446249995</v>
      </c>
      <c r="V51" s="123">
        <f>((T51*I51)-W51)*7.5%</f>
        <v>14.192974201218748</v>
      </c>
      <c r="W51" s="124">
        <f>S51*I51*10%</f>
        <v>21.026628446249997</v>
      </c>
      <c r="X51" s="127"/>
    </row>
    <row r="52" spans="1:24">
      <c r="A52" s="118">
        <v>46256</v>
      </c>
      <c r="B52" s="118">
        <v>46260</v>
      </c>
      <c r="C52" s="119"/>
      <c r="D52" s="118" t="s">
        <v>193</v>
      </c>
      <c r="E52" s="118" t="s">
        <v>194</v>
      </c>
      <c r="F52" s="118" t="s">
        <v>126</v>
      </c>
      <c r="G52" s="119" t="s">
        <v>196</v>
      </c>
      <c r="H52" s="119">
        <v>7139598</v>
      </c>
      <c r="I52" s="119">
        <v>240</v>
      </c>
      <c r="J52" s="119" t="s">
        <v>121</v>
      </c>
      <c r="K52" s="119" t="s">
        <v>68</v>
      </c>
      <c r="L52" s="119" t="s">
        <v>109</v>
      </c>
      <c r="M52" s="51">
        <v>300</v>
      </c>
      <c r="N52" s="51">
        <v>200</v>
      </c>
      <c r="O52" s="51">
        <v>100</v>
      </c>
      <c r="P52" s="51">
        <f>IFERROR(IF(K52="",0,(M52+N52)*2+15),0)</f>
        <v>1015</v>
      </c>
      <c r="Q52" s="51">
        <f>IFERROR(IF(K52="",0,(N52+O52)-10),0)</f>
        <v>290</v>
      </c>
      <c r="R52" s="53">
        <f xml:space="preserve"> P52 * Q52 * (1 + 2.5%) / 1000000</f>
        <v>0.30170875000000003</v>
      </c>
      <c r="S52" s="125">
        <f>R52*'RFQ_Matalan Carton'!$M$32</f>
        <v>0.31076001250000002</v>
      </c>
      <c r="T52" s="124">
        <f>S52</f>
        <v>0.31076001250000002</v>
      </c>
      <c r="U52" s="124">
        <f>I52*T52</f>
        <v>74.582402999999999</v>
      </c>
      <c r="V52" s="123">
        <f>((T52*I52)-W52)*7.5%</f>
        <v>5.0343122024999998</v>
      </c>
      <c r="W52" s="124">
        <f>S52*I52*10%</f>
        <v>7.4582402999999999</v>
      </c>
      <c r="X52" s="127"/>
    </row>
    <row r="53" spans="1:24">
      <c r="A53" s="118">
        <v>46256</v>
      </c>
      <c r="B53" s="118">
        <v>46260</v>
      </c>
      <c r="C53" s="119"/>
      <c r="D53" s="118" t="s">
        <v>193</v>
      </c>
      <c r="E53" s="118" t="s">
        <v>194</v>
      </c>
      <c r="F53" s="118" t="s">
        <v>126</v>
      </c>
      <c r="G53" s="119" t="s">
        <v>196</v>
      </c>
      <c r="H53" s="119">
        <v>7139598</v>
      </c>
      <c r="I53" s="119">
        <v>240</v>
      </c>
      <c r="J53" s="119" t="s">
        <v>121</v>
      </c>
      <c r="K53" s="119" t="s">
        <v>68</v>
      </c>
      <c r="L53" s="119" t="s">
        <v>109</v>
      </c>
      <c r="M53" s="51">
        <v>300</v>
      </c>
      <c r="N53" s="51">
        <v>280</v>
      </c>
      <c r="O53" s="51">
        <v>100</v>
      </c>
      <c r="P53" s="51">
        <f>IFERROR(IF(K53="",0,(M53+N53)*2+15),0)</f>
        <v>1175</v>
      </c>
      <c r="Q53" s="51">
        <f>IFERROR(IF(K53="",0,(N53+O53)-10),0)</f>
        <v>370</v>
      </c>
      <c r="R53" s="53">
        <f xml:space="preserve"> P53 * Q53 * (1 + 2.5%) / 1000000</f>
        <v>0.44561874999999995</v>
      </c>
      <c r="S53" s="125">
        <f>R53*'RFQ_Matalan Carton'!$M$32</f>
        <v>0.45898731249999997</v>
      </c>
      <c r="T53" s="124">
        <f>S53</f>
        <v>0.45898731249999997</v>
      </c>
      <c r="U53" s="124">
        <f>I53*T53</f>
        <v>110.156955</v>
      </c>
      <c r="V53" s="123">
        <f>((T53*I53)-W53)*7.5%</f>
        <v>7.4355944624999992</v>
      </c>
      <c r="W53" s="124">
        <f>S53*I53*10%</f>
        <v>11.0156955</v>
      </c>
      <c r="X53" s="127"/>
    </row>
    <row r="54" spans="1:24">
      <c r="A54" s="118">
        <v>46256</v>
      </c>
      <c r="B54" s="118">
        <v>46258</v>
      </c>
      <c r="C54" s="119"/>
      <c r="D54" s="118" t="s">
        <v>159</v>
      </c>
      <c r="E54" s="118" t="s">
        <v>159</v>
      </c>
      <c r="F54" s="118" t="s">
        <v>126</v>
      </c>
      <c r="G54" s="119" t="s">
        <v>169</v>
      </c>
      <c r="H54" s="119">
        <v>7140093</v>
      </c>
      <c r="I54" s="119">
        <v>80</v>
      </c>
      <c r="J54" s="119" t="s">
        <v>121</v>
      </c>
      <c r="K54" s="119" t="s">
        <v>68</v>
      </c>
      <c r="L54" s="119" t="s">
        <v>141</v>
      </c>
      <c r="M54" s="51" cm="1">
        <f t="array" ref="M54">IFERROR(_xlfn.SWITCH(L54,"R-FPA",495,"R-FPB",595,"R-FPC",595,"R-FPD",595,"Custom Carton","input L"),0)</f>
        <v>595</v>
      </c>
      <c r="N54" s="51" cm="1">
        <f t="array" ref="N54">IFERROR(_xlfn.SWITCH(L54,"R-FPA",285,"R-FPB",285,"R-FPC",325,"R-FPD",380,"Custom Carton","input W"),0)</f>
        <v>380</v>
      </c>
      <c r="O54" s="51">
        <v>100</v>
      </c>
      <c r="P54" s="51">
        <f>IFERROR(IF(K54="",0,(M54+N54)*2+15),0)</f>
        <v>1965</v>
      </c>
      <c r="Q54" s="51">
        <f>IFERROR(IF(K54="",0,(N54+O54)-10),0)</f>
        <v>470</v>
      </c>
      <c r="R54" s="53">
        <f xml:space="preserve"> P54 * Q54 * (1 + 2.5%) / 1000000</f>
        <v>0.94663874999999986</v>
      </c>
      <c r="S54" s="125">
        <f>R54*'RFQ_Matalan Carton'!$M$32</f>
        <v>0.97503791249999994</v>
      </c>
      <c r="T54" s="124">
        <f>S54</f>
        <v>0.97503791249999994</v>
      </c>
      <c r="U54" s="124">
        <f>I54*T54</f>
        <v>78.003032999999988</v>
      </c>
      <c r="V54" s="123">
        <f>((T54*I54)-W54)*7.5%</f>
        <v>5.2652047274999996</v>
      </c>
      <c r="W54" s="124">
        <f>S54*I54*10%</f>
        <v>7.8003032999999995</v>
      </c>
      <c r="X54" s="127"/>
    </row>
    <row r="55" spans="1:24">
      <c r="A55" s="118">
        <v>46256</v>
      </c>
      <c r="B55" s="118">
        <v>46258</v>
      </c>
      <c r="C55" s="119"/>
      <c r="D55" s="118" t="s">
        <v>159</v>
      </c>
      <c r="E55" s="118" t="s">
        <v>159</v>
      </c>
      <c r="F55" s="118" t="s">
        <v>126</v>
      </c>
      <c r="G55" s="119" t="s">
        <v>169</v>
      </c>
      <c r="H55" s="119">
        <v>7140093</v>
      </c>
      <c r="I55" s="119">
        <v>80</v>
      </c>
      <c r="J55" s="119" t="s">
        <v>121</v>
      </c>
      <c r="K55" s="119" t="s">
        <v>68</v>
      </c>
      <c r="L55" s="119" t="s">
        <v>141</v>
      </c>
      <c r="M55" s="51" cm="1">
        <f t="array" ref="M55">IFERROR(_xlfn.SWITCH(L55,"R-FPA",495,"R-FPB",595,"R-FPC",595,"R-FPD",595,"Custom Carton","input L"),0)</f>
        <v>595</v>
      </c>
      <c r="N55" s="51" cm="1">
        <f t="array" ref="N55">IFERROR(_xlfn.SWITCH(L55,"R-FPA",285,"R-FPB",285,"R-FPC",325,"R-FPD",380,"Custom Carton","input W"),0)</f>
        <v>380</v>
      </c>
      <c r="O55" s="51">
        <v>220</v>
      </c>
      <c r="P55" s="51">
        <f>IFERROR(IF(K55="",0,(M55+N55)*2+15),0)</f>
        <v>1965</v>
      </c>
      <c r="Q55" s="51">
        <f>IFERROR(IF(K55="",0,(N55+O55)-10),0)</f>
        <v>590</v>
      </c>
      <c r="R55" s="53">
        <f xml:space="preserve"> P55 * Q55 * (1 + 2.5%) / 1000000</f>
        <v>1.18833375</v>
      </c>
      <c r="S55" s="125">
        <f>R55*'RFQ_Matalan Carton'!$M$32</f>
        <v>1.2239837625000001</v>
      </c>
      <c r="T55" s="124">
        <f>S55</f>
        <v>1.2239837625000001</v>
      </c>
      <c r="U55" s="124">
        <f>I55*T55</f>
        <v>97.918700999999999</v>
      </c>
      <c r="V55" s="123">
        <f>((T55*I55)-W55)*7.5%</f>
        <v>6.6095123175000001</v>
      </c>
      <c r="W55" s="124">
        <f>S55*I55*10%</f>
        <v>9.7918701000000006</v>
      </c>
      <c r="X55" s="127"/>
    </row>
    <row r="56" spans="1:24">
      <c r="A56" s="118">
        <v>46256</v>
      </c>
      <c r="B56" s="118">
        <v>46258</v>
      </c>
      <c r="C56" s="119"/>
      <c r="D56" s="118" t="s">
        <v>159</v>
      </c>
      <c r="E56" s="118" t="s">
        <v>159</v>
      </c>
      <c r="F56" s="118" t="s">
        <v>126</v>
      </c>
      <c r="G56" s="119" t="s">
        <v>170</v>
      </c>
      <c r="H56" s="121">
        <v>7140107</v>
      </c>
      <c r="I56" s="119">
        <v>504</v>
      </c>
      <c r="J56" s="119" t="s">
        <v>121</v>
      </c>
      <c r="K56" s="119" t="s">
        <v>68</v>
      </c>
      <c r="L56" s="119" t="s">
        <v>130</v>
      </c>
      <c r="M56" s="51" cm="1">
        <f t="array" ref="M56">IFERROR(_xlfn.SWITCH(L56,"R-FPA",495,"R-FPB",595,"R-FPC",595,"R-FPD",595,"Custom Carton","input L"),0)</f>
        <v>595</v>
      </c>
      <c r="N56" s="51" cm="1">
        <f t="array" ref="N56">IFERROR(_xlfn.SWITCH(L56,"R-FPA",285,"R-FPB",285,"R-FPC",325,"R-FPD",380,"Custom Carton","input W"),0)</f>
        <v>325</v>
      </c>
      <c r="O56" s="51">
        <v>100</v>
      </c>
      <c r="P56" s="51">
        <f>IFERROR(IF(K56="",0,(M56+N56)*2+15),0)</f>
        <v>1855</v>
      </c>
      <c r="Q56" s="51">
        <f>IFERROR(IF(K56="",0,(N56+O56)-10),0)</f>
        <v>415</v>
      </c>
      <c r="R56" s="53">
        <f xml:space="preserve"> P56 * Q56 * (1 + 2.5%) / 1000000</f>
        <v>0.78907062499999991</v>
      </c>
      <c r="S56" s="125">
        <f>R56*'RFQ_Matalan Carton'!$M$32</f>
        <v>0.81274274374999989</v>
      </c>
      <c r="T56" s="124">
        <f>S56</f>
        <v>0.81274274374999989</v>
      </c>
      <c r="U56" s="124">
        <f>I56*T56</f>
        <v>409.62234284999994</v>
      </c>
      <c r="V56" s="123">
        <f>((T56*I56)-W56)*7.5%</f>
        <v>27.649508142374998</v>
      </c>
      <c r="W56" s="124">
        <f>S56*I56*10%</f>
        <v>40.962234284999994</v>
      </c>
      <c r="X56" s="127"/>
    </row>
    <row r="57" spans="1:24">
      <c r="A57" s="118">
        <v>46256</v>
      </c>
      <c r="B57" s="118">
        <v>46258</v>
      </c>
      <c r="C57" s="119"/>
      <c r="D57" s="118" t="s">
        <v>159</v>
      </c>
      <c r="E57" s="118" t="s">
        <v>159</v>
      </c>
      <c r="F57" s="118" t="s">
        <v>126</v>
      </c>
      <c r="G57" s="119" t="s">
        <v>170</v>
      </c>
      <c r="H57" s="121">
        <v>7140107</v>
      </c>
      <c r="I57" s="119">
        <v>510</v>
      </c>
      <c r="J57" s="119" t="s">
        <v>121</v>
      </c>
      <c r="K57" s="119" t="s">
        <v>68</v>
      </c>
      <c r="L57" s="119" t="s">
        <v>141</v>
      </c>
      <c r="M57" s="51" cm="1">
        <f t="array" ref="M57">IFERROR(_xlfn.SWITCH(L57,"R-FPA",495,"R-FPB",595,"R-FPC",595,"R-FPD",595,"Custom Carton","input L"),0)</f>
        <v>595</v>
      </c>
      <c r="N57" s="51" cm="1">
        <f t="array" ref="N57">IFERROR(_xlfn.SWITCH(L57,"R-FPA",285,"R-FPB",285,"R-FPC",325,"R-FPD",380,"Custom Carton","input W"),0)</f>
        <v>380</v>
      </c>
      <c r="O57" s="51">
        <v>220</v>
      </c>
      <c r="P57" s="51">
        <f>IFERROR(IF(K57="",0,(M57+N57)*2+15),0)</f>
        <v>1965</v>
      </c>
      <c r="Q57" s="51">
        <f>IFERROR(IF(K57="",0,(N57+O57)-10),0)</f>
        <v>590</v>
      </c>
      <c r="R57" s="53">
        <f xml:space="preserve"> P57 * Q57 * (1 + 2.5%) / 1000000</f>
        <v>1.18833375</v>
      </c>
      <c r="S57" s="125">
        <f>R57*'RFQ_Matalan Carton'!$M$32</f>
        <v>1.2239837625000001</v>
      </c>
      <c r="T57" s="124">
        <f>S57</f>
        <v>1.2239837625000001</v>
      </c>
      <c r="U57" s="124">
        <f>I57*T57</f>
        <v>624.23171887500007</v>
      </c>
      <c r="V57" s="123">
        <f>((T57*I57)-W57)*7.5%</f>
        <v>42.135641024062508</v>
      </c>
      <c r="W57" s="124">
        <f>S57*I57*10%</f>
        <v>62.423171887500011</v>
      </c>
      <c r="X57" s="127"/>
    </row>
    <row r="58" spans="1:24">
      <c r="A58" s="118">
        <v>46256</v>
      </c>
      <c r="B58" s="118">
        <v>46264</v>
      </c>
      <c r="C58" s="119"/>
      <c r="D58" s="118" t="s">
        <v>131</v>
      </c>
      <c r="E58" s="118" t="s">
        <v>132</v>
      </c>
      <c r="F58" s="118" t="s">
        <v>126</v>
      </c>
      <c r="G58" s="119" t="s">
        <v>142</v>
      </c>
      <c r="H58" s="119">
        <v>7141433</v>
      </c>
      <c r="I58" s="119">
        <v>63</v>
      </c>
      <c r="J58" s="119" t="s">
        <v>121</v>
      </c>
      <c r="K58" s="119" t="s">
        <v>68</v>
      </c>
      <c r="L58" s="119" t="s">
        <v>141</v>
      </c>
      <c r="M58" s="51" cm="1">
        <f t="array" ref="M58">IFERROR(_xlfn.SWITCH(L58,"R-FPA",495,"R-FPB",595,"R-FPC",595,"R-FPD",595,"Custom Carton","input L"),0)</f>
        <v>595</v>
      </c>
      <c r="N58" s="51" cm="1">
        <f t="array" ref="N58">IFERROR(_xlfn.SWITCH(L58,"R-FPA",285,"R-FPB",285,"R-FPC",325,"R-FPD",380,"Custom Carton","input W"),0)</f>
        <v>380</v>
      </c>
      <c r="O58" s="51">
        <v>385</v>
      </c>
      <c r="P58" s="51">
        <f>IFERROR(IF(K58="",0,(M58+N58)*2+15),0)</f>
        <v>1965</v>
      </c>
      <c r="Q58" s="51">
        <f>IFERROR(IF(K58="",0,(N58+O58)-10),0)</f>
        <v>755</v>
      </c>
      <c r="R58" s="53">
        <f xml:space="preserve"> P58 * Q58 * (1 + 2.5%) / 1000000</f>
        <v>1.5206643749999997</v>
      </c>
      <c r="S58" s="125">
        <f>R58*'RFQ_Matalan Carton'!$M$32</f>
        <v>1.5662843062499998</v>
      </c>
      <c r="T58" s="124">
        <f>S58</f>
        <v>1.5662843062499998</v>
      </c>
      <c r="U58" s="124">
        <f>I58*T58</f>
        <v>98.675911293749991</v>
      </c>
      <c r="V58" s="123">
        <f>((T58*I58)-W58)*7.5%</f>
        <v>6.6606240123281237</v>
      </c>
      <c r="W58" s="124">
        <f>S58*I58*10%</f>
        <v>9.8675911293750005</v>
      </c>
      <c r="X58" s="127"/>
    </row>
    <row r="59" spans="1:24">
      <c r="A59" s="118">
        <v>46257</v>
      </c>
      <c r="B59" s="118">
        <v>46259</v>
      </c>
      <c r="C59" s="119"/>
      <c r="D59" s="118" t="s">
        <v>200</v>
      </c>
      <c r="E59" s="118" t="s">
        <v>218</v>
      </c>
      <c r="F59" s="118" t="s">
        <v>126</v>
      </c>
      <c r="G59" s="119" t="s">
        <v>236</v>
      </c>
      <c r="H59" s="119">
        <v>7141457</v>
      </c>
      <c r="I59" s="119">
        <v>115</v>
      </c>
      <c r="J59" s="119" t="s">
        <v>121</v>
      </c>
      <c r="K59" s="119" t="s">
        <v>68</v>
      </c>
      <c r="L59" s="119" t="s">
        <v>109</v>
      </c>
      <c r="M59" s="51">
        <v>300</v>
      </c>
      <c r="N59" s="51">
        <v>280</v>
      </c>
      <c r="O59" s="51">
        <v>120</v>
      </c>
      <c r="P59" s="51">
        <f>IFERROR(IF(K59="",0,(M59+N59)*2+15),0)</f>
        <v>1175</v>
      </c>
      <c r="Q59" s="51">
        <f>IFERROR(IF(K59="",0,(N59+O59)-10),0)</f>
        <v>390</v>
      </c>
      <c r="R59" s="53">
        <f xml:space="preserve"> P59 * Q59 * (1 + 2.5%) / 1000000</f>
        <v>0.46970624999999994</v>
      </c>
      <c r="S59" s="125">
        <f>R59*'RFQ_Matalan Carton'!$M$32</f>
        <v>0.48379743749999993</v>
      </c>
      <c r="T59" s="124">
        <f>S59</f>
        <v>0.48379743749999993</v>
      </c>
      <c r="U59" s="124">
        <f>I59*T59</f>
        <v>55.636705312499991</v>
      </c>
      <c r="V59" s="123">
        <f>((T59*I59)-W59)*7.5%</f>
        <v>3.7554776085937496</v>
      </c>
      <c r="W59" s="124">
        <f>S59*I59*10%</f>
        <v>5.5636705312499997</v>
      </c>
      <c r="X59" s="127"/>
    </row>
    <row r="60" spans="1:24">
      <c r="A60" s="118">
        <v>46257</v>
      </c>
      <c r="B60" s="118">
        <v>46259</v>
      </c>
      <c r="C60" s="119"/>
      <c r="D60" s="118" t="s">
        <v>200</v>
      </c>
      <c r="E60" s="118" t="s">
        <v>218</v>
      </c>
      <c r="F60" s="118" t="s">
        <v>126</v>
      </c>
      <c r="G60" s="119" t="s">
        <v>236</v>
      </c>
      <c r="H60" s="119">
        <v>7141457</v>
      </c>
      <c r="I60" s="119">
        <v>117</v>
      </c>
      <c r="J60" s="119" t="s">
        <v>121</v>
      </c>
      <c r="K60" s="119" t="s">
        <v>68</v>
      </c>
      <c r="L60" s="119" t="s">
        <v>109</v>
      </c>
      <c r="M60" s="51">
        <v>540</v>
      </c>
      <c r="N60" s="51">
        <v>280</v>
      </c>
      <c r="O60" s="51">
        <v>180</v>
      </c>
      <c r="P60" s="51">
        <f>IFERROR(IF(K60="",0,(M60+N60)*2+15),0)</f>
        <v>1655</v>
      </c>
      <c r="Q60" s="51">
        <f>IFERROR(IF(K60="",0,(N60+O60)-10),0)</f>
        <v>450</v>
      </c>
      <c r="R60" s="53">
        <f xml:space="preserve"> P60 * Q60 * (1 + 2.5%) / 1000000</f>
        <v>0.76336874999999993</v>
      </c>
      <c r="S60" s="125">
        <f>R60*'RFQ_Matalan Carton'!$M$32</f>
        <v>0.78626981249999994</v>
      </c>
      <c r="T60" s="124">
        <f>S60</f>
        <v>0.78626981249999994</v>
      </c>
      <c r="U60" s="124">
        <f>I60*T60</f>
        <v>91.993568062499989</v>
      </c>
      <c r="V60" s="123">
        <f>((T60*I60)-W60)*7.5%</f>
        <v>6.2095658442187496</v>
      </c>
      <c r="W60" s="124">
        <f>S60*I60*10%</f>
        <v>9.19935680625</v>
      </c>
      <c r="X60" s="127"/>
    </row>
    <row r="61" spans="1:24">
      <c r="A61" s="118">
        <v>46257</v>
      </c>
      <c r="B61" s="118">
        <v>46259</v>
      </c>
      <c r="C61" s="119"/>
      <c r="D61" s="118" t="s">
        <v>200</v>
      </c>
      <c r="E61" s="118" t="s">
        <v>218</v>
      </c>
      <c r="F61" s="118" t="s">
        <v>126</v>
      </c>
      <c r="G61" s="119" t="s">
        <v>219</v>
      </c>
      <c r="H61" s="119">
        <v>7141460</v>
      </c>
      <c r="I61" s="119">
        <v>234</v>
      </c>
      <c r="J61" s="119" t="s">
        <v>121</v>
      </c>
      <c r="K61" s="119" t="s">
        <v>68</v>
      </c>
      <c r="L61" s="119" t="s">
        <v>109</v>
      </c>
      <c r="M61" s="51">
        <v>400</v>
      </c>
      <c r="N61" s="51">
        <v>350</v>
      </c>
      <c r="O61" s="51">
        <v>100</v>
      </c>
      <c r="P61" s="51">
        <f>IFERROR(IF(K61="",0,(M61+N61)*2+15),0)</f>
        <v>1515</v>
      </c>
      <c r="Q61" s="51">
        <f>IFERROR(IF(K61="",0,(N61+O61)-10),0)</f>
        <v>440</v>
      </c>
      <c r="R61" s="53">
        <f xml:space="preserve"> P61 * Q61 * (1 + 2.5%) / 1000000</f>
        <v>0.6832649999999999</v>
      </c>
      <c r="S61" s="125">
        <f>R61*'RFQ_Matalan Carton'!$M$32</f>
        <v>0.70376294999999989</v>
      </c>
      <c r="T61" s="124">
        <f>S61</f>
        <v>0.70376294999999989</v>
      </c>
      <c r="U61" s="124">
        <f>I61*T61</f>
        <v>164.68053029999999</v>
      </c>
      <c r="V61" s="123">
        <f>((T61*I61)-W61)*7.5%</f>
        <v>11.11593579525</v>
      </c>
      <c r="W61" s="124">
        <f>S61*I61*10%</f>
        <v>16.46805303</v>
      </c>
      <c r="X61" s="127"/>
    </row>
    <row r="62" spans="1:24">
      <c r="A62" s="118">
        <v>46257</v>
      </c>
      <c r="B62" s="118">
        <v>46259</v>
      </c>
      <c r="C62" s="119"/>
      <c r="D62" s="118" t="s">
        <v>200</v>
      </c>
      <c r="E62" s="118" t="s">
        <v>218</v>
      </c>
      <c r="F62" s="118" t="s">
        <v>126</v>
      </c>
      <c r="G62" s="119" t="s">
        <v>219</v>
      </c>
      <c r="H62" s="119">
        <v>7141460</v>
      </c>
      <c r="I62" s="119">
        <v>236</v>
      </c>
      <c r="J62" s="119" t="s">
        <v>121</v>
      </c>
      <c r="K62" s="119" t="s">
        <v>68</v>
      </c>
      <c r="L62" s="119" t="s">
        <v>109</v>
      </c>
      <c r="M62" s="51">
        <v>450</v>
      </c>
      <c r="N62" s="51">
        <v>400</v>
      </c>
      <c r="O62" s="51">
        <v>150</v>
      </c>
      <c r="P62" s="51">
        <f>IFERROR(IF(K62="",0,(M62+N62)*2+15),0)</f>
        <v>1715</v>
      </c>
      <c r="Q62" s="51">
        <f>IFERROR(IF(K62="",0,(N62+O62)-10),0)</f>
        <v>540</v>
      </c>
      <c r="R62" s="53">
        <f xml:space="preserve"> P62 * Q62 * (1 + 2.5%) / 1000000</f>
        <v>0.94925249999999983</v>
      </c>
      <c r="S62" s="125">
        <f>R62*'RFQ_Matalan Carton'!$M$32</f>
        <v>0.97773007499999987</v>
      </c>
      <c r="T62" s="124">
        <f>S62</f>
        <v>0.97773007499999987</v>
      </c>
      <c r="U62" s="124">
        <f>I62*T62</f>
        <v>230.74429769999998</v>
      </c>
      <c r="V62" s="123">
        <f>((T62*I62)-W62)*7.5%</f>
        <v>15.575240094749997</v>
      </c>
      <c r="W62" s="124">
        <f>S62*I62*10%</f>
        <v>23.074429769999998</v>
      </c>
      <c r="X62" s="127"/>
    </row>
    <row r="63" spans="1:24">
      <c r="A63" s="118">
        <v>46257</v>
      </c>
      <c r="B63" s="118">
        <v>46259</v>
      </c>
      <c r="C63" s="119"/>
      <c r="D63" s="118" t="s">
        <v>200</v>
      </c>
      <c r="E63" s="118" t="s">
        <v>218</v>
      </c>
      <c r="F63" s="118" t="s">
        <v>126</v>
      </c>
      <c r="G63" s="119" t="s">
        <v>237</v>
      </c>
      <c r="H63" s="119">
        <v>7141463</v>
      </c>
      <c r="I63" s="119">
        <v>234</v>
      </c>
      <c r="J63" s="119" t="s">
        <v>121</v>
      </c>
      <c r="K63" s="119" t="s">
        <v>68</v>
      </c>
      <c r="L63" s="119" t="s">
        <v>109</v>
      </c>
      <c r="M63" s="51">
        <v>380</v>
      </c>
      <c r="N63" s="51">
        <v>320</v>
      </c>
      <c r="O63" s="51">
        <v>100</v>
      </c>
      <c r="P63" s="51">
        <f>IFERROR(IF(K63="",0,(M63+N63)*2+15),0)</f>
        <v>1415</v>
      </c>
      <c r="Q63" s="51">
        <f>IFERROR(IF(K63="",0,(N63+O63)-10),0)</f>
        <v>410</v>
      </c>
      <c r="R63" s="53">
        <f xml:space="preserve"> P63 * Q63 * (1 + 2.5%) / 1000000</f>
        <v>0.59465374999999998</v>
      </c>
      <c r="S63" s="125">
        <f>R63*'RFQ_Matalan Carton'!$M$32</f>
        <v>0.61249336249999997</v>
      </c>
      <c r="T63" s="124">
        <f>S63</f>
        <v>0.61249336249999997</v>
      </c>
      <c r="U63" s="124">
        <f>I63*T63</f>
        <v>143.32344682499999</v>
      </c>
      <c r="V63" s="123">
        <f>((T63*I63)-W63)*7.5%</f>
        <v>9.6743326606874991</v>
      </c>
      <c r="W63" s="124">
        <f>S63*I63*10%</f>
        <v>14.3323446825</v>
      </c>
      <c r="X63" s="127"/>
    </row>
    <row r="64" spans="1:24">
      <c r="A64" s="118">
        <v>46257</v>
      </c>
      <c r="B64" s="118">
        <v>46259</v>
      </c>
      <c r="C64" s="119"/>
      <c r="D64" s="118" t="s">
        <v>200</v>
      </c>
      <c r="E64" s="118" t="s">
        <v>218</v>
      </c>
      <c r="F64" s="118" t="s">
        <v>126</v>
      </c>
      <c r="G64" s="119" t="s">
        <v>237</v>
      </c>
      <c r="H64" s="119">
        <v>7141463</v>
      </c>
      <c r="I64" s="119">
        <v>236</v>
      </c>
      <c r="J64" s="119" t="s">
        <v>121</v>
      </c>
      <c r="K64" s="119" t="s">
        <v>68</v>
      </c>
      <c r="L64" s="119" t="s">
        <v>109</v>
      </c>
      <c r="M64" s="51">
        <v>450</v>
      </c>
      <c r="N64" s="51">
        <v>380</v>
      </c>
      <c r="O64" s="51">
        <v>120</v>
      </c>
      <c r="P64" s="51">
        <f>IFERROR(IF(K64="",0,(M64+N64)*2+15),0)</f>
        <v>1675</v>
      </c>
      <c r="Q64" s="51">
        <f>IFERROR(IF(K64="",0,(N64+O64)-10),0)</f>
        <v>490</v>
      </c>
      <c r="R64" s="53">
        <f xml:space="preserve"> P64 * Q64 * (1 + 2.5%) / 1000000</f>
        <v>0.8412687499999999</v>
      </c>
      <c r="S64" s="125">
        <f>R64*'RFQ_Matalan Carton'!$M$32</f>
        <v>0.86650681249999995</v>
      </c>
      <c r="T64" s="124">
        <f>S64</f>
        <v>0.86650681249999995</v>
      </c>
      <c r="U64" s="124">
        <f>I64*T64</f>
        <v>204.49560774999998</v>
      </c>
      <c r="V64" s="123">
        <f>((T64*I64)-W64)*7.5%</f>
        <v>13.803453523124997</v>
      </c>
      <c r="W64" s="124">
        <f>S64*I64*10%</f>
        <v>20.449560774999998</v>
      </c>
      <c r="X64" s="127"/>
    </row>
    <row r="65" spans="1:24">
      <c r="A65" s="118">
        <v>46258</v>
      </c>
      <c r="B65" s="118">
        <v>46263</v>
      </c>
      <c r="C65" s="119"/>
      <c r="D65" s="118" t="s">
        <v>127</v>
      </c>
      <c r="E65" s="118" t="s">
        <v>128</v>
      </c>
      <c r="F65" s="118" t="s">
        <v>126</v>
      </c>
      <c r="G65" s="119" t="s">
        <v>145</v>
      </c>
      <c r="H65" s="119">
        <v>7141791</v>
      </c>
      <c r="I65" s="119">
        <v>270</v>
      </c>
      <c r="J65" s="119" t="s">
        <v>121</v>
      </c>
      <c r="K65" s="119" t="s">
        <v>68</v>
      </c>
      <c r="L65" s="119" t="s">
        <v>130</v>
      </c>
      <c r="M65" s="51" cm="1">
        <f t="array" ref="M65">IFERROR(_xlfn.SWITCH(L65,"R-FPA",495,"R-FPB",595,"R-FPC",595,"R-FPD",595,"Custom Carton","input L"),0)</f>
        <v>595</v>
      </c>
      <c r="N65" s="51" cm="1">
        <f t="array" ref="N65">IFERROR(_xlfn.SWITCH(L65,"R-FPA",285,"R-FPB",285,"R-FPC",325,"R-FPD",380,"Custom Carton","input W"),0)</f>
        <v>325</v>
      </c>
      <c r="O65" s="51">
        <v>375</v>
      </c>
      <c r="P65" s="51">
        <f>IFERROR(IF(K65="",0,(M65+N65)*2+15),0)</f>
        <v>1855</v>
      </c>
      <c r="Q65" s="51">
        <f>IFERROR(IF(K65="",0,(N65+O65)-10),0)</f>
        <v>690</v>
      </c>
      <c r="R65" s="53">
        <f xml:space="preserve"> P65 * Q65 * (1 + 2.5%) / 1000000</f>
        <v>1.31194875</v>
      </c>
      <c r="S65" s="125">
        <f>R65*'RFQ_Matalan Carton'!$M$32</f>
        <v>1.3513072125000001</v>
      </c>
      <c r="T65" s="124">
        <f>S65</f>
        <v>1.3513072125000001</v>
      </c>
      <c r="U65" s="124">
        <f>I65*T65</f>
        <v>364.85294737500004</v>
      </c>
      <c r="V65" s="123">
        <f>((T65*I65)-W65)*7.5%</f>
        <v>24.627573947812504</v>
      </c>
      <c r="W65" s="124">
        <f>S65*I65*10%</f>
        <v>36.485294737500006</v>
      </c>
      <c r="X65" s="127"/>
    </row>
    <row r="66" spans="1:24">
      <c r="A66" s="118">
        <v>46258</v>
      </c>
      <c r="B66" s="118">
        <v>46259</v>
      </c>
      <c r="C66" s="119"/>
      <c r="D66" s="118" t="s">
        <v>200</v>
      </c>
      <c r="E66" s="118" t="s">
        <v>210</v>
      </c>
      <c r="F66" s="118" t="s">
        <v>126</v>
      </c>
      <c r="G66" s="119" t="s">
        <v>217</v>
      </c>
      <c r="H66" s="119">
        <v>7142163</v>
      </c>
      <c r="I66" s="119">
        <v>1700</v>
      </c>
      <c r="J66" s="119" t="s">
        <v>121</v>
      </c>
      <c r="K66" s="119" t="s">
        <v>68</v>
      </c>
      <c r="L66" s="119" t="s">
        <v>109</v>
      </c>
      <c r="M66" s="51">
        <v>320</v>
      </c>
      <c r="N66" s="51">
        <v>300</v>
      </c>
      <c r="O66" s="51">
        <v>200</v>
      </c>
      <c r="P66" s="51">
        <f>IFERROR(IF(K66="",0,(M66+N66)*2+15),0)</f>
        <v>1255</v>
      </c>
      <c r="Q66" s="51">
        <f>IFERROR(IF(K66="",0,(N66+O66)-10),0)</f>
        <v>490</v>
      </c>
      <c r="R66" s="53">
        <f xml:space="preserve"> P66 * Q66 * (1 + 2.5%) / 1000000</f>
        <v>0.63032374999999996</v>
      </c>
      <c r="S66" s="125">
        <f>R66*'RFQ_Matalan Carton'!$M$32</f>
        <v>0.64923346250000002</v>
      </c>
      <c r="T66" s="124">
        <f>S66</f>
        <v>0.64923346250000002</v>
      </c>
      <c r="U66" s="124">
        <f>I66*T66</f>
        <v>1103.69688625</v>
      </c>
      <c r="V66" s="123">
        <f>((T66*I66)-W66)*7.5%</f>
        <v>74.499539821875004</v>
      </c>
      <c r="W66" s="124">
        <f>S66*I66*10%</f>
        <v>110.36968862500001</v>
      </c>
      <c r="X66" s="127"/>
    </row>
    <row r="67" spans="1:24">
      <c r="A67" s="118">
        <v>46258</v>
      </c>
      <c r="B67" s="118">
        <v>46259</v>
      </c>
      <c r="C67" s="119"/>
      <c r="D67" s="118" t="s">
        <v>200</v>
      </c>
      <c r="E67" s="118" t="s">
        <v>210</v>
      </c>
      <c r="F67" s="118" t="s">
        <v>126</v>
      </c>
      <c r="G67" s="119" t="s">
        <v>216</v>
      </c>
      <c r="H67" s="119">
        <v>7142176</v>
      </c>
      <c r="I67" s="119">
        <v>1400</v>
      </c>
      <c r="J67" s="119" t="s">
        <v>121</v>
      </c>
      <c r="K67" s="119" t="s">
        <v>68</v>
      </c>
      <c r="L67" s="119" t="s">
        <v>240</v>
      </c>
      <c r="M67" s="51" cm="1">
        <f t="array" ref="M67">IFERROR(_xlfn.SWITCH(L67,"R-FPA",495,"R-FPB",595,"R-FPC",595,"R-FPD",595,"Custom Carton","input L"),0)</f>
        <v>595</v>
      </c>
      <c r="N67" s="51" cm="1">
        <f t="array" ref="N67">IFERROR(_xlfn.SWITCH(L67,"R-FPA",285,"R-FPB",285,"R-FPC",325,"R-FPD",380,"Custom Carton","input W"),0)</f>
        <v>285</v>
      </c>
      <c r="O67" s="51">
        <v>120</v>
      </c>
      <c r="P67" s="51">
        <f>IFERROR(IF(K67="",0,(M67+N67)*2+15),0)</f>
        <v>1775</v>
      </c>
      <c r="Q67" s="51">
        <f>IFERROR(IF(K67="",0,(N67+O67)-10),0)</f>
        <v>395</v>
      </c>
      <c r="R67" s="53">
        <f xml:space="preserve"> P67 * Q67 * (1 + 2.5%) / 1000000</f>
        <v>0.71865312499999989</v>
      </c>
      <c r="S67" s="125">
        <f>R67*'RFQ_Matalan Carton'!$M$32</f>
        <v>0.74021271874999994</v>
      </c>
      <c r="T67" s="124">
        <f>S67</f>
        <v>0.74021271874999994</v>
      </c>
      <c r="U67" s="124">
        <f>I67*T67</f>
        <v>1036.2978062499999</v>
      </c>
      <c r="V67" s="123">
        <f>((T67*I67)-W67)*7.5%</f>
        <v>69.950101921874989</v>
      </c>
      <c r="W67" s="124">
        <f>S67*I67*10%</f>
        <v>103.629780625</v>
      </c>
      <c r="X67" s="127"/>
    </row>
    <row r="68" spans="1:24">
      <c r="A68" s="118">
        <v>46259</v>
      </c>
      <c r="B68" s="118">
        <v>46260</v>
      </c>
      <c r="C68" s="119"/>
      <c r="D68" s="118" t="s">
        <v>159</v>
      </c>
      <c r="E68" s="118" t="s">
        <v>159</v>
      </c>
      <c r="F68" s="118" t="s">
        <v>126</v>
      </c>
      <c r="G68" s="119" t="s">
        <v>172</v>
      </c>
      <c r="H68" s="121">
        <v>7142302</v>
      </c>
      <c r="I68" s="119">
        <v>681</v>
      </c>
      <c r="J68" s="119" t="s">
        <v>121</v>
      </c>
      <c r="K68" s="119" t="s">
        <v>68</v>
      </c>
      <c r="L68" s="119" t="s">
        <v>130</v>
      </c>
      <c r="M68" s="51" cm="1">
        <f t="array" ref="M68">IFERROR(_xlfn.SWITCH(L68,"R-FPA",495,"R-FPB",595,"R-FPC",595,"R-FPD",595,"Custom Carton","input L"),0)</f>
        <v>595</v>
      </c>
      <c r="N68" s="51" cm="1">
        <f t="array" ref="N68">IFERROR(_xlfn.SWITCH(L68,"R-FPA",285,"R-FPB",285,"R-FPC",325,"R-FPD",380,"Custom Carton","input W"),0)</f>
        <v>325</v>
      </c>
      <c r="O68" s="51">
        <v>100</v>
      </c>
      <c r="P68" s="51">
        <f>IFERROR(IF(K68="",0,(M68+N68)*2+15),0)</f>
        <v>1855</v>
      </c>
      <c r="Q68" s="51">
        <f>IFERROR(IF(K68="",0,(N68+O68)-10),0)</f>
        <v>415</v>
      </c>
      <c r="R68" s="53">
        <f xml:space="preserve"> P68 * Q68 * (1 + 2.5%) / 1000000</f>
        <v>0.78907062499999991</v>
      </c>
      <c r="S68" s="125">
        <f>R68*'RFQ_Matalan Carton'!$M$32</f>
        <v>0.81274274374999989</v>
      </c>
      <c r="T68" s="124">
        <f>S68</f>
        <v>0.81274274374999989</v>
      </c>
      <c r="U68" s="124">
        <f>I68*T68</f>
        <v>553.47780849374988</v>
      </c>
      <c r="V68" s="123">
        <f>((T68*I68)-W68)*7.5%</f>
        <v>37.359752073328117</v>
      </c>
      <c r="W68" s="124">
        <f>S68*I68*10%</f>
        <v>55.347780849374992</v>
      </c>
      <c r="X68" s="127"/>
    </row>
    <row r="69" spans="1:24">
      <c r="A69" s="118">
        <v>46259</v>
      </c>
      <c r="B69" s="118">
        <v>46260</v>
      </c>
      <c r="C69" s="119"/>
      <c r="D69" s="118" t="s">
        <v>159</v>
      </c>
      <c r="E69" s="118" t="s">
        <v>159</v>
      </c>
      <c r="F69" s="118" t="s">
        <v>126</v>
      </c>
      <c r="G69" s="119" t="s">
        <v>172</v>
      </c>
      <c r="H69" s="121">
        <v>7142302</v>
      </c>
      <c r="I69" s="119">
        <v>681</v>
      </c>
      <c r="J69" s="119" t="s">
        <v>121</v>
      </c>
      <c r="K69" s="119" t="s">
        <v>68</v>
      </c>
      <c r="L69" s="119" t="s">
        <v>130</v>
      </c>
      <c r="M69" s="51" cm="1">
        <f t="array" ref="M69">IFERROR(_xlfn.SWITCH(L69,"R-FPA",495,"R-FPB",595,"R-FPC",595,"R-FPD",595,"Custom Carton","input L"),0)</f>
        <v>595</v>
      </c>
      <c r="N69" s="51" cm="1">
        <f t="array" ref="N69">IFERROR(_xlfn.SWITCH(L69,"R-FPA",285,"R-FPB",285,"R-FPC",325,"R-FPD",380,"Custom Carton","input W"),0)</f>
        <v>325</v>
      </c>
      <c r="O69" s="51">
        <v>230</v>
      </c>
      <c r="P69" s="51">
        <f>IFERROR(IF(K69="",0,(M69+N69)*2+15),0)</f>
        <v>1855</v>
      </c>
      <c r="Q69" s="51">
        <f>IFERROR(IF(K69="",0,(N69+O69)-10),0)</f>
        <v>545</v>
      </c>
      <c r="R69" s="53">
        <f xml:space="preserve"> P69 * Q69 * (1 + 2.5%) / 1000000</f>
        <v>1.0362493749999999</v>
      </c>
      <c r="S69" s="125">
        <f>R69*'RFQ_Matalan Carton'!$M$32</f>
        <v>1.0673368562499999</v>
      </c>
      <c r="T69" s="124">
        <f>S69</f>
        <v>1.0673368562499999</v>
      </c>
      <c r="U69" s="124">
        <f>I69*T69</f>
        <v>726.85639910624991</v>
      </c>
      <c r="V69" s="123">
        <f>((T69*I69)-W69)*7.5%</f>
        <v>49.062806939671866</v>
      </c>
      <c r="W69" s="124">
        <f>S69*I69*10%</f>
        <v>72.685639910625</v>
      </c>
      <c r="X69" s="127"/>
    </row>
    <row r="70" spans="1:24">
      <c r="A70" s="118">
        <v>46259</v>
      </c>
      <c r="B70" s="118">
        <v>46260</v>
      </c>
      <c r="C70" s="119"/>
      <c r="D70" s="118" t="s">
        <v>159</v>
      </c>
      <c r="E70" s="118" t="s">
        <v>159</v>
      </c>
      <c r="F70" s="118" t="s">
        <v>126</v>
      </c>
      <c r="G70" s="119" t="s">
        <v>173</v>
      </c>
      <c r="H70" s="121">
        <v>7142308</v>
      </c>
      <c r="I70" s="119">
        <v>225</v>
      </c>
      <c r="J70" s="119" t="s">
        <v>121</v>
      </c>
      <c r="K70" s="119" t="s">
        <v>68</v>
      </c>
      <c r="L70" s="119" t="s">
        <v>130</v>
      </c>
      <c r="M70" s="51" cm="1">
        <f t="array" ref="M70">IFERROR(_xlfn.SWITCH(L70,"R-FPA",495,"R-FPB",595,"R-FPC",595,"R-FPD",595,"Custom Carton","input L"),0)</f>
        <v>595</v>
      </c>
      <c r="N70" s="51" cm="1">
        <f t="array" ref="N70">IFERROR(_xlfn.SWITCH(L70,"R-FPA",285,"R-FPB",285,"R-FPC",325,"R-FPD",380,"Custom Carton","input W"),0)</f>
        <v>325</v>
      </c>
      <c r="O70" s="51">
        <v>100</v>
      </c>
      <c r="P70" s="51">
        <f>IFERROR(IF(K70="",0,(M70+N70)*2+15),0)</f>
        <v>1855</v>
      </c>
      <c r="Q70" s="51">
        <f>IFERROR(IF(K70="",0,(N70+O70)-10),0)</f>
        <v>415</v>
      </c>
      <c r="R70" s="53">
        <f xml:space="preserve"> P70 * Q70 * (1 + 2.5%) / 1000000</f>
        <v>0.78907062499999991</v>
      </c>
      <c r="S70" s="125">
        <f>R70*'RFQ_Matalan Carton'!$M$32</f>
        <v>0.81274274374999989</v>
      </c>
      <c r="T70" s="124">
        <f>S70</f>
        <v>0.81274274374999989</v>
      </c>
      <c r="U70" s="124">
        <f>I70*T70</f>
        <v>182.86711734374998</v>
      </c>
      <c r="V70" s="123">
        <f>((T70*I70)-W70)*7.5%</f>
        <v>12.343530420703123</v>
      </c>
      <c r="W70" s="124">
        <f>S70*I70*10%</f>
        <v>18.286711734375</v>
      </c>
      <c r="X70" s="127"/>
    </row>
    <row r="71" spans="1:24">
      <c r="A71" s="118">
        <v>46259</v>
      </c>
      <c r="B71" s="118">
        <v>46260</v>
      </c>
      <c r="C71" s="119"/>
      <c r="D71" s="118" t="s">
        <v>159</v>
      </c>
      <c r="E71" s="118" t="s">
        <v>159</v>
      </c>
      <c r="F71" s="118" t="s">
        <v>126</v>
      </c>
      <c r="G71" s="119" t="s">
        <v>174</v>
      </c>
      <c r="H71" s="121">
        <v>7142334</v>
      </c>
      <c r="I71" s="119">
        <v>772</v>
      </c>
      <c r="J71" s="119" t="s">
        <v>121</v>
      </c>
      <c r="K71" s="119" t="s">
        <v>68</v>
      </c>
      <c r="L71" s="119" t="s">
        <v>130</v>
      </c>
      <c r="M71" s="51" cm="1">
        <f t="array" ref="M71">IFERROR(_xlfn.SWITCH(L71,"R-FPA",495,"R-FPB",595,"R-FPC",595,"R-FPD",595,"Custom Carton","input L"),0)</f>
        <v>595</v>
      </c>
      <c r="N71" s="51" cm="1">
        <f t="array" ref="N71">IFERROR(_xlfn.SWITCH(L71,"R-FPA",285,"R-FPB",285,"R-FPC",325,"R-FPD",380,"Custom Carton","input W"),0)</f>
        <v>325</v>
      </c>
      <c r="O71" s="51">
        <v>100</v>
      </c>
      <c r="P71" s="51">
        <f>IFERROR(IF(K71="",0,(M71+N71)*2+15),0)</f>
        <v>1855</v>
      </c>
      <c r="Q71" s="51">
        <f>IFERROR(IF(K71="",0,(N71+O71)-10),0)</f>
        <v>415</v>
      </c>
      <c r="R71" s="53">
        <f xml:space="preserve"> P71 * Q71 * (1 + 2.5%) / 1000000</f>
        <v>0.78907062499999991</v>
      </c>
      <c r="S71" s="125">
        <f>R71*'RFQ_Matalan Carton'!$M$32</f>
        <v>0.81274274374999989</v>
      </c>
      <c r="T71" s="124">
        <f>S71</f>
        <v>0.81274274374999989</v>
      </c>
      <c r="U71" s="124">
        <f>I71*T71</f>
        <v>627.43739817499988</v>
      </c>
      <c r="V71" s="123">
        <f>((T71*I71)-W71)*7.5%</f>
        <v>42.352024376812487</v>
      </c>
      <c r="W71" s="124">
        <f>S71*I71*10%</f>
        <v>62.743739817499993</v>
      </c>
      <c r="X71" s="127"/>
    </row>
    <row r="72" spans="1:24">
      <c r="A72" s="118">
        <v>46259</v>
      </c>
      <c r="B72" s="118">
        <v>46260</v>
      </c>
      <c r="C72" s="119"/>
      <c r="D72" s="118" t="s">
        <v>159</v>
      </c>
      <c r="E72" s="118" t="s">
        <v>159</v>
      </c>
      <c r="F72" s="118" t="s">
        <v>126</v>
      </c>
      <c r="G72" s="119" t="s">
        <v>174</v>
      </c>
      <c r="H72" s="121">
        <v>7142334</v>
      </c>
      <c r="I72" s="119">
        <v>771</v>
      </c>
      <c r="J72" s="119" t="s">
        <v>121</v>
      </c>
      <c r="K72" s="119" t="s">
        <v>68</v>
      </c>
      <c r="L72" s="119" t="s">
        <v>130</v>
      </c>
      <c r="M72" s="51" cm="1">
        <f t="array" ref="M72">IFERROR(_xlfn.SWITCH(L72,"R-FPA",495,"R-FPB",595,"R-FPC",595,"R-FPD",595,"Custom Carton","input L"),0)</f>
        <v>595</v>
      </c>
      <c r="N72" s="51" cm="1">
        <f t="array" ref="N72">IFERROR(_xlfn.SWITCH(L72,"R-FPA",285,"R-FPB",285,"R-FPC",325,"R-FPD",380,"Custom Carton","input W"),0)</f>
        <v>325</v>
      </c>
      <c r="O72" s="51">
        <v>240</v>
      </c>
      <c r="P72" s="51">
        <f>IFERROR(IF(K72="",0,(M72+N72)*2+15),0)</f>
        <v>1855</v>
      </c>
      <c r="Q72" s="51">
        <f>IFERROR(IF(K72="",0,(N72+O72)-10),0)</f>
        <v>555</v>
      </c>
      <c r="R72" s="53">
        <f xml:space="preserve"> P72 * Q72 * (1 + 2.5%) / 1000000</f>
        <v>1.055263125</v>
      </c>
      <c r="S72" s="125">
        <f>R72*'RFQ_Matalan Carton'!$M$32</f>
        <v>1.08692101875</v>
      </c>
      <c r="T72" s="124">
        <f>S72</f>
        <v>1.08692101875</v>
      </c>
      <c r="U72" s="124">
        <f>I72*T72</f>
        <v>838.01610545624999</v>
      </c>
      <c r="V72" s="123">
        <f>((T72*I72)-W72)*7.5%</f>
        <v>56.566087118296878</v>
      </c>
      <c r="W72" s="124">
        <f>S72*I72*10%</f>
        <v>83.80161054562501</v>
      </c>
      <c r="X72" s="127"/>
    </row>
    <row r="73" spans="1:24">
      <c r="A73" s="118">
        <v>46259</v>
      </c>
      <c r="B73" s="118">
        <v>46261</v>
      </c>
      <c r="C73" s="119"/>
      <c r="D73" s="118" t="s">
        <v>151</v>
      </c>
      <c r="E73" s="118" t="s">
        <v>151</v>
      </c>
      <c r="F73" s="118" t="s">
        <v>126</v>
      </c>
      <c r="G73" s="119" t="s">
        <v>156</v>
      </c>
      <c r="H73" s="119">
        <v>7142492</v>
      </c>
      <c r="I73" s="119">
        <v>258</v>
      </c>
      <c r="J73" s="119" t="s">
        <v>121</v>
      </c>
      <c r="K73" s="119" t="s">
        <v>68</v>
      </c>
      <c r="L73" s="119" t="s">
        <v>109</v>
      </c>
      <c r="M73" s="51">
        <v>600</v>
      </c>
      <c r="N73" s="51">
        <v>280</v>
      </c>
      <c r="O73" s="51">
        <v>200</v>
      </c>
      <c r="P73" s="51">
        <f>IFERROR(IF(K73="",0,(M73+N73)*2+15),0)</f>
        <v>1775</v>
      </c>
      <c r="Q73" s="51">
        <f>IFERROR(IF(K73="",0,(N73+O73)-10),0)</f>
        <v>470</v>
      </c>
      <c r="R73" s="53">
        <f xml:space="preserve"> P73 * Q73 * (1 + 2.5%) / 1000000</f>
        <v>0.85510624999999985</v>
      </c>
      <c r="S73" s="125">
        <f>R73*'RFQ_Matalan Carton'!$M$32</f>
        <v>0.88075943749999985</v>
      </c>
      <c r="T73" s="124">
        <f>S73</f>
        <v>0.88075943749999985</v>
      </c>
      <c r="U73" s="124">
        <f>I73*T73</f>
        <v>227.23593487499997</v>
      </c>
      <c r="V73" s="123">
        <f>((T73*I73)-W73)*7.5%</f>
        <v>15.338425604062499</v>
      </c>
      <c r="W73" s="124">
        <f>S73*I73*10%</f>
        <v>22.723593487499997</v>
      </c>
      <c r="X73" s="127"/>
    </row>
    <row r="74" spans="1:24">
      <c r="A74" s="118">
        <v>46259</v>
      </c>
      <c r="B74" s="118">
        <v>46261</v>
      </c>
      <c r="C74" s="119"/>
      <c r="D74" s="118" t="s">
        <v>151</v>
      </c>
      <c r="E74" s="118" t="s">
        <v>151</v>
      </c>
      <c r="F74" s="118" t="s">
        <v>126</v>
      </c>
      <c r="G74" s="119" t="s">
        <v>157</v>
      </c>
      <c r="H74" s="119">
        <v>7142495</v>
      </c>
      <c r="I74" s="119">
        <v>258</v>
      </c>
      <c r="J74" s="119" t="s">
        <v>121</v>
      </c>
      <c r="K74" s="119" t="s">
        <v>68</v>
      </c>
      <c r="L74" s="119" t="s">
        <v>109</v>
      </c>
      <c r="M74" s="51">
        <v>600</v>
      </c>
      <c r="N74" s="51">
        <v>280</v>
      </c>
      <c r="O74" s="51">
        <v>200</v>
      </c>
      <c r="P74" s="51">
        <f>IFERROR(IF(K74="",0,(M74+N74)*2+15),0)</f>
        <v>1775</v>
      </c>
      <c r="Q74" s="51">
        <f>IFERROR(IF(K74="",0,(N74+O74)-10),0)</f>
        <v>470</v>
      </c>
      <c r="R74" s="53">
        <f xml:space="preserve"> P74 * Q74 * (1 + 2.5%) / 1000000</f>
        <v>0.85510624999999985</v>
      </c>
      <c r="S74" s="125">
        <f>R74*'RFQ_Matalan Carton'!$M$32</f>
        <v>0.88075943749999985</v>
      </c>
      <c r="T74" s="124">
        <f>S74</f>
        <v>0.88075943749999985</v>
      </c>
      <c r="U74" s="124">
        <f>I74*T74</f>
        <v>227.23593487499997</v>
      </c>
      <c r="V74" s="123">
        <f>((T74*I74)-W74)*7.5%</f>
        <v>15.338425604062499</v>
      </c>
      <c r="W74" s="124">
        <f>S74*I74*10%</f>
        <v>22.723593487499997</v>
      </c>
      <c r="X74" s="127"/>
    </row>
    <row r="75" spans="1:24">
      <c r="A75" s="118">
        <v>46259</v>
      </c>
      <c r="B75" s="118">
        <v>46261</v>
      </c>
      <c r="C75" s="119"/>
      <c r="D75" s="118" t="s">
        <v>151</v>
      </c>
      <c r="E75" s="118" t="s">
        <v>151</v>
      </c>
      <c r="F75" s="118" t="s">
        <v>126</v>
      </c>
      <c r="G75" s="119" t="s">
        <v>158</v>
      </c>
      <c r="H75" s="119">
        <v>7142516</v>
      </c>
      <c r="I75" s="119">
        <v>258</v>
      </c>
      <c r="J75" s="119" t="s">
        <v>121</v>
      </c>
      <c r="K75" s="119" t="s">
        <v>68</v>
      </c>
      <c r="L75" s="119" t="s">
        <v>109</v>
      </c>
      <c r="M75" s="51">
        <v>600</v>
      </c>
      <c r="N75" s="51">
        <v>280</v>
      </c>
      <c r="O75" s="51">
        <v>200</v>
      </c>
      <c r="P75" s="51">
        <f>IFERROR(IF(K75="",0,(M75+N75)*2+15),0)</f>
        <v>1775</v>
      </c>
      <c r="Q75" s="51">
        <f>IFERROR(IF(K75="",0,(N75+O75)-10),0)</f>
        <v>470</v>
      </c>
      <c r="R75" s="53">
        <f xml:space="preserve"> P75 * Q75 * (1 + 2.5%) / 1000000</f>
        <v>0.85510624999999985</v>
      </c>
      <c r="S75" s="125">
        <f>R75*'RFQ_Matalan Carton'!$M$32</f>
        <v>0.88075943749999985</v>
      </c>
      <c r="T75" s="124">
        <f>S75</f>
        <v>0.88075943749999985</v>
      </c>
      <c r="U75" s="124">
        <f>I75*T75</f>
        <v>227.23593487499997</v>
      </c>
      <c r="V75" s="123">
        <f>((T75*I75)-W75)*7.5%</f>
        <v>15.338425604062499</v>
      </c>
      <c r="W75" s="124">
        <f>S75*I75*10%</f>
        <v>22.723593487499997</v>
      </c>
      <c r="X75" s="127"/>
    </row>
    <row r="76" spans="1:24">
      <c r="A76" s="118">
        <v>46259</v>
      </c>
      <c r="B76" s="118">
        <v>46260</v>
      </c>
      <c r="C76" s="119"/>
      <c r="D76" s="118" t="s">
        <v>159</v>
      </c>
      <c r="E76" s="118" t="s">
        <v>159</v>
      </c>
      <c r="F76" s="118" t="s">
        <v>126</v>
      </c>
      <c r="G76" s="119" t="s">
        <v>175</v>
      </c>
      <c r="H76" s="119">
        <v>7142621</v>
      </c>
      <c r="I76" s="119">
        <v>220</v>
      </c>
      <c r="J76" s="119" t="s">
        <v>121</v>
      </c>
      <c r="K76" s="119" t="s">
        <v>68</v>
      </c>
      <c r="L76" s="119" t="s">
        <v>130</v>
      </c>
      <c r="M76" s="51" cm="1">
        <f t="array" ref="M76">IFERROR(_xlfn.SWITCH(L76,"R-FPA",495,"R-FPB",595,"R-FPC",595,"R-FPD",595,"Custom Carton","input L"),0)</f>
        <v>595</v>
      </c>
      <c r="N76" s="51" cm="1">
        <f t="array" ref="N76">IFERROR(_xlfn.SWITCH(L76,"R-FPA",285,"R-FPB",285,"R-FPC",325,"R-FPD",380,"Custom Carton","input W"),0)</f>
        <v>325</v>
      </c>
      <c r="O76" s="51">
        <v>100</v>
      </c>
      <c r="P76" s="51">
        <f>IFERROR(IF(K76="",0,(M76+N76)*2+15),0)</f>
        <v>1855</v>
      </c>
      <c r="Q76" s="51">
        <f>IFERROR(IF(K76="",0,(N76+O76)-10),0)</f>
        <v>415</v>
      </c>
      <c r="R76" s="53">
        <f xml:space="preserve"> P76 * Q76 * (1 + 2.5%) / 1000000</f>
        <v>0.78907062499999991</v>
      </c>
      <c r="S76" s="125">
        <f>R76*'RFQ_Matalan Carton'!$M$32</f>
        <v>0.81274274374999989</v>
      </c>
      <c r="T76" s="124">
        <f>S76</f>
        <v>0.81274274374999989</v>
      </c>
      <c r="U76" s="124">
        <f>I76*T76</f>
        <v>178.80340362499999</v>
      </c>
      <c r="V76" s="123">
        <f>((T76*I76)-W76)*7.5%</f>
        <v>12.069229744687499</v>
      </c>
      <c r="W76" s="124">
        <f>S76*I76*10%</f>
        <v>17.8803403625</v>
      </c>
      <c r="X76" s="127"/>
    </row>
    <row r="77" spans="1:24">
      <c r="A77" s="118">
        <v>46259</v>
      </c>
      <c r="B77" s="118">
        <v>46260</v>
      </c>
      <c r="C77" s="119"/>
      <c r="D77" s="118" t="s">
        <v>159</v>
      </c>
      <c r="E77" s="118" t="s">
        <v>159</v>
      </c>
      <c r="F77" s="118" t="s">
        <v>126</v>
      </c>
      <c r="G77" s="119" t="s">
        <v>176</v>
      </c>
      <c r="H77" s="119">
        <v>7142904</v>
      </c>
      <c r="I77" s="119">
        <v>512</v>
      </c>
      <c r="J77" s="119" t="s">
        <v>121</v>
      </c>
      <c r="K77" s="119" t="s">
        <v>68</v>
      </c>
      <c r="L77" s="119" t="s">
        <v>130</v>
      </c>
      <c r="M77" s="51" cm="1">
        <f t="array" ref="M77">IFERROR(_xlfn.SWITCH(L77,"R-FPA",495,"R-FPB",595,"R-FPC",595,"R-FPD",595,"Custom Carton","input L"),0)</f>
        <v>595</v>
      </c>
      <c r="N77" s="51" cm="1">
        <f t="array" ref="N77">IFERROR(_xlfn.SWITCH(L77,"R-FPA",285,"R-FPB",285,"R-FPC",325,"R-FPD",380,"Custom Carton","input W"),0)</f>
        <v>325</v>
      </c>
      <c r="O77" s="51">
        <v>100</v>
      </c>
      <c r="P77" s="51">
        <f>IFERROR(IF(K77="",0,(M77+N77)*2+15),0)</f>
        <v>1855</v>
      </c>
      <c r="Q77" s="51">
        <f>IFERROR(IF(K77="",0,(N77+O77)-10),0)</f>
        <v>415</v>
      </c>
      <c r="R77" s="53">
        <f xml:space="preserve"> P77 * Q77 * (1 + 2.5%) / 1000000</f>
        <v>0.78907062499999991</v>
      </c>
      <c r="S77" s="125">
        <f>R77*'RFQ_Matalan Carton'!$M$32</f>
        <v>0.81274274374999989</v>
      </c>
      <c r="T77" s="124">
        <f>S77</f>
        <v>0.81274274374999989</v>
      </c>
      <c r="U77" s="124">
        <f>I77*T77</f>
        <v>416.12428479999994</v>
      </c>
      <c r="V77" s="123">
        <f>((T77*I77)-W77)*7.5%</f>
        <v>28.088389223999993</v>
      </c>
      <c r="W77" s="124">
        <f>S77*I77*10%</f>
        <v>41.612428479999998</v>
      </c>
      <c r="X77" s="127"/>
    </row>
    <row r="78" spans="1:24">
      <c r="A78" s="118">
        <v>46259</v>
      </c>
      <c r="B78" s="118">
        <v>46260</v>
      </c>
      <c r="C78" s="119"/>
      <c r="D78" s="118" t="s">
        <v>159</v>
      </c>
      <c r="E78" s="118" t="s">
        <v>159</v>
      </c>
      <c r="F78" s="118" t="s">
        <v>126</v>
      </c>
      <c r="G78" s="119" t="s">
        <v>176</v>
      </c>
      <c r="H78" s="119">
        <v>7142904</v>
      </c>
      <c r="I78" s="119">
        <v>512</v>
      </c>
      <c r="J78" s="119" t="s">
        <v>121</v>
      </c>
      <c r="K78" s="119" t="s">
        <v>68</v>
      </c>
      <c r="L78" s="119" t="s">
        <v>130</v>
      </c>
      <c r="M78" s="51" cm="1">
        <f t="array" ref="M78">IFERROR(_xlfn.SWITCH(L78,"R-FPA",495,"R-FPB",595,"R-FPC",595,"R-FPD",595,"Custom Carton","input L"),0)</f>
        <v>595</v>
      </c>
      <c r="N78" s="51" cm="1">
        <f t="array" ref="N78">IFERROR(_xlfn.SWITCH(L78,"R-FPA",285,"R-FPB",285,"R-FPC",325,"R-FPD",380,"Custom Carton","input W"),0)</f>
        <v>325</v>
      </c>
      <c r="O78" s="51">
        <v>150</v>
      </c>
      <c r="P78" s="51">
        <f>IFERROR(IF(K78="",0,(M78+N78)*2+15),0)</f>
        <v>1855</v>
      </c>
      <c r="Q78" s="51">
        <f>IFERROR(IF(K78="",0,(N78+O78)-10),0)</f>
        <v>465</v>
      </c>
      <c r="R78" s="53">
        <f xml:space="preserve"> P78 * Q78 * (1 + 2.5%) / 1000000</f>
        <v>0.88413937499999984</v>
      </c>
      <c r="S78" s="125">
        <f>R78*'RFQ_Matalan Carton'!$M$32</f>
        <v>0.91066355624999984</v>
      </c>
      <c r="T78" s="124">
        <f>S78</f>
        <v>0.91066355624999984</v>
      </c>
      <c r="U78" s="124">
        <f>I78*T78</f>
        <v>466.25974079999992</v>
      </c>
      <c r="V78" s="123">
        <f>((T78*I78)-W78)*7.5%</f>
        <v>31.472532503999993</v>
      </c>
      <c r="W78" s="124">
        <f>S78*I78*10%</f>
        <v>46.625974079999992</v>
      </c>
      <c r="X78" s="127"/>
    </row>
    <row r="79" spans="1:24">
      <c r="A79" s="118">
        <v>46261</v>
      </c>
      <c r="B79" s="118">
        <v>46265</v>
      </c>
      <c r="C79" s="119"/>
      <c r="D79" s="118" t="s">
        <v>193</v>
      </c>
      <c r="E79" s="118" t="s">
        <v>194</v>
      </c>
      <c r="F79" s="118" t="s">
        <v>126</v>
      </c>
      <c r="G79" s="119" t="s">
        <v>198</v>
      </c>
      <c r="H79" s="119">
        <v>7143417</v>
      </c>
      <c r="I79" s="119">
        <v>177</v>
      </c>
      <c r="J79" s="119" t="s">
        <v>121</v>
      </c>
      <c r="K79" s="119" t="s">
        <v>68</v>
      </c>
      <c r="L79" s="119" t="s">
        <v>109</v>
      </c>
      <c r="M79" s="51">
        <v>640</v>
      </c>
      <c r="N79" s="51">
        <v>380</v>
      </c>
      <c r="O79" s="51">
        <v>100</v>
      </c>
      <c r="P79" s="51">
        <f>IFERROR(IF(K79="",0,(M79+N79)*2+15),0)</f>
        <v>2055</v>
      </c>
      <c r="Q79" s="51">
        <f>IFERROR(IF(K79="",0,(N79+O79)-10),0)</f>
        <v>470</v>
      </c>
      <c r="R79" s="53">
        <f xml:space="preserve"> P79 * Q79 * (1 + 2.5%) / 1000000</f>
        <v>0.98999624999999991</v>
      </c>
      <c r="S79" s="125">
        <f>R79*'RFQ_Matalan Carton'!$M$32</f>
        <v>1.0196961375</v>
      </c>
      <c r="T79" s="124">
        <f>S79</f>
        <v>1.0196961375</v>
      </c>
      <c r="U79" s="124">
        <f>I79*T79</f>
        <v>180.4862163375</v>
      </c>
      <c r="V79" s="123">
        <f>((T79*I79)-W79)*7.5%</f>
        <v>12.182819602781249</v>
      </c>
      <c r="W79" s="124">
        <f>S79*I79*10%</f>
        <v>18.048621633749999</v>
      </c>
      <c r="X79" s="127"/>
    </row>
    <row r="80" spans="1:24">
      <c r="A80" s="118">
        <v>46261</v>
      </c>
      <c r="B80" s="118">
        <v>46265</v>
      </c>
      <c r="C80" s="119"/>
      <c r="D80" s="118" t="s">
        <v>193</v>
      </c>
      <c r="E80" s="118" t="s">
        <v>194</v>
      </c>
      <c r="F80" s="118" t="s">
        <v>126</v>
      </c>
      <c r="G80" s="119" t="s">
        <v>199</v>
      </c>
      <c r="H80" s="119">
        <v>7143437</v>
      </c>
      <c r="I80" s="119">
        <v>235</v>
      </c>
      <c r="J80" s="119" t="s">
        <v>121</v>
      </c>
      <c r="K80" s="119" t="s">
        <v>68</v>
      </c>
      <c r="L80" s="119" t="s">
        <v>109</v>
      </c>
      <c r="M80" s="51">
        <v>750</v>
      </c>
      <c r="N80" s="51">
        <v>380</v>
      </c>
      <c r="O80" s="51">
        <v>100</v>
      </c>
      <c r="P80" s="51">
        <f>IFERROR(IF(K80="",0,(M80+N80)*2+15),0)</f>
        <v>2275</v>
      </c>
      <c r="Q80" s="51">
        <f>IFERROR(IF(K80="",0,(N80+O80)-10),0)</f>
        <v>470</v>
      </c>
      <c r="R80" s="53">
        <f xml:space="preserve"> P80 * Q80 * (1 + 2.5%) / 1000000</f>
        <v>1.0959812499999999</v>
      </c>
      <c r="S80" s="125">
        <f>R80*'RFQ_Matalan Carton'!$M$32</f>
        <v>1.1288606875</v>
      </c>
      <c r="T80" s="124">
        <f>S80</f>
        <v>1.1288606875</v>
      </c>
      <c r="U80" s="124">
        <f>I80*T80</f>
        <v>265.28226156250003</v>
      </c>
      <c r="V80" s="123">
        <f>((T80*I80)-W80)*7.5%</f>
        <v>17.906552655468751</v>
      </c>
      <c r="W80" s="124">
        <f>S80*I80*10%</f>
        <v>26.528226156250003</v>
      </c>
      <c r="X80" s="127"/>
    </row>
    <row r="81" spans="1:24">
      <c r="A81" s="118">
        <v>46261</v>
      </c>
      <c r="B81" s="118">
        <v>46264</v>
      </c>
      <c r="C81" s="119"/>
      <c r="D81" s="118" t="s">
        <v>200</v>
      </c>
      <c r="E81" s="118" t="s">
        <v>218</v>
      </c>
      <c r="F81" s="118" t="s">
        <v>126</v>
      </c>
      <c r="G81" s="119" t="s">
        <v>238</v>
      </c>
      <c r="H81" s="119">
        <v>7143556</v>
      </c>
      <c r="I81" s="119">
        <v>184</v>
      </c>
      <c r="J81" s="119" t="s">
        <v>121</v>
      </c>
      <c r="K81" s="119" t="s">
        <v>68</v>
      </c>
      <c r="L81" s="119" t="s">
        <v>109</v>
      </c>
      <c r="M81" s="51">
        <v>380</v>
      </c>
      <c r="N81" s="51">
        <v>340</v>
      </c>
      <c r="O81" s="51">
        <v>100</v>
      </c>
      <c r="P81" s="51">
        <f>IFERROR(IF(K81="",0,(M81+N81)*2+15),0)</f>
        <v>1455</v>
      </c>
      <c r="Q81" s="51">
        <f>IFERROR(IF(K81="",0,(N81+O81)-10),0)</f>
        <v>430</v>
      </c>
      <c r="R81" s="53">
        <f xml:space="preserve"> P81 * Q81 * (1 + 2.5%) / 1000000</f>
        <v>0.64129124999999998</v>
      </c>
      <c r="S81" s="125">
        <f>R81*'RFQ_Matalan Carton'!$M$32</f>
        <v>0.66052998750000003</v>
      </c>
      <c r="T81" s="124">
        <f>S81</f>
        <v>0.66052998750000003</v>
      </c>
      <c r="U81" s="124">
        <f>I81*T81</f>
        <v>121.53751770000001</v>
      </c>
      <c r="V81" s="123">
        <f>((T81*I81)-W81)*7.5%</f>
        <v>8.2037824447500007</v>
      </c>
      <c r="W81" s="124">
        <f>S81*I81*10%</f>
        <v>12.153751770000001</v>
      </c>
      <c r="X81" s="127"/>
    </row>
    <row r="82" spans="1:24">
      <c r="A82" s="118">
        <v>46261</v>
      </c>
      <c r="B82" s="118">
        <v>46264</v>
      </c>
      <c r="C82" s="119"/>
      <c r="D82" s="118" t="s">
        <v>200</v>
      </c>
      <c r="E82" s="118" t="s">
        <v>218</v>
      </c>
      <c r="F82" s="118" t="s">
        <v>126</v>
      </c>
      <c r="G82" s="119" t="s">
        <v>238</v>
      </c>
      <c r="H82" s="119">
        <v>7143556</v>
      </c>
      <c r="I82" s="119">
        <v>184</v>
      </c>
      <c r="J82" s="119" t="s">
        <v>121</v>
      </c>
      <c r="K82" s="119" t="s">
        <v>68</v>
      </c>
      <c r="L82" s="119" t="s">
        <v>109</v>
      </c>
      <c r="M82" s="51">
        <v>420</v>
      </c>
      <c r="N82" s="51">
        <v>360</v>
      </c>
      <c r="O82" s="51">
        <v>120</v>
      </c>
      <c r="P82" s="51">
        <f>IFERROR(IF(K82="",0,(M82+N82)*2+15),0)</f>
        <v>1575</v>
      </c>
      <c r="Q82" s="51">
        <f>IFERROR(IF(K82="",0,(N82+O82)-10),0)</f>
        <v>470</v>
      </c>
      <c r="R82" s="53">
        <f xml:space="preserve"> P82 * Q82 * (1 + 2.5%) / 1000000</f>
        <v>0.75875624999999991</v>
      </c>
      <c r="S82" s="125">
        <f>R82*'RFQ_Matalan Carton'!$M$32</f>
        <v>0.7815189374999999</v>
      </c>
      <c r="T82" s="124">
        <f>S82</f>
        <v>0.7815189374999999</v>
      </c>
      <c r="U82" s="124">
        <f>I82*T82</f>
        <v>143.79948449999998</v>
      </c>
      <c r="V82" s="123">
        <f>((T82*I82)-W82)*7.5%</f>
        <v>9.7064652037499979</v>
      </c>
      <c r="W82" s="124">
        <f>S82*I82*10%</f>
        <v>14.379948449999999</v>
      </c>
      <c r="X82" s="127"/>
    </row>
    <row r="83" spans="1:24">
      <c r="A83" s="118">
        <v>46263</v>
      </c>
      <c r="B83" s="118">
        <v>46264</v>
      </c>
      <c r="C83" s="119"/>
      <c r="D83" s="118" t="s">
        <v>159</v>
      </c>
      <c r="E83" s="118" t="s">
        <v>159</v>
      </c>
      <c r="F83" s="118" t="s">
        <v>126</v>
      </c>
      <c r="G83" s="119" t="s">
        <v>178</v>
      </c>
      <c r="H83" s="119">
        <v>7143859</v>
      </c>
      <c r="I83" s="119">
        <v>314</v>
      </c>
      <c r="J83" s="119" t="s">
        <v>121</v>
      </c>
      <c r="K83" s="119" t="s">
        <v>68</v>
      </c>
      <c r="L83" s="119" t="s">
        <v>141</v>
      </c>
      <c r="M83" s="51" cm="1">
        <f t="array" ref="M83">IFERROR(_xlfn.SWITCH(L83,"R-FPA",495,"R-FPB",595,"R-FPC",595,"R-FPD",595,"Custom Carton","input L"),0)</f>
        <v>595</v>
      </c>
      <c r="N83" s="51" cm="1">
        <f t="array" ref="N83">IFERROR(_xlfn.SWITCH(L83,"R-FPA",285,"R-FPB",285,"R-FPC",325,"R-FPD",380,"Custom Carton","input W"),0)</f>
        <v>380</v>
      </c>
      <c r="O83" s="51">
        <v>100</v>
      </c>
      <c r="P83" s="51">
        <f>IFERROR(IF(K83="",0,(M83+N83)*2+15),0)</f>
        <v>1965</v>
      </c>
      <c r="Q83" s="51">
        <f>IFERROR(IF(K83="",0,(N83+O83)-10),0)</f>
        <v>470</v>
      </c>
      <c r="R83" s="53">
        <f xml:space="preserve"> P83 * Q83 * (1 + 2.5%) / 1000000</f>
        <v>0.94663874999999986</v>
      </c>
      <c r="S83" s="125">
        <f>R83*'RFQ_Matalan Carton'!$M$32</f>
        <v>0.97503791249999994</v>
      </c>
      <c r="T83" s="124">
        <f>S83</f>
        <v>0.97503791249999994</v>
      </c>
      <c r="U83" s="124">
        <f>I83*T83</f>
        <v>306.16190452499995</v>
      </c>
      <c r="V83" s="123">
        <f>((T83*I83)-W83)*7.5%</f>
        <v>20.665928555437496</v>
      </c>
      <c r="W83" s="124">
        <f>S83*I83*10%</f>
        <v>30.616190452499996</v>
      </c>
      <c r="X83" s="127"/>
    </row>
    <row r="84" spans="1:24">
      <c r="A84" s="118">
        <v>46263</v>
      </c>
      <c r="B84" s="118">
        <v>46264</v>
      </c>
      <c r="C84" s="119"/>
      <c r="D84" s="118" t="s">
        <v>159</v>
      </c>
      <c r="E84" s="118" t="s">
        <v>159</v>
      </c>
      <c r="F84" s="118" t="s">
        <v>126</v>
      </c>
      <c r="G84" s="119" t="s">
        <v>178</v>
      </c>
      <c r="H84" s="119">
        <v>7143859</v>
      </c>
      <c r="I84" s="119">
        <v>816</v>
      </c>
      <c r="J84" s="119" t="s">
        <v>121</v>
      </c>
      <c r="K84" s="119" t="s">
        <v>68</v>
      </c>
      <c r="L84" s="119" t="s">
        <v>141</v>
      </c>
      <c r="M84" s="51" cm="1">
        <f t="array" ref="M84">IFERROR(_xlfn.SWITCH(L84,"R-FPA",495,"R-FPB",595,"R-FPC",595,"R-FPD",595,"Custom Carton","input L"),0)</f>
        <v>595</v>
      </c>
      <c r="N84" s="51" cm="1">
        <f t="array" ref="N84">IFERROR(_xlfn.SWITCH(L84,"R-FPA",285,"R-FPB",285,"R-FPC",325,"R-FPD",380,"Custom Carton","input W"),0)</f>
        <v>380</v>
      </c>
      <c r="O84" s="51">
        <v>120</v>
      </c>
      <c r="P84" s="51">
        <f>IFERROR(IF(K84="",0,(M84+N84)*2+15),0)</f>
        <v>1965</v>
      </c>
      <c r="Q84" s="51">
        <f>IFERROR(IF(K84="",0,(N84+O84)-10),0)</f>
        <v>490</v>
      </c>
      <c r="R84" s="53">
        <f xml:space="preserve"> P84 * Q84 * (1 + 2.5%) / 1000000</f>
        <v>0.98692124999999986</v>
      </c>
      <c r="S84" s="125">
        <f>R84*'RFQ_Matalan Carton'!$M$32</f>
        <v>1.0165288874999998</v>
      </c>
      <c r="T84" s="124">
        <f>S84</f>
        <v>1.0165288874999998</v>
      </c>
      <c r="U84" s="124">
        <f>I84*T84</f>
        <v>829.48757219999982</v>
      </c>
      <c r="V84" s="123">
        <f>((T84*I84)-W84)*7.5%</f>
        <v>55.990411123499989</v>
      </c>
      <c r="W84" s="124">
        <f>S84*I84*10%</f>
        <v>82.94875721999999</v>
      </c>
      <c r="X84" s="127"/>
    </row>
    <row r="85" spans="1:24">
      <c r="A85" s="118">
        <v>46263</v>
      </c>
      <c r="B85" s="118">
        <v>46263</v>
      </c>
      <c r="C85" s="119"/>
      <c r="D85" s="118" t="s">
        <v>159</v>
      </c>
      <c r="E85" s="118" t="s">
        <v>159</v>
      </c>
      <c r="F85" s="118" t="s">
        <v>126</v>
      </c>
      <c r="G85" s="119" t="s">
        <v>177</v>
      </c>
      <c r="H85" s="119">
        <v>7144252</v>
      </c>
      <c r="I85" s="119">
        <v>1661</v>
      </c>
      <c r="J85" s="119" t="s">
        <v>121</v>
      </c>
      <c r="K85" s="119" t="s">
        <v>68</v>
      </c>
      <c r="L85" s="119" t="s">
        <v>141</v>
      </c>
      <c r="M85" s="51" cm="1">
        <f t="array" ref="M85">IFERROR(_xlfn.SWITCH(L85,"R-FPA",495,"R-FPB",595,"R-FPC",595,"R-FPD",595,"Custom Carton","input L"),0)</f>
        <v>595</v>
      </c>
      <c r="N85" s="51" cm="1">
        <f t="array" ref="N85">IFERROR(_xlfn.SWITCH(L85,"R-FPA",285,"R-FPB",285,"R-FPC",325,"R-FPD",380,"Custom Carton","input W"),0)</f>
        <v>380</v>
      </c>
      <c r="O85" s="51">
        <v>110</v>
      </c>
      <c r="P85" s="51">
        <f>IFERROR(IF(K85="",0,(M85+N85)*2+15),0)</f>
        <v>1965</v>
      </c>
      <c r="Q85" s="51">
        <f>IFERROR(IF(K85="",0,(N85+O85)-10),0)</f>
        <v>480</v>
      </c>
      <c r="R85" s="53">
        <f xml:space="preserve"> P85 * Q85 * (1 + 2.5%) / 1000000</f>
        <v>0.96677999999999986</v>
      </c>
      <c r="S85" s="125">
        <f>R85*'RFQ_Matalan Carton'!$M$32</f>
        <v>0.99578339999999987</v>
      </c>
      <c r="T85" s="124">
        <f>S85</f>
        <v>0.99578339999999987</v>
      </c>
      <c r="U85" s="124">
        <f>I85*T85</f>
        <v>1653.9962273999997</v>
      </c>
      <c r="V85" s="123">
        <f>((T85*I85)-W85)*7.5%</f>
        <v>111.64474534949997</v>
      </c>
      <c r="W85" s="124">
        <f>S85*I85*10%</f>
        <v>165.39962273999998</v>
      </c>
      <c r="X85" s="127"/>
    </row>
    <row r="86" spans="1:24">
      <c r="A86" s="118">
        <v>46263</v>
      </c>
      <c r="B86" s="118">
        <v>46264</v>
      </c>
      <c r="C86" s="119"/>
      <c r="D86" s="118" t="s">
        <v>200</v>
      </c>
      <c r="E86" s="118" t="s">
        <v>218</v>
      </c>
      <c r="F86" s="118" t="s">
        <v>126</v>
      </c>
      <c r="G86" s="119" t="s">
        <v>221</v>
      </c>
      <c r="H86" s="119">
        <v>7144261</v>
      </c>
      <c r="I86" s="119">
        <v>296</v>
      </c>
      <c r="J86" s="119" t="s">
        <v>121</v>
      </c>
      <c r="K86" s="119" t="s">
        <v>68</v>
      </c>
      <c r="L86" s="119" t="s">
        <v>109</v>
      </c>
      <c r="M86" s="51">
        <v>480</v>
      </c>
      <c r="N86" s="51">
        <v>400</v>
      </c>
      <c r="O86" s="51">
        <v>130</v>
      </c>
      <c r="P86" s="51">
        <f>IFERROR(IF(K86="",0,(M86+N86)*2+15),0)</f>
        <v>1775</v>
      </c>
      <c r="Q86" s="51">
        <f>IFERROR(IF(K86="",0,(N86+O86)-10),0)</f>
        <v>520</v>
      </c>
      <c r="R86" s="53">
        <f xml:space="preserve"> P86 * Q86 * (1 + 2.5%) / 1000000</f>
        <v>0.94607499999999989</v>
      </c>
      <c r="S86" s="125">
        <f>R86*'RFQ_Matalan Carton'!$M$32</f>
        <v>0.97445724999999994</v>
      </c>
      <c r="T86" s="124">
        <f>S86</f>
        <v>0.97445724999999994</v>
      </c>
      <c r="U86" s="124">
        <f>I86*T86</f>
        <v>288.439346</v>
      </c>
      <c r="V86" s="123">
        <f>((T86*I86)-W86)*7.5%</f>
        <v>19.469655854999999</v>
      </c>
      <c r="W86" s="124">
        <f>S86*I86*10%</f>
        <v>28.843934600000001</v>
      </c>
      <c r="X86" s="127"/>
    </row>
    <row r="87" spans="1:24">
      <c r="A87" s="118">
        <v>46263</v>
      </c>
      <c r="B87" s="118">
        <v>46264</v>
      </c>
      <c r="C87" s="119"/>
      <c r="D87" s="118" t="s">
        <v>200</v>
      </c>
      <c r="E87" s="118" t="s">
        <v>218</v>
      </c>
      <c r="F87" s="118" t="s">
        <v>126</v>
      </c>
      <c r="G87" s="119" t="s">
        <v>221</v>
      </c>
      <c r="H87" s="119">
        <v>7144261</v>
      </c>
      <c r="I87" s="119">
        <v>296</v>
      </c>
      <c r="J87" s="119" t="s">
        <v>121</v>
      </c>
      <c r="K87" s="119" t="s">
        <v>68</v>
      </c>
      <c r="L87" s="119" t="s">
        <v>109</v>
      </c>
      <c r="M87" s="51">
        <v>450</v>
      </c>
      <c r="N87" s="51">
        <v>350</v>
      </c>
      <c r="O87" s="51">
        <v>100</v>
      </c>
      <c r="P87" s="51">
        <f>IFERROR(IF(K87="",0,(M87+N87)*2+15),0)</f>
        <v>1615</v>
      </c>
      <c r="Q87" s="51">
        <f>IFERROR(IF(K87="",0,(N87+O87)-10),0)</f>
        <v>440</v>
      </c>
      <c r="R87" s="53">
        <f xml:space="preserve"> P87 * Q87 * (1 + 2.5%) / 1000000</f>
        <v>0.72836499999999993</v>
      </c>
      <c r="S87" s="125">
        <f>R87*'RFQ_Matalan Carton'!$M$32</f>
        <v>0.75021594999999996</v>
      </c>
      <c r="T87" s="124">
        <f>S87</f>
        <v>0.75021594999999996</v>
      </c>
      <c r="U87" s="124">
        <f>I87*T87</f>
        <v>222.06392119999998</v>
      </c>
      <c r="V87" s="123">
        <f>((T87*I87)-W87)*7.5%</f>
        <v>14.989314680999998</v>
      </c>
      <c r="W87" s="124">
        <f>S87*I87*10%</f>
        <v>22.20639212</v>
      </c>
      <c r="X87" s="127"/>
    </row>
    <row r="88" spans="1:24">
      <c r="A88" s="118">
        <v>46263</v>
      </c>
      <c r="B88" s="120">
        <v>46264</v>
      </c>
      <c r="C88" s="119"/>
      <c r="D88" s="118" t="s">
        <v>200</v>
      </c>
      <c r="E88" s="118" t="s">
        <v>218</v>
      </c>
      <c r="F88" s="118" t="s">
        <v>126</v>
      </c>
      <c r="G88" s="119" t="s">
        <v>239</v>
      </c>
      <c r="H88" s="119">
        <v>7144264</v>
      </c>
      <c r="I88" s="119">
        <v>324</v>
      </c>
      <c r="J88" s="119" t="s">
        <v>121</v>
      </c>
      <c r="K88" s="119" t="s">
        <v>68</v>
      </c>
      <c r="L88" s="119" t="s">
        <v>109</v>
      </c>
      <c r="M88" s="51">
        <v>520</v>
      </c>
      <c r="N88" s="51">
        <v>360</v>
      </c>
      <c r="O88" s="51">
        <v>380</v>
      </c>
      <c r="P88" s="51">
        <f>IFERROR(IF(K88="",0,(M88+N88)*2+15),0)</f>
        <v>1775</v>
      </c>
      <c r="Q88" s="51">
        <f>IFERROR(IF(K88="",0,(N88+O88)-10),0)</f>
        <v>730</v>
      </c>
      <c r="R88" s="53">
        <f xml:space="preserve"> P88 * Q88 * (1 + 2.5%) / 1000000</f>
        <v>1.32814375</v>
      </c>
      <c r="S88" s="125">
        <f>R88*'RFQ_Matalan Carton'!$M$32</f>
        <v>1.3679880625</v>
      </c>
      <c r="T88" s="124">
        <f>S88</f>
        <v>1.3679880625</v>
      </c>
      <c r="U88" s="124">
        <f>I88*T88</f>
        <v>443.22813224999999</v>
      </c>
      <c r="V88" s="123">
        <f>((T88*I88)-W88)*7.5%</f>
        <v>29.917898926874997</v>
      </c>
      <c r="W88" s="124">
        <f>S88*I88*10%</f>
        <v>44.322813225000004</v>
      </c>
      <c r="X88" s="127"/>
    </row>
    <row r="89" spans="1:24">
      <c r="A89" s="118">
        <v>46263</v>
      </c>
      <c r="B89" s="118">
        <v>46264</v>
      </c>
      <c r="C89" s="119"/>
      <c r="D89" s="118" t="s">
        <v>200</v>
      </c>
      <c r="E89" s="118" t="s">
        <v>218</v>
      </c>
      <c r="F89" s="118" t="s">
        <v>126</v>
      </c>
      <c r="G89" s="119" t="s">
        <v>220</v>
      </c>
      <c r="H89" s="119">
        <v>7144267</v>
      </c>
      <c r="I89" s="119">
        <v>20</v>
      </c>
      <c r="J89" s="119" t="s">
        <v>121</v>
      </c>
      <c r="K89" s="119" t="s">
        <v>68</v>
      </c>
      <c r="L89" s="119" t="s">
        <v>109</v>
      </c>
      <c r="M89" s="51">
        <v>480</v>
      </c>
      <c r="N89" s="51">
        <v>310</v>
      </c>
      <c r="O89" s="51">
        <v>160</v>
      </c>
      <c r="P89" s="51">
        <f>IFERROR(IF(K89="",0,(M89+N89)*2+15),0)</f>
        <v>1595</v>
      </c>
      <c r="Q89" s="51">
        <f>IFERROR(IF(K89="",0,(N89+O89)-10),0)</f>
        <v>460</v>
      </c>
      <c r="R89" s="53">
        <f xml:space="preserve"> P89 * Q89 * (1 + 2.5%) / 1000000</f>
        <v>0.75204249999999984</v>
      </c>
      <c r="S89" s="125">
        <f>R89*'RFQ_Matalan Carton'!$M$32</f>
        <v>0.77460377499999988</v>
      </c>
      <c r="T89" s="124">
        <f>S89</f>
        <v>0.77460377499999988</v>
      </c>
      <c r="U89" s="124">
        <f>I89*T89</f>
        <v>15.492075499999999</v>
      </c>
      <c r="V89" s="123">
        <f>((T89*I89)-W89)*7.5%</f>
        <v>1.0457150962499999</v>
      </c>
      <c r="W89" s="124">
        <f>S89*I89*10%</f>
        <v>1.54920755</v>
      </c>
      <c r="X89" s="127"/>
    </row>
    <row r="90" spans="1:24">
      <c r="A90" s="118">
        <v>46263</v>
      </c>
      <c r="B90" s="118">
        <v>46264</v>
      </c>
      <c r="C90" s="119"/>
      <c r="D90" s="118" t="s">
        <v>159</v>
      </c>
      <c r="E90" s="118" t="s">
        <v>159</v>
      </c>
      <c r="F90" s="118" t="s">
        <v>126</v>
      </c>
      <c r="G90" s="119" t="s">
        <v>179</v>
      </c>
      <c r="H90" s="119">
        <v>7144647</v>
      </c>
      <c r="I90" s="119">
        <v>176</v>
      </c>
      <c r="J90" s="119" t="s">
        <v>121</v>
      </c>
      <c r="K90" s="119" t="s">
        <v>68</v>
      </c>
      <c r="L90" s="119" t="s">
        <v>141</v>
      </c>
      <c r="M90" s="51" cm="1">
        <f t="array" ref="M90">IFERROR(_xlfn.SWITCH(L90,"R-FPA",495,"R-FPB",595,"R-FPC",595,"R-FPD",595,"Custom Carton","input L"),0)</f>
        <v>595</v>
      </c>
      <c r="N90" s="51" cm="1">
        <f t="array" ref="N90">IFERROR(_xlfn.SWITCH(L90,"R-FPA",285,"R-FPB",285,"R-FPC",325,"R-FPD",380,"Custom Carton","input W"),0)</f>
        <v>380</v>
      </c>
      <c r="O90" s="51">
        <v>100</v>
      </c>
      <c r="P90" s="51">
        <f>IFERROR(IF(K90="",0,(M90+N90)*2+15),0)</f>
        <v>1965</v>
      </c>
      <c r="Q90" s="51">
        <f>IFERROR(IF(K90="",0,(N90+O90)-10),0)</f>
        <v>470</v>
      </c>
      <c r="R90" s="53">
        <f xml:space="preserve"> P90 * Q90 * (1 + 2.5%) / 1000000</f>
        <v>0.94663874999999986</v>
      </c>
      <c r="S90" s="125">
        <f>R90*'RFQ_Matalan Carton'!$M$32</f>
        <v>0.97503791249999994</v>
      </c>
      <c r="T90" s="124">
        <f>S90</f>
        <v>0.97503791249999994</v>
      </c>
      <c r="U90" s="124">
        <f>I90*T90</f>
        <v>171.6066726</v>
      </c>
      <c r="V90" s="123">
        <f>((T90*I90)-W90)*7.5%</f>
        <v>11.5834504005</v>
      </c>
      <c r="W90" s="124">
        <f>S90*I90*10%</f>
        <v>17.16066726</v>
      </c>
      <c r="X90" s="127"/>
    </row>
    <row r="91" spans="1:24">
      <c r="A91" s="118">
        <v>46263</v>
      </c>
      <c r="B91" s="118">
        <v>46264</v>
      </c>
      <c r="C91" s="119"/>
      <c r="D91" s="118" t="s">
        <v>159</v>
      </c>
      <c r="E91" s="118" t="s">
        <v>159</v>
      </c>
      <c r="F91" s="118" t="s">
        <v>126</v>
      </c>
      <c r="G91" s="119" t="s">
        <v>179</v>
      </c>
      <c r="H91" s="119">
        <v>7144647</v>
      </c>
      <c r="I91" s="119">
        <v>176</v>
      </c>
      <c r="J91" s="119" t="s">
        <v>121</v>
      </c>
      <c r="K91" s="119" t="s">
        <v>68</v>
      </c>
      <c r="L91" s="119" t="s">
        <v>141</v>
      </c>
      <c r="M91" s="51" cm="1">
        <f t="array" ref="M91">IFERROR(_xlfn.SWITCH(L91,"R-FPA",495,"R-FPB",595,"R-FPC",595,"R-FPD",595,"Custom Carton","input L"),0)</f>
        <v>595</v>
      </c>
      <c r="N91" s="51" cm="1">
        <f t="array" ref="N91">IFERROR(_xlfn.SWITCH(L91,"R-FPA",285,"R-FPB",285,"R-FPC",325,"R-FPD",380,"Custom Carton","input W"),0)</f>
        <v>380</v>
      </c>
      <c r="O91" s="51">
        <v>130</v>
      </c>
      <c r="P91" s="51">
        <f>IFERROR(IF(K91="",0,(M91+N91)*2+15),0)</f>
        <v>1965</v>
      </c>
      <c r="Q91" s="51">
        <f>IFERROR(IF(K91="",0,(N91+O91)-10),0)</f>
        <v>500</v>
      </c>
      <c r="R91" s="53">
        <f xml:space="preserve"> P91 * Q91 * (1 + 2.5%) / 1000000</f>
        <v>1.0070625</v>
      </c>
      <c r="S91" s="125">
        <f>R91*'RFQ_Matalan Carton'!$M$32</f>
        <v>1.037274375</v>
      </c>
      <c r="T91" s="124">
        <f>S91</f>
        <v>1.037274375</v>
      </c>
      <c r="U91" s="124">
        <f>I91*T91</f>
        <v>182.56029000000001</v>
      </c>
      <c r="V91" s="123">
        <f>((T91*I91)-W91)*7.5%</f>
        <v>12.322819574999999</v>
      </c>
      <c r="W91" s="124">
        <f>S91*I91*10%</f>
        <v>18.256029000000002</v>
      </c>
      <c r="X91" s="127"/>
    </row>
    <row r="92" spans="1:24">
      <c r="A92" s="118">
        <v>46264</v>
      </c>
      <c r="B92" s="118">
        <v>46265</v>
      </c>
      <c r="C92" s="119"/>
      <c r="D92" s="118" t="s">
        <v>159</v>
      </c>
      <c r="E92" s="118" t="s">
        <v>159</v>
      </c>
      <c r="F92" s="118" t="s">
        <v>126</v>
      </c>
      <c r="G92" s="119" t="s">
        <v>180</v>
      </c>
      <c r="H92" s="119">
        <v>7144726</v>
      </c>
      <c r="I92" s="119">
        <v>1110</v>
      </c>
      <c r="J92" s="119" t="s">
        <v>121</v>
      </c>
      <c r="K92" s="119" t="s">
        <v>68</v>
      </c>
      <c r="L92" s="119" t="s">
        <v>187</v>
      </c>
      <c r="M92" s="51" cm="1">
        <f t="array" ref="M92">IFERROR(_xlfn.SWITCH(L92,"R-FPA",495,"R-FPB",595,"R-FPC",595,"R-FPD",595,"Custom Carton","input L"),0)</f>
        <v>495</v>
      </c>
      <c r="N92" s="51" cm="1">
        <f t="array" ref="N92">IFERROR(_xlfn.SWITCH(L92,"R-FPA",285,"R-FPB",285,"R-FPC",325,"R-FPD",380,"Custom Carton","input W"),0)</f>
        <v>285</v>
      </c>
      <c r="O92" s="51">
        <v>100</v>
      </c>
      <c r="P92" s="51">
        <f>IFERROR(IF(K92="",0,(M92+N92)*2+15),0)</f>
        <v>1575</v>
      </c>
      <c r="Q92" s="51">
        <f>IFERROR(IF(K92="",0,(N92+O92)-10),0)</f>
        <v>375</v>
      </c>
      <c r="R92" s="53">
        <f xml:space="preserve"> P92 * Q92 * (1 + 2.5%) / 1000000</f>
        <v>0.60539062499999996</v>
      </c>
      <c r="S92" s="125">
        <f>R92*'RFQ_Matalan Carton'!$M$32</f>
        <v>0.62355234375000002</v>
      </c>
      <c r="T92" s="124">
        <f>S92</f>
        <v>0.62355234375000002</v>
      </c>
      <c r="U92" s="124">
        <f>I92*T92</f>
        <v>692.14310156249996</v>
      </c>
      <c r="V92" s="123">
        <f>((T92*I92)-W92)*7.5%</f>
        <v>46.719659355468742</v>
      </c>
      <c r="W92" s="124">
        <f>S92*I92*10%</f>
        <v>69.214310156249994</v>
      </c>
      <c r="X92" s="127"/>
    </row>
    <row r="93" spans="1:24">
      <c r="A93" s="118">
        <v>46264</v>
      </c>
      <c r="B93" s="118">
        <v>46265</v>
      </c>
      <c r="C93" s="119"/>
      <c r="D93" s="118" t="s">
        <v>159</v>
      </c>
      <c r="E93" s="118" t="s">
        <v>159</v>
      </c>
      <c r="F93" s="118" t="s">
        <v>126</v>
      </c>
      <c r="G93" s="119" t="s">
        <v>180</v>
      </c>
      <c r="H93" s="119">
        <v>7144726</v>
      </c>
      <c r="I93" s="119">
        <v>1106</v>
      </c>
      <c r="J93" s="119" t="s">
        <v>121</v>
      </c>
      <c r="K93" s="119" t="s">
        <v>68</v>
      </c>
      <c r="L93" s="119" t="s">
        <v>187</v>
      </c>
      <c r="M93" s="51" cm="1">
        <f t="array" ref="M93">IFERROR(_xlfn.SWITCH(L93,"R-FPA",495,"R-FPB",595,"R-FPC",595,"R-FPD",595,"Custom Carton","input L"),0)</f>
        <v>495</v>
      </c>
      <c r="N93" s="51" cm="1">
        <f t="array" ref="N93">IFERROR(_xlfn.SWITCH(L93,"R-FPA",285,"R-FPB",285,"R-FPC",325,"R-FPD",380,"Custom Carton","input W"),0)</f>
        <v>285</v>
      </c>
      <c r="O93" s="51">
        <v>180</v>
      </c>
      <c r="P93" s="51">
        <f>IFERROR(IF(K93="",0,(M93+N93)*2+15),0)</f>
        <v>1575</v>
      </c>
      <c r="Q93" s="51">
        <f>IFERROR(IF(K93="",0,(N93+O93)-10),0)</f>
        <v>455</v>
      </c>
      <c r="R93" s="53">
        <f xml:space="preserve"> P93 * Q93 * (1 + 2.5%) / 1000000</f>
        <v>0.73454062499999984</v>
      </c>
      <c r="S93" s="125">
        <f>R93*'RFQ_Matalan Carton'!$M$32</f>
        <v>0.75657684374999989</v>
      </c>
      <c r="T93" s="124">
        <f>S93</f>
        <v>0.75657684374999989</v>
      </c>
      <c r="U93" s="124">
        <f>I93*T93</f>
        <v>836.77398918749986</v>
      </c>
      <c r="V93" s="123">
        <f>((T93*I93)-W93)*7.5%</f>
        <v>56.482244270156237</v>
      </c>
      <c r="W93" s="124">
        <f>S93*I93*10%</f>
        <v>83.677398918749986</v>
      </c>
      <c r="X93" s="127"/>
    </row>
    <row r="94" spans="1:24" hidden="1">
      <c r="A94" s="118">
        <v>46236</v>
      </c>
      <c r="B94" s="118">
        <v>46240</v>
      </c>
      <c r="C94" s="119"/>
      <c r="D94" s="118" t="s">
        <v>200</v>
      </c>
      <c r="E94" s="118" t="s">
        <v>201</v>
      </c>
      <c r="F94" s="118" t="s">
        <v>129</v>
      </c>
      <c r="G94" s="119" t="s">
        <v>203</v>
      </c>
      <c r="H94" s="119">
        <v>7128054</v>
      </c>
      <c r="I94" s="119">
        <v>260</v>
      </c>
      <c r="J94" s="119" t="s">
        <v>121</v>
      </c>
      <c r="K94" s="119" t="s">
        <v>68</v>
      </c>
      <c r="L94" s="119" t="s">
        <v>109</v>
      </c>
      <c r="M94" s="51">
        <v>620</v>
      </c>
      <c r="N94" s="51">
        <v>320</v>
      </c>
      <c r="O94" s="51">
        <v>100</v>
      </c>
      <c r="P94" s="51">
        <f>IFERROR(IF(K94="",0,(M94+N94)*2+15),0)</f>
        <v>1895</v>
      </c>
      <c r="Q94" s="51">
        <f>IFERROR(IF(K94="",0,(N94+O94)-10),0)</f>
        <v>410</v>
      </c>
      <c r="R94" s="53">
        <f xml:space="preserve"> P94 * Q94 * (1 + 2.5%) / 1000000</f>
        <v>0.79637374999999988</v>
      </c>
      <c r="S94" s="125">
        <f>R94*'RFQ_Matalan Carton'!$M$32</f>
        <v>0.82026496249999992</v>
      </c>
      <c r="T94" s="124">
        <f>S94</f>
        <v>0.82026496249999992</v>
      </c>
      <c r="U94" s="124">
        <f>I94*T94</f>
        <v>213.26889024999997</v>
      </c>
      <c r="V94" s="123">
        <f>((T94*I94)-W94)*7.5%</f>
        <v>14.395650091874996</v>
      </c>
      <c r="W94" s="124">
        <f>S94*I94*10%</f>
        <v>21.326889025</v>
      </c>
      <c r="X94" s="127"/>
    </row>
    <row r="95" spans="1:24" hidden="1">
      <c r="A95" s="118">
        <v>46236</v>
      </c>
      <c r="B95" s="118">
        <v>46240</v>
      </c>
      <c r="C95" s="119"/>
      <c r="D95" s="118" t="s">
        <v>200</v>
      </c>
      <c r="E95" s="118" t="s">
        <v>201</v>
      </c>
      <c r="F95" s="118" t="s">
        <v>129</v>
      </c>
      <c r="G95" s="119" t="s">
        <v>203</v>
      </c>
      <c r="H95" s="119">
        <v>7128054</v>
      </c>
      <c r="I95" s="105">
        <v>262</v>
      </c>
      <c r="J95" s="105" t="s">
        <v>121</v>
      </c>
      <c r="K95" s="105" t="s">
        <v>68</v>
      </c>
      <c r="L95" s="119" t="s">
        <v>109</v>
      </c>
      <c r="M95" s="51">
        <v>800</v>
      </c>
      <c r="N95" s="51">
        <v>360</v>
      </c>
      <c r="O95" s="51">
        <v>120</v>
      </c>
      <c r="P95" s="51">
        <f>IFERROR(IF(K95="",0,(M95+N95)*2+15),0)</f>
        <v>2335</v>
      </c>
      <c r="Q95" s="51">
        <f>IFERROR(IF(K95="",0,(N95+O95)-10),0)</f>
        <v>470</v>
      </c>
      <c r="R95" s="53">
        <f xml:space="preserve"> P95 * Q95 * (1 + 2.5%) / 1000000</f>
        <v>1.1248862500000001</v>
      </c>
      <c r="S95" s="125">
        <f>R95*'RFQ_Matalan Carton'!$M$32</f>
        <v>1.1586328375000001</v>
      </c>
      <c r="T95" s="124">
        <f>S95</f>
        <v>1.1586328375000001</v>
      </c>
      <c r="U95" s="124">
        <f>I95*T95</f>
        <v>303.56180342500005</v>
      </c>
      <c r="V95" s="123">
        <f>((T95*I95)-W95)*7.5%</f>
        <v>20.490421731187503</v>
      </c>
      <c r="W95" s="124">
        <f>S95*I95*10%</f>
        <v>30.356180342500007</v>
      </c>
      <c r="X95" s="127"/>
    </row>
    <row r="96" spans="1:24" hidden="1">
      <c r="A96" s="118">
        <v>46238</v>
      </c>
      <c r="B96" s="118">
        <v>46243</v>
      </c>
      <c r="C96" s="119"/>
      <c r="D96" s="118" t="s">
        <v>200</v>
      </c>
      <c r="E96" s="118" t="s">
        <v>201</v>
      </c>
      <c r="F96" s="118" t="s">
        <v>129</v>
      </c>
      <c r="G96" s="119" t="s">
        <v>204</v>
      </c>
      <c r="H96" s="119">
        <v>7129094</v>
      </c>
      <c r="I96" s="119">
        <v>120</v>
      </c>
      <c r="J96" s="119" t="s">
        <v>121</v>
      </c>
      <c r="K96" s="119" t="s">
        <v>68</v>
      </c>
      <c r="L96" s="119" t="s">
        <v>109</v>
      </c>
      <c r="M96" s="51">
        <v>610</v>
      </c>
      <c r="N96" s="51">
        <v>380</v>
      </c>
      <c r="O96" s="51">
        <v>100</v>
      </c>
      <c r="P96" s="51">
        <f>IFERROR(IF(K96="",0,(M96+N96)*2+15),0)</f>
        <v>1995</v>
      </c>
      <c r="Q96" s="51">
        <f>IFERROR(IF(K96="",0,(N96+O96)-10),0)</f>
        <v>470</v>
      </c>
      <c r="R96" s="53">
        <f xml:space="preserve"> P96 * Q96 * (1 + 2.5%) / 1000000</f>
        <v>0.96109124999999984</v>
      </c>
      <c r="S96" s="125">
        <f>R96*'RFQ_Matalan Carton'!$M$32</f>
        <v>0.98992398749999988</v>
      </c>
      <c r="T96" s="124">
        <f>S96</f>
        <v>0.98992398749999988</v>
      </c>
      <c r="U96" s="124">
        <f>I96*T96</f>
        <v>118.79087849999999</v>
      </c>
      <c r="V96" s="123">
        <f>((T96*I96)-W96)*7.5%</f>
        <v>8.0183842987499983</v>
      </c>
      <c r="W96" s="124">
        <f>S96*I96*10%</f>
        <v>11.879087849999999</v>
      </c>
      <c r="X96" s="127"/>
    </row>
    <row r="97" spans="1:24" hidden="1">
      <c r="A97" s="118">
        <v>46238</v>
      </c>
      <c r="B97" s="118">
        <v>46243</v>
      </c>
      <c r="C97" s="119"/>
      <c r="D97" s="118" t="s">
        <v>200</v>
      </c>
      <c r="E97" s="118" t="s">
        <v>201</v>
      </c>
      <c r="F97" s="118" t="s">
        <v>129</v>
      </c>
      <c r="G97" s="119" t="s">
        <v>204</v>
      </c>
      <c r="H97" s="119">
        <v>7129094</v>
      </c>
      <c r="I97" s="119">
        <v>122</v>
      </c>
      <c r="J97" s="119" t="s">
        <v>121</v>
      </c>
      <c r="K97" s="119" t="s">
        <v>68</v>
      </c>
      <c r="L97" s="119" t="s">
        <v>109</v>
      </c>
      <c r="M97" s="51">
        <v>740</v>
      </c>
      <c r="N97" s="51">
        <v>420</v>
      </c>
      <c r="O97" s="51">
        <v>100</v>
      </c>
      <c r="P97" s="51">
        <f>IFERROR(IF(K97="",0,(M97+N97)*2+15),0)</f>
        <v>2335</v>
      </c>
      <c r="Q97" s="51">
        <f>IFERROR(IF(K97="",0,(N97+O97)-10),0)</f>
        <v>510</v>
      </c>
      <c r="R97" s="53">
        <f xml:space="preserve"> P97 * Q97 * (1 + 2.5%) / 1000000</f>
        <v>1.22062125</v>
      </c>
      <c r="S97" s="125">
        <f>R97*'RFQ_Matalan Carton'!$M$32</f>
        <v>1.2572398874999999</v>
      </c>
      <c r="T97" s="124">
        <f>S97</f>
        <v>1.2572398874999999</v>
      </c>
      <c r="U97" s="124">
        <f>I97*T97</f>
        <v>153.38326627499998</v>
      </c>
      <c r="V97" s="123">
        <f>((T97*I97)-W97)*7.5%</f>
        <v>10.353370473562498</v>
      </c>
      <c r="W97" s="124">
        <f>S97*I97*10%</f>
        <v>15.338326627499999</v>
      </c>
      <c r="X97" s="127"/>
    </row>
    <row r="98" spans="1:24" hidden="1">
      <c r="A98" s="118">
        <v>46240</v>
      </c>
      <c r="B98" s="118">
        <v>46243</v>
      </c>
      <c r="C98" s="119"/>
      <c r="D98" s="118" t="s">
        <v>200</v>
      </c>
      <c r="E98" s="118" t="s">
        <v>201</v>
      </c>
      <c r="F98" s="118" t="s">
        <v>129</v>
      </c>
      <c r="G98" s="119" t="s">
        <v>205</v>
      </c>
      <c r="H98" s="119">
        <v>7130506</v>
      </c>
      <c r="I98" s="119">
        <v>272</v>
      </c>
      <c r="J98" s="119" t="s">
        <v>121</v>
      </c>
      <c r="K98" s="119" t="s">
        <v>68</v>
      </c>
      <c r="L98" s="119" t="s">
        <v>109</v>
      </c>
      <c r="M98" s="51">
        <v>900</v>
      </c>
      <c r="N98" s="51">
        <v>400</v>
      </c>
      <c r="O98" s="51">
        <v>100</v>
      </c>
      <c r="P98" s="51">
        <f>IFERROR(IF(K98="",0,(M98+N98)*2+15),0)</f>
        <v>2615</v>
      </c>
      <c r="Q98" s="51">
        <f>IFERROR(IF(K98="",0,(N98+O98)-10),0)</f>
        <v>490</v>
      </c>
      <c r="R98" s="53">
        <f xml:space="preserve"> P98 * Q98 * (1 + 2.5%) / 1000000</f>
        <v>1.3133837500000001</v>
      </c>
      <c r="S98" s="125">
        <f>R98*'RFQ_Matalan Carton'!$M$32</f>
        <v>1.3527852625000001</v>
      </c>
      <c r="T98" s="124">
        <f>S98</f>
        <v>1.3527852625000001</v>
      </c>
      <c r="U98" s="124">
        <f>I98*T98</f>
        <v>367.95759140000001</v>
      </c>
      <c r="V98" s="123">
        <f>((T98*I98)-W98)*7.5%</f>
        <v>24.837137419499999</v>
      </c>
      <c r="W98" s="124">
        <f>S98*I98*10%</f>
        <v>36.795759140000001</v>
      </c>
      <c r="X98" s="127"/>
    </row>
    <row r="99" spans="1:24" hidden="1">
      <c r="A99" s="118">
        <v>46240</v>
      </c>
      <c r="B99" s="118">
        <v>46243</v>
      </c>
      <c r="C99" s="119"/>
      <c r="D99" s="118" t="s">
        <v>200</v>
      </c>
      <c r="E99" s="118" t="s">
        <v>201</v>
      </c>
      <c r="F99" s="118" t="s">
        <v>129</v>
      </c>
      <c r="G99" s="119" t="s">
        <v>205</v>
      </c>
      <c r="H99" s="119">
        <v>7130506</v>
      </c>
      <c r="I99" s="119">
        <v>272</v>
      </c>
      <c r="J99" s="119" t="s">
        <v>121</v>
      </c>
      <c r="K99" s="119" t="s">
        <v>68</v>
      </c>
      <c r="L99" s="119" t="s">
        <v>109</v>
      </c>
      <c r="M99" s="51">
        <v>950</v>
      </c>
      <c r="N99" s="51">
        <v>470</v>
      </c>
      <c r="O99" s="51">
        <v>110</v>
      </c>
      <c r="P99" s="51">
        <f>IFERROR(IF(K99="",0,(M99+N99)*2+15),0)</f>
        <v>2855</v>
      </c>
      <c r="Q99" s="51">
        <f>IFERROR(IF(K99="",0,(N99+O99)-10),0)</f>
        <v>570</v>
      </c>
      <c r="R99" s="53">
        <f xml:space="preserve"> P99 * Q99 * (1 + 2.5%) / 1000000</f>
        <v>1.6680337499999998</v>
      </c>
      <c r="S99" s="125">
        <f>R99*'RFQ_Matalan Carton'!$M$32</f>
        <v>1.7180747624999997</v>
      </c>
      <c r="T99" s="124">
        <f>S99</f>
        <v>1.7180747624999997</v>
      </c>
      <c r="U99" s="124">
        <f>I99*T99</f>
        <v>467.3163353999999</v>
      </c>
      <c r="V99" s="123">
        <f>((T99*I99)-W99)*7.5%</f>
        <v>31.543852639499988</v>
      </c>
      <c r="W99" s="124">
        <f>S99*I99*10%</f>
        <v>46.73163353999999</v>
      </c>
      <c r="X99" s="127"/>
    </row>
    <row r="100" spans="1:24" hidden="1">
      <c r="A100" s="118">
        <v>46243</v>
      </c>
      <c r="B100" s="118">
        <v>46244</v>
      </c>
      <c r="C100" s="119"/>
      <c r="D100" s="118" t="s">
        <v>200</v>
      </c>
      <c r="E100" s="118" t="s">
        <v>210</v>
      </c>
      <c r="F100" s="118" t="s">
        <v>129</v>
      </c>
      <c r="G100" s="119" t="s">
        <v>211</v>
      </c>
      <c r="H100" s="119">
        <v>7132064</v>
      </c>
      <c r="I100" s="119">
        <v>2026</v>
      </c>
      <c r="J100" s="119" t="s">
        <v>121</v>
      </c>
      <c r="K100" s="119" t="s">
        <v>68</v>
      </c>
      <c r="L100" s="119" t="s">
        <v>240</v>
      </c>
      <c r="M100" s="51" cm="1">
        <f t="array" ref="M100">IFERROR(_xlfn.SWITCH(L100,"R-FPA",495,"R-FPB",595,"R-FPC",595,"R-FPD",595,"Custom Carton","input L"),0)</f>
        <v>595</v>
      </c>
      <c r="N100" s="51" cm="1">
        <f t="array" ref="N100">IFERROR(_xlfn.SWITCH(L100,"R-FPA",285,"R-FPB",285,"R-FPC",325,"R-FPD",380,"Custom Carton","input W"),0)</f>
        <v>285</v>
      </c>
      <c r="O100" s="51">
        <v>170</v>
      </c>
      <c r="P100" s="51">
        <f>IFERROR(IF(K100="",0,(M100+N100)*2+15),0)</f>
        <v>1775</v>
      </c>
      <c r="Q100" s="51">
        <f>IFERROR(IF(K100="",0,(N100+O100)-10),0)</f>
        <v>445</v>
      </c>
      <c r="R100" s="53">
        <f xml:space="preserve"> P100 * Q100 * (1 + 2.5%) / 1000000</f>
        <v>0.80962187499999994</v>
      </c>
      <c r="S100" s="125">
        <f>R100*'RFQ_Matalan Carton'!$M$32</f>
        <v>0.83391053124999992</v>
      </c>
      <c r="T100" s="124">
        <f>S100</f>
        <v>0.83391053124999992</v>
      </c>
      <c r="U100" s="124">
        <f>I100*T100</f>
        <v>1689.5027363124998</v>
      </c>
      <c r="V100" s="123">
        <f>((T100*I100)-W100)*7.5%</f>
        <v>114.04143470109373</v>
      </c>
      <c r="W100" s="124">
        <f>S100*I100*10%</f>
        <v>168.95027363124998</v>
      </c>
      <c r="X100" s="127"/>
    </row>
    <row r="101" spans="1:24" hidden="1">
      <c r="A101" s="118">
        <v>46246</v>
      </c>
      <c r="B101" s="118">
        <v>46247</v>
      </c>
      <c r="C101" s="119"/>
      <c r="D101" s="118" t="s">
        <v>181</v>
      </c>
      <c r="E101" s="118" t="s">
        <v>184</v>
      </c>
      <c r="F101" s="118" t="s">
        <v>129</v>
      </c>
      <c r="G101" s="119" t="s">
        <v>185</v>
      </c>
      <c r="H101" s="119">
        <v>7132988</v>
      </c>
      <c r="I101" s="119">
        <v>291</v>
      </c>
      <c r="J101" s="119" t="s">
        <v>121</v>
      </c>
      <c r="K101" s="119" t="s">
        <v>68</v>
      </c>
      <c r="L101" s="119" t="s">
        <v>130</v>
      </c>
      <c r="M101" s="51" cm="1">
        <f t="array" ref="M101">IFERROR(_xlfn.SWITCH(L101,"R-FPA",495,"R-FPB",595,"R-FPC",595,"R-FPD",595,"Custom Carton","input L"),0)</f>
        <v>595</v>
      </c>
      <c r="N101" s="51" cm="1">
        <f t="array" ref="N101">IFERROR(_xlfn.SWITCH(L101,"R-FPA",285,"R-FPB",285,"R-FPC",325,"R-FPD",380,"Custom Carton","input W"),0)</f>
        <v>325</v>
      </c>
      <c r="O101" s="51">
        <v>100</v>
      </c>
      <c r="P101" s="51">
        <f>IFERROR(IF(K101="",0,(M101+N101)*2+15),0)</f>
        <v>1855</v>
      </c>
      <c r="Q101" s="51">
        <f>IFERROR(IF(K101="",0,(N101+O101)-10),0)</f>
        <v>415</v>
      </c>
      <c r="R101" s="53">
        <f xml:space="preserve"> P101 * Q101 * (1 + 2.5%) / 1000000</f>
        <v>0.78907062499999991</v>
      </c>
      <c r="S101" s="125">
        <f>R101*'RFQ_Matalan Carton'!$M$32</f>
        <v>0.81274274374999989</v>
      </c>
      <c r="T101" s="124">
        <f>S101</f>
        <v>0.81274274374999989</v>
      </c>
      <c r="U101" s="124">
        <f>I101*T101</f>
        <v>236.50813843124996</v>
      </c>
      <c r="V101" s="123">
        <f>((T101*I101)-W101)*7.5%</f>
        <v>15.964299344109371</v>
      </c>
      <c r="W101" s="124">
        <f>S101*I101*10%</f>
        <v>23.650813843124997</v>
      </c>
      <c r="X101" s="127"/>
    </row>
    <row r="102" spans="1:24" hidden="1">
      <c r="A102" s="118">
        <v>46246</v>
      </c>
      <c r="B102" s="118">
        <v>46247</v>
      </c>
      <c r="C102" s="119"/>
      <c r="D102" s="118" t="s">
        <v>181</v>
      </c>
      <c r="E102" s="118" t="s">
        <v>184</v>
      </c>
      <c r="F102" s="118" t="s">
        <v>129</v>
      </c>
      <c r="G102" s="119" t="s">
        <v>185</v>
      </c>
      <c r="H102" s="119">
        <v>7132988</v>
      </c>
      <c r="I102" s="119">
        <v>291</v>
      </c>
      <c r="J102" s="119" t="s">
        <v>121</v>
      </c>
      <c r="K102" s="119" t="s">
        <v>68</v>
      </c>
      <c r="L102" s="119" t="s">
        <v>141</v>
      </c>
      <c r="M102" s="51" cm="1">
        <f t="array" ref="M102">IFERROR(_xlfn.SWITCH(L102,"R-FPA",495,"R-FPB",595,"R-FPC",595,"R-FPD",595,"Custom Carton","input L"),0)</f>
        <v>595</v>
      </c>
      <c r="N102" s="51" cm="1">
        <f t="array" ref="N102">IFERROR(_xlfn.SWITCH(L102,"R-FPA",285,"R-FPB",285,"R-FPC",325,"R-FPD",380,"Custom Carton","input W"),0)</f>
        <v>380</v>
      </c>
      <c r="O102" s="51">
        <v>180</v>
      </c>
      <c r="P102" s="51">
        <f>IFERROR(IF(K102="",0,(M102+N102)*2+15),0)</f>
        <v>1965</v>
      </c>
      <c r="Q102" s="51">
        <f>IFERROR(IF(K102="",0,(N102+O102)-10),0)</f>
        <v>550</v>
      </c>
      <c r="R102" s="53">
        <f xml:space="preserve"> P102 * Q102 * (1 + 2.5%) / 1000000</f>
        <v>1.10776875</v>
      </c>
      <c r="S102" s="125">
        <f>R102*'RFQ_Matalan Carton'!$M$32</f>
        <v>1.1410018125000001</v>
      </c>
      <c r="T102" s="124">
        <f>S102</f>
        <v>1.1410018125000001</v>
      </c>
      <c r="U102" s="124">
        <f>I102*T102</f>
        <v>332.03152743750002</v>
      </c>
      <c r="V102" s="123">
        <f>((T102*I102)-W102)*7.5%</f>
        <v>22.41212810203125</v>
      </c>
      <c r="W102" s="124">
        <f>S102*I102*10%</f>
        <v>33.203152743750003</v>
      </c>
      <c r="X102" s="127"/>
    </row>
    <row r="103" spans="1:24" hidden="1">
      <c r="A103" s="118">
        <v>46246</v>
      </c>
      <c r="B103" s="118">
        <v>46247</v>
      </c>
      <c r="C103" s="119"/>
      <c r="D103" s="118" t="s">
        <v>181</v>
      </c>
      <c r="E103" s="118" t="s">
        <v>182</v>
      </c>
      <c r="F103" s="118" t="s">
        <v>129</v>
      </c>
      <c r="G103" s="119" t="s">
        <v>183</v>
      </c>
      <c r="H103" s="119">
        <v>7134301</v>
      </c>
      <c r="I103" s="119">
        <v>229</v>
      </c>
      <c r="J103" s="119" t="s">
        <v>121</v>
      </c>
      <c r="K103" s="119" t="s">
        <v>68</v>
      </c>
      <c r="L103" s="119" t="s">
        <v>187</v>
      </c>
      <c r="M103" s="51" cm="1">
        <f t="array" ref="M103">IFERROR(_xlfn.SWITCH(L103,"R-FPA",495,"R-FPB",595,"R-FPC",595,"R-FPD",595,"Custom Carton","input L"),0)</f>
        <v>495</v>
      </c>
      <c r="N103" s="51" cm="1">
        <f t="array" ref="N103">IFERROR(_xlfn.SWITCH(L103,"R-FPA",285,"R-FPB",285,"R-FPC",325,"R-FPD",380,"Custom Carton","input W"),0)</f>
        <v>285</v>
      </c>
      <c r="O103" s="51">
        <v>100</v>
      </c>
      <c r="P103" s="51">
        <f>IFERROR(IF(K103="",0,(M103+N103)*2+15),0)</f>
        <v>1575</v>
      </c>
      <c r="Q103" s="51">
        <f>IFERROR(IF(K103="",0,(N103+O103)-10),0)</f>
        <v>375</v>
      </c>
      <c r="R103" s="53">
        <f xml:space="preserve"> P103 * Q103 * (1 + 2.5%) / 1000000</f>
        <v>0.60539062499999996</v>
      </c>
      <c r="S103" s="125">
        <f>R103*'RFQ_Matalan Carton'!$M$32</f>
        <v>0.62355234375000002</v>
      </c>
      <c r="T103" s="124">
        <f>S103</f>
        <v>0.62355234375000002</v>
      </c>
      <c r="U103" s="124">
        <f>I103*T103</f>
        <v>142.79348671875002</v>
      </c>
      <c r="V103" s="123">
        <f>((T103*I103)-W103)*7.5%</f>
        <v>9.6385603535156257</v>
      </c>
      <c r="W103" s="124">
        <f>S103*I103*10%</f>
        <v>14.279348671875002</v>
      </c>
      <c r="X103" s="127"/>
    </row>
    <row r="104" spans="1:24" hidden="1">
      <c r="A104" s="118">
        <v>46246</v>
      </c>
      <c r="B104" s="118">
        <v>46247</v>
      </c>
      <c r="C104" s="119"/>
      <c r="D104" s="118" t="s">
        <v>181</v>
      </c>
      <c r="E104" s="118" t="s">
        <v>182</v>
      </c>
      <c r="F104" s="118" t="s">
        <v>129</v>
      </c>
      <c r="G104" s="119" t="s">
        <v>183</v>
      </c>
      <c r="H104" s="119">
        <v>7134301</v>
      </c>
      <c r="I104" s="105">
        <v>229</v>
      </c>
      <c r="J104" s="119" t="s">
        <v>121</v>
      </c>
      <c r="K104" s="119" t="s">
        <v>68</v>
      </c>
      <c r="L104" s="119" t="s">
        <v>141</v>
      </c>
      <c r="M104" s="51" cm="1">
        <f t="array" ref="M104">IFERROR(_xlfn.SWITCH(L104,"R-FPA",495,"R-FPB",595,"R-FPC",595,"R-FPD",595,"Custom Carton","input L"),0)</f>
        <v>595</v>
      </c>
      <c r="N104" s="51" cm="1">
        <f t="array" ref="N104">IFERROR(_xlfn.SWITCH(L104,"R-FPA",285,"R-FPB",285,"R-FPC",325,"R-FPD",380,"Custom Carton","input W"),0)</f>
        <v>380</v>
      </c>
      <c r="O104" s="51">
        <v>150</v>
      </c>
      <c r="P104" s="51">
        <f>IFERROR(IF(K104="",0,(M104+N104)*2+15),0)</f>
        <v>1965</v>
      </c>
      <c r="Q104" s="51">
        <f>IFERROR(IF(K104="",0,(N104+O104)-10),0)</f>
        <v>520</v>
      </c>
      <c r="R104" s="53">
        <f xml:space="preserve"> P104 * Q104 * (1 + 2.5%) / 1000000</f>
        <v>1.047345</v>
      </c>
      <c r="S104" s="125">
        <f>R104*'RFQ_Matalan Carton'!$M$32</f>
        <v>1.0787653500000001</v>
      </c>
      <c r="T104" s="124">
        <f>S104</f>
        <v>1.0787653500000001</v>
      </c>
      <c r="U104" s="124">
        <f>I104*T104</f>
        <v>247.03726515000002</v>
      </c>
      <c r="V104" s="123">
        <f>((T104*I104)-W104)*7.5%</f>
        <v>16.675015397625</v>
      </c>
      <c r="W104" s="124">
        <f>S104*I104*10%</f>
        <v>24.703726515000003</v>
      </c>
      <c r="X104" s="127"/>
    </row>
    <row r="105" spans="1:24" hidden="1">
      <c r="A105" s="118">
        <v>46247</v>
      </c>
      <c r="B105" s="118">
        <v>46250</v>
      </c>
      <c r="C105" s="119"/>
      <c r="D105" s="118" t="s">
        <v>200</v>
      </c>
      <c r="E105" s="118" t="s">
        <v>201</v>
      </c>
      <c r="F105" s="118" t="s">
        <v>129</v>
      </c>
      <c r="G105" s="119" t="s">
        <v>206</v>
      </c>
      <c r="H105" s="119">
        <v>7135089</v>
      </c>
      <c r="I105" s="119">
        <v>240</v>
      </c>
      <c r="J105" s="119" t="s">
        <v>121</v>
      </c>
      <c r="K105" s="119" t="s">
        <v>68</v>
      </c>
      <c r="L105" s="119" t="s">
        <v>109</v>
      </c>
      <c r="M105" s="51">
        <v>620</v>
      </c>
      <c r="N105" s="51">
        <v>330</v>
      </c>
      <c r="O105" s="51">
        <v>100</v>
      </c>
      <c r="P105" s="51">
        <f>IFERROR(IF(K105="",0,(M105+N105)*2+15),0)</f>
        <v>1915</v>
      </c>
      <c r="Q105" s="51">
        <f>IFERROR(IF(K105="",0,(N105+O105)-10),0)</f>
        <v>420</v>
      </c>
      <c r="R105" s="53">
        <f xml:space="preserve"> P105 * Q105 * (1 + 2.5%) / 1000000</f>
        <v>0.82440749999999985</v>
      </c>
      <c r="S105" s="125">
        <f>R105*'RFQ_Matalan Carton'!$M$32</f>
        <v>0.8491397249999999</v>
      </c>
      <c r="T105" s="124">
        <f>S105</f>
        <v>0.8491397249999999</v>
      </c>
      <c r="U105" s="124">
        <f>I105*T105</f>
        <v>203.79353399999997</v>
      </c>
      <c r="V105" s="123">
        <f>((T105*I105)-W105)*7.5%</f>
        <v>13.756063544999996</v>
      </c>
      <c r="W105" s="124">
        <f>S105*I105*10%</f>
        <v>20.379353399999999</v>
      </c>
      <c r="X105" s="127"/>
    </row>
    <row r="106" spans="1:24" hidden="1">
      <c r="A106" s="118">
        <v>46247</v>
      </c>
      <c r="B106" s="118">
        <v>46250</v>
      </c>
      <c r="C106" s="119"/>
      <c r="D106" s="118" t="s">
        <v>200</v>
      </c>
      <c r="E106" s="118" t="s">
        <v>201</v>
      </c>
      <c r="F106" s="118" t="s">
        <v>129</v>
      </c>
      <c r="G106" s="119" t="s">
        <v>206</v>
      </c>
      <c r="H106" s="119">
        <v>7135089</v>
      </c>
      <c r="I106" s="119">
        <v>242</v>
      </c>
      <c r="J106" s="119" t="s">
        <v>121</v>
      </c>
      <c r="K106" s="119" t="s">
        <v>68</v>
      </c>
      <c r="L106" s="119" t="s">
        <v>109</v>
      </c>
      <c r="M106" s="51">
        <v>780</v>
      </c>
      <c r="N106" s="51">
        <v>390</v>
      </c>
      <c r="O106" s="51">
        <v>130</v>
      </c>
      <c r="P106" s="51">
        <f>IFERROR(IF(K106="",0,(M106+N106)*2+15),0)</f>
        <v>2355</v>
      </c>
      <c r="Q106" s="51">
        <f>IFERROR(IF(K106="",0,(N106+O106)-10),0)</f>
        <v>510</v>
      </c>
      <c r="R106" s="53">
        <f xml:space="preserve"> P106 * Q106 * (1 + 2.5%) / 1000000</f>
        <v>1.2310762500000001</v>
      </c>
      <c r="S106" s="125">
        <f>R106*'RFQ_Matalan Carton'!$M$32</f>
        <v>1.2680085375000001</v>
      </c>
      <c r="T106" s="124">
        <f>S106</f>
        <v>1.2680085375000001</v>
      </c>
      <c r="U106" s="124">
        <f>I106*T106</f>
        <v>306.85806607500001</v>
      </c>
      <c r="V106" s="123">
        <f>((T106*I106)-W106)*7.5%</f>
        <v>20.712919460062498</v>
      </c>
      <c r="W106" s="124">
        <f>S106*I106*10%</f>
        <v>30.685806607500002</v>
      </c>
      <c r="X106" s="127"/>
    </row>
    <row r="107" spans="1:24" hidden="1">
      <c r="A107" s="118">
        <v>46247</v>
      </c>
      <c r="B107" s="118">
        <v>46249</v>
      </c>
      <c r="C107" s="119"/>
      <c r="D107" s="118" t="s">
        <v>200</v>
      </c>
      <c r="E107" s="118" t="s">
        <v>201</v>
      </c>
      <c r="F107" s="118" t="s">
        <v>129</v>
      </c>
      <c r="G107" s="119" t="s">
        <v>207</v>
      </c>
      <c r="H107" s="119">
        <v>7135275</v>
      </c>
      <c r="I107" s="119">
        <v>294</v>
      </c>
      <c r="J107" s="119" t="s">
        <v>121</v>
      </c>
      <c r="K107" s="119" t="s">
        <v>68</v>
      </c>
      <c r="L107" s="119" t="s">
        <v>109</v>
      </c>
      <c r="M107" s="51">
        <v>780</v>
      </c>
      <c r="N107" s="51">
        <v>460</v>
      </c>
      <c r="O107" s="51">
        <v>100</v>
      </c>
      <c r="P107" s="51">
        <f>IFERROR(IF(K107="",0,(M107+N107)*2+15),0)</f>
        <v>2495</v>
      </c>
      <c r="Q107" s="51">
        <f>IFERROR(IF(K107="",0,(N107+O107)-10),0)</f>
        <v>550</v>
      </c>
      <c r="R107" s="53">
        <f xml:space="preserve"> P107 * Q107 * (1 + 2.5%) / 1000000</f>
        <v>1.4065562499999997</v>
      </c>
      <c r="S107" s="125">
        <f>R107*'RFQ_Matalan Carton'!$M$32</f>
        <v>1.4487529374999997</v>
      </c>
      <c r="T107" s="124">
        <f>S107</f>
        <v>1.4487529374999997</v>
      </c>
      <c r="U107" s="124">
        <f>I107*T107</f>
        <v>425.93336362499991</v>
      </c>
      <c r="V107" s="123">
        <f>((T107*I107)-W107)*7.5%</f>
        <v>28.750502044687494</v>
      </c>
      <c r="W107" s="124">
        <f>S107*I107*10%</f>
        <v>42.593336362499997</v>
      </c>
      <c r="X107" s="127"/>
    </row>
    <row r="108" spans="1:24" hidden="1">
      <c r="A108" s="118">
        <v>46247</v>
      </c>
      <c r="B108" s="118">
        <v>46249</v>
      </c>
      <c r="C108" s="119"/>
      <c r="D108" s="118" t="s">
        <v>200</v>
      </c>
      <c r="E108" s="118" t="s">
        <v>201</v>
      </c>
      <c r="F108" s="118" t="s">
        <v>129</v>
      </c>
      <c r="G108" s="119" t="s">
        <v>207</v>
      </c>
      <c r="H108" s="119">
        <v>7135275</v>
      </c>
      <c r="I108" s="119">
        <v>294</v>
      </c>
      <c r="J108" s="119" t="s">
        <v>121</v>
      </c>
      <c r="K108" s="119" t="s">
        <v>68</v>
      </c>
      <c r="L108" s="119" t="s">
        <v>109</v>
      </c>
      <c r="M108" s="51">
        <v>880</v>
      </c>
      <c r="N108" s="51">
        <v>490</v>
      </c>
      <c r="O108" s="51">
        <v>100</v>
      </c>
      <c r="P108" s="51">
        <f>IFERROR(IF(K108="",0,(M108+N108)*2+15),0)</f>
        <v>2755</v>
      </c>
      <c r="Q108" s="51">
        <f>IFERROR(IF(K108="",0,(N108+O108)-10),0)</f>
        <v>580</v>
      </c>
      <c r="R108" s="53">
        <f xml:space="preserve"> P108 * Q108 * (1 + 2.5%) / 1000000</f>
        <v>1.6378474999999997</v>
      </c>
      <c r="S108" s="125">
        <f>R108*'RFQ_Matalan Carton'!$M$32</f>
        <v>1.6869829249999997</v>
      </c>
      <c r="T108" s="124">
        <f>S108</f>
        <v>1.6869829249999997</v>
      </c>
      <c r="U108" s="124">
        <f>I108*T108</f>
        <v>495.97297994999991</v>
      </c>
      <c r="V108" s="123">
        <f>((T108*I108)-W108)*7.5%</f>
        <v>33.478176146624989</v>
      </c>
      <c r="W108" s="124">
        <f>S108*I108*10%</f>
        <v>49.597297994999991</v>
      </c>
      <c r="X108" s="127"/>
    </row>
    <row r="109" spans="1:24" hidden="1">
      <c r="A109" s="118">
        <v>46249</v>
      </c>
      <c r="B109" s="118">
        <v>46252</v>
      </c>
      <c r="C109" s="119"/>
      <c r="D109" s="118" t="s">
        <v>200</v>
      </c>
      <c r="E109" s="118" t="s">
        <v>201</v>
      </c>
      <c r="F109" s="118" t="s">
        <v>129</v>
      </c>
      <c r="G109" s="119" t="s">
        <v>207</v>
      </c>
      <c r="H109" s="119">
        <v>7136111</v>
      </c>
      <c r="I109" s="119">
        <v>280</v>
      </c>
      <c r="J109" s="119" t="s">
        <v>121</v>
      </c>
      <c r="K109" s="119" t="s">
        <v>68</v>
      </c>
      <c r="L109" s="119" t="s">
        <v>109</v>
      </c>
      <c r="M109" s="51">
        <v>780</v>
      </c>
      <c r="N109" s="51">
        <v>460</v>
      </c>
      <c r="O109" s="51">
        <v>100</v>
      </c>
      <c r="P109" s="51">
        <f>IFERROR(IF(K109="",0,(M109+N109)*2+15),0)</f>
        <v>2495</v>
      </c>
      <c r="Q109" s="51">
        <f>IFERROR(IF(K109="",0,(N109+O109)-10),0)</f>
        <v>550</v>
      </c>
      <c r="R109" s="53">
        <f xml:space="preserve"> P109 * Q109 * (1 + 2.5%) / 1000000</f>
        <v>1.4065562499999997</v>
      </c>
      <c r="S109" s="125">
        <f>R109*'RFQ_Matalan Carton'!$M$32</f>
        <v>1.4487529374999997</v>
      </c>
      <c r="T109" s="124">
        <f>S109</f>
        <v>1.4487529374999997</v>
      </c>
      <c r="U109" s="124">
        <f>I109*T109</f>
        <v>405.65082249999989</v>
      </c>
      <c r="V109" s="123">
        <f>((T109*I109)-W109)*7.5%</f>
        <v>27.38143051874999</v>
      </c>
      <c r="W109" s="124">
        <f>S109*I109*10%</f>
        <v>40.565082249999989</v>
      </c>
      <c r="X109" s="127"/>
    </row>
    <row r="110" spans="1:24" hidden="1">
      <c r="A110" s="118">
        <v>46249</v>
      </c>
      <c r="B110" s="118">
        <v>46252</v>
      </c>
      <c r="C110" s="119"/>
      <c r="D110" s="118" t="s">
        <v>200</v>
      </c>
      <c r="E110" s="118" t="s">
        <v>201</v>
      </c>
      <c r="F110" s="118" t="s">
        <v>129</v>
      </c>
      <c r="G110" s="119" t="s">
        <v>207</v>
      </c>
      <c r="H110" s="119">
        <v>7136111</v>
      </c>
      <c r="I110" s="119">
        <v>280</v>
      </c>
      <c r="J110" s="119" t="s">
        <v>121</v>
      </c>
      <c r="K110" s="119" t="s">
        <v>68</v>
      </c>
      <c r="L110" s="119" t="s">
        <v>109</v>
      </c>
      <c r="M110" s="51">
        <v>880</v>
      </c>
      <c r="N110" s="51">
        <v>490</v>
      </c>
      <c r="O110" s="51">
        <v>100</v>
      </c>
      <c r="P110" s="51">
        <f>IFERROR(IF(K110="",0,(M110+N110)*2+15),0)</f>
        <v>2755</v>
      </c>
      <c r="Q110" s="51">
        <f>IFERROR(IF(K110="",0,(N110+O110)-10),0)</f>
        <v>580</v>
      </c>
      <c r="R110" s="53">
        <f xml:space="preserve"> P110 * Q110 * (1 + 2.5%) / 1000000</f>
        <v>1.6378474999999997</v>
      </c>
      <c r="S110" s="125">
        <f>R110*'RFQ_Matalan Carton'!$M$32</f>
        <v>1.6869829249999997</v>
      </c>
      <c r="T110" s="124">
        <f>S110</f>
        <v>1.6869829249999997</v>
      </c>
      <c r="U110" s="124">
        <f>I110*T110</f>
        <v>472.35521899999992</v>
      </c>
      <c r="V110" s="123">
        <f>((T110*I110)-W110)*7.5%</f>
        <v>31.883977282499995</v>
      </c>
      <c r="W110" s="124">
        <f>S110*I110*10%</f>
        <v>47.235521899999995</v>
      </c>
      <c r="X110" s="127"/>
    </row>
    <row r="111" spans="1:24" ht="14.25" hidden="1">
      <c r="A111" s="118">
        <v>46249</v>
      </c>
      <c r="B111" s="118">
        <v>46251</v>
      </c>
      <c r="C111" s="119"/>
      <c r="D111" s="118" t="s">
        <v>200</v>
      </c>
      <c r="E111" s="118" t="s">
        <v>201</v>
      </c>
      <c r="F111" s="118" t="s">
        <v>129</v>
      </c>
      <c r="G111" s="119" t="s">
        <v>208</v>
      </c>
      <c r="H111" s="119">
        <v>7136184</v>
      </c>
      <c r="I111" s="119">
        <v>298</v>
      </c>
      <c r="J111" s="119" t="s">
        <v>121</v>
      </c>
      <c r="K111" s="119" t="s">
        <v>68</v>
      </c>
      <c r="L111" s="119" t="s">
        <v>109</v>
      </c>
      <c r="M111" s="51">
        <v>520</v>
      </c>
      <c r="N111" s="51">
        <v>360</v>
      </c>
      <c r="O111" s="51">
        <v>100</v>
      </c>
      <c r="P111" s="51">
        <f>IFERROR(IF(K111="",0,(M111+N111)*2+15),0)</f>
        <v>1775</v>
      </c>
      <c r="Q111" s="51">
        <f>IFERROR(IF(K111="",0,(N111+O111)-10),0)</f>
        <v>450</v>
      </c>
      <c r="R111" s="53">
        <f xml:space="preserve"> P111 * Q111 * (1 + 2.5%) / 1000000</f>
        <v>0.81871874999999983</v>
      </c>
      <c r="S111" s="125">
        <f>R111*'RFQ_Matalan Carton'!$M$32</f>
        <v>0.8432803124999998</v>
      </c>
      <c r="T111" s="124">
        <f>S111</f>
        <v>0.8432803124999998</v>
      </c>
      <c r="U111" s="124">
        <f>I111*T111</f>
        <v>251.29753312499994</v>
      </c>
      <c r="V111" s="123">
        <f>((T111*I111)-W111)*7.5%</f>
        <v>16.962583485937497</v>
      </c>
      <c r="W111" s="124">
        <f>S111*I111*10%</f>
        <v>25.129753312499997</v>
      </c>
      <c r="X111" s="127"/>
    </row>
    <row r="112" spans="1:24" hidden="1">
      <c r="A112" s="118">
        <v>46249</v>
      </c>
      <c r="B112" s="118">
        <v>46251</v>
      </c>
      <c r="C112" s="119"/>
      <c r="D112" s="118" t="s">
        <v>200</v>
      </c>
      <c r="E112" s="118" t="s">
        <v>201</v>
      </c>
      <c r="F112" s="118" t="s">
        <v>129</v>
      </c>
      <c r="G112" s="119" t="s">
        <v>208</v>
      </c>
      <c r="H112" s="119">
        <v>7136184</v>
      </c>
      <c r="I112" s="119">
        <v>298</v>
      </c>
      <c r="J112" s="119" t="s">
        <v>121</v>
      </c>
      <c r="K112" s="119" t="s">
        <v>68</v>
      </c>
      <c r="L112" s="119" t="s">
        <v>109</v>
      </c>
      <c r="M112" s="51">
        <v>650</v>
      </c>
      <c r="N112" s="51">
        <v>400</v>
      </c>
      <c r="O112" s="51">
        <v>100</v>
      </c>
      <c r="P112" s="51">
        <f>IFERROR(IF(K112="",0,(M112+N112)*2+15),0)</f>
        <v>2115</v>
      </c>
      <c r="Q112" s="51">
        <f>IFERROR(IF(K112="",0,(N112+O112)-10),0)</f>
        <v>490</v>
      </c>
      <c r="R112" s="53">
        <f xml:space="preserve"> P112 * Q112 * (1 + 2.5%) / 1000000</f>
        <v>1.06225875</v>
      </c>
      <c r="S112" s="125">
        <f>R112*'RFQ_Matalan Carton'!$M$32</f>
        <v>1.0941265125000001</v>
      </c>
      <c r="T112" s="124">
        <f>S112</f>
        <v>1.0941265125000001</v>
      </c>
      <c r="U112" s="124">
        <f>I112*T112</f>
        <v>326.04970072500004</v>
      </c>
      <c r="V112" s="123">
        <f>((T112*I112)-W112)*7.5%</f>
        <v>22.0083547989375</v>
      </c>
      <c r="W112" s="124">
        <f>S112*I112*10%</f>
        <v>32.604970072500002</v>
      </c>
      <c r="X112" s="127"/>
    </row>
    <row r="113" spans="1:25" hidden="1">
      <c r="A113" s="118">
        <v>46249</v>
      </c>
      <c r="B113" s="118">
        <v>46251</v>
      </c>
      <c r="C113" s="119"/>
      <c r="D113" s="118" t="s">
        <v>200</v>
      </c>
      <c r="E113" s="118" t="s">
        <v>201</v>
      </c>
      <c r="F113" s="118" t="s">
        <v>129</v>
      </c>
      <c r="G113" s="119" t="s">
        <v>208</v>
      </c>
      <c r="H113" s="119">
        <v>7136197</v>
      </c>
      <c r="I113" s="119">
        <v>324</v>
      </c>
      <c r="J113" s="119" t="s">
        <v>121</v>
      </c>
      <c r="K113" s="119" t="s">
        <v>68</v>
      </c>
      <c r="L113" s="119" t="s">
        <v>109</v>
      </c>
      <c r="M113" s="51">
        <v>520</v>
      </c>
      <c r="N113" s="51">
        <v>360</v>
      </c>
      <c r="O113" s="51">
        <v>100</v>
      </c>
      <c r="P113" s="51">
        <f>IFERROR(IF(K113="",0,(M113+N113)*2+15),0)</f>
        <v>1775</v>
      </c>
      <c r="Q113" s="51">
        <f>IFERROR(IF(K113="",0,(N113+O113)-10),0)</f>
        <v>450</v>
      </c>
      <c r="R113" s="53">
        <f xml:space="preserve"> P113 * Q113 * (1 + 2.5%) / 1000000</f>
        <v>0.81871874999999983</v>
      </c>
      <c r="S113" s="125">
        <f>R113*'RFQ_Matalan Carton'!$M$32</f>
        <v>0.8432803124999998</v>
      </c>
      <c r="T113" s="124">
        <f>S113</f>
        <v>0.8432803124999998</v>
      </c>
      <c r="U113" s="124">
        <f>I113*T113</f>
        <v>273.22282124999992</v>
      </c>
      <c r="V113" s="123">
        <f>((T113*I113)-W113)*7.5%</f>
        <v>18.442540434374994</v>
      </c>
      <c r="W113" s="124">
        <f>S113*I113*10%</f>
        <v>27.322282124999994</v>
      </c>
      <c r="X113" s="127"/>
      <c r="Y113" s="35"/>
    </row>
    <row r="114" spans="1:25" hidden="1">
      <c r="A114" s="118">
        <v>46249</v>
      </c>
      <c r="B114" s="118">
        <v>46252</v>
      </c>
      <c r="C114" s="119"/>
      <c r="D114" s="118" t="s">
        <v>200</v>
      </c>
      <c r="E114" s="118" t="s">
        <v>201</v>
      </c>
      <c r="F114" s="118" t="s">
        <v>129</v>
      </c>
      <c r="G114" s="119" t="s">
        <v>208</v>
      </c>
      <c r="H114" s="119">
        <v>7136197</v>
      </c>
      <c r="I114" s="119">
        <v>324</v>
      </c>
      <c r="J114" s="119" t="s">
        <v>121</v>
      </c>
      <c r="K114" s="119" t="s">
        <v>68</v>
      </c>
      <c r="L114" s="119" t="s">
        <v>109</v>
      </c>
      <c r="M114" s="51">
        <v>650</v>
      </c>
      <c r="N114" s="51">
        <v>400</v>
      </c>
      <c r="O114" s="51">
        <v>100</v>
      </c>
      <c r="P114" s="51">
        <f>IFERROR(IF(K114="",0,(M114+N114)*2+15),0)</f>
        <v>2115</v>
      </c>
      <c r="Q114" s="51">
        <f>IFERROR(IF(K114="",0,(N114+O114)-10),0)</f>
        <v>490</v>
      </c>
      <c r="R114" s="53">
        <f xml:space="preserve"> P114 * Q114 * (1 + 2.5%) / 1000000</f>
        <v>1.06225875</v>
      </c>
      <c r="S114" s="125">
        <f>R114*'RFQ_Matalan Carton'!$M$32</f>
        <v>1.0941265125000001</v>
      </c>
      <c r="T114" s="124">
        <f>S114</f>
        <v>1.0941265125000001</v>
      </c>
      <c r="U114" s="124">
        <f>I114*T114</f>
        <v>354.49699005000002</v>
      </c>
      <c r="V114" s="123">
        <f>((T114*I114)-W114)*7.5%</f>
        <v>23.928546828375001</v>
      </c>
      <c r="W114" s="124">
        <f>S114*I114*10%</f>
        <v>35.449699005000006</v>
      </c>
      <c r="X114" s="127"/>
    </row>
    <row r="115" spans="1:25" hidden="1">
      <c r="A115" s="118">
        <v>46250</v>
      </c>
      <c r="B115" s="118">
        <v>46251</v>
      </c>
      <c r="C115" s="119"/>
      <c r="D115" s="118" t="s">
        <v>200</v>
      </c>
      <c r="E115" s="118" t="s">
        <v>210</v>
      </c>
      <c r="F115" s="118" t="s">
        <v>129</v>
      </c>
      <c r="G115" s="119" t="s">
        <v>215</v>
      </c>
      <c r="H115" s="119">
        <v>7136359</v>
      </c>
      <c r="I115" s="119">
        <v>510</v>
      </c>
      <c r="J115" s="119" t="s">
        <v>121</v>
      </c>
      <c r="K115" s="119" t="s">
        <v>68</v>
      </c>
      <c r="L115" s="119" t="s">
        <v>240</v>
      </c>
      <c r="M115" s="51" cm="1">
        <f t="array" ref="M115">IFERROR(_xlfn.SWITCH(L115,"R-FPA",495,"R-FPB",595,"R-FPC",595,"R-FPD",595,"Custom Carton","input L"),0)</f>
        <v>595</v>
      </c>
      <c r="N115" s="51" cm="1">
        <f t="array" ref="N115">IFERROR(_xlfn.SWITCH(L115,"R-FPA",285,"R-FPB",285,"R-FPC",325,"R-FPD",380,"Custom Carton","input W"),0)</f>
        <v>285</v>
      </c>
      <c r="O115" s="51">
        <v>220</v>
      </c>
      <c r="P115" s="51">
        <f>IFERROR(IF(K115="",0,(M115+N115)*2+15),0)</f>
        <v>1775</v>
      </c>
      <c r="Q115" s="51">
        <f>IFERROR(IF(K115="",0,(N115+O115)-10),0)</f>
        <v>495</v>
      </c>
      <c r="R115" s="53">
        <f xml:space="preserve"> P115 * Q115 * (1 + 2.5%) / 1000000</f>
        <v>0.90059062499999987</v>
      </c>
      <c r="S115" s="125">
        <f>R115*'RFQ_Matalan Carton'!$M$32</f>
        <v>0.9276083437499999</v>
      </c>
      <c r="T115" s="124">
        <f>S115</f>
        <v>0.9276083437499999</v>
      </c>
      <c r="U115" s="124">
        <f>I115*T115</f>
        <v>473.08025531249996</v>
      </c>
      <c r="V115" s="123">
        <f>((T115*I115)-W115)*7.5%</f>
        <v>31.932917233593745</v>
      </c>
      <c r="W115" s="124">
        <f>S115*I115*10%</f>
        <v>47.308025531249996</v>
      </c>
      <c r="X115" s="127"/>
    </row>
    <row r="116" spans="1:25" hidden="1">
      <c r="A116" s="118">
        <v>46250</v>
      </c>
      <c r="B116" s="118">
        <v>46251</v>
      </c>
      <c r="C116" s="119"/>
      <c r="D116" s="118" t="s">
        <v>200</v>
      </c>
      <c r="E116" s="118" t="s">
        <v>210</v>
      </c>
      <c r="F116" s="118" t="s">
        <v>129</v>
      </c>
      <c r="G116" s="119" t="s">
        <v>214</v>
      </c>
      <c r="H116" s="119">
        <v>7136365</v>
      </c>
      <c r="I116" s="119">
        <v>625</v>
      </c>
      <c r="J116" s="119" t="s">
        <v>121</v>
      </c>
      <c r="K116" s="119" t="s">
        <v>68</v>
      </c>
      <c r="L116" s="119" t="s">
        <v>240</v>
      </c>
      <c r="M116" s="51" cm="1">
        <f t="array" ref="M116">IFERROR(_xlfn.SWITCH(L116,"R-FPA",495,"R-FPB",595,"R-FPC",595,"R-FPD",595,"Custom Carton","input L"),0)</f>
        <v>595</v>
      </c>
      <c r="N116" s="51" cm="1">
        <f t="array" ref="N116">IFERROR(_xlfn.SWITCH(L116,"R-FPA",285,"R-FPB",285,"R-FPC",325,"R-FPD",380,"Custom Carton","input W"),0)</f>
        <v>285</v>
      </c>
      <c r="O116" s="51">
        <v>200</v>
      </c>
      <c r="P116" s="51">
        <f>IFERROR(IF(K116="",0,(M116+N116)*2+15),0)</f>
        <v>1775</v>
      </c>
      <c r="Q116" s="51">
        <f>IFERROR(IF(K116="",0,(N116+O116)-10),0)</f>
        <v>475</v>
      </c>
      <c r="R116" s="53">
        <f xml:space="preserve"> P116 * Q116 * (1 + 2.5%) / 1000000</f>
        <v>0.86420312499999985</v>
      </c>
      <c r="S116" s="125">
        <f>R116*'RFQ_Matalan Carton'!$M$32</f>
        <v>0.89012921874999984</v>
      </c>
      <c r="T116" s="124">
        <f>S116</f>
        <v>0.89012921874999984</v>
      </c>
      <c r="U116" s="124">
        <f>I116*T116</f>
        <v>556.33076171874995</v>
      </c>
      <c r="V116" s="123">
        <f>((T116*I116)-W116)*7.5%</f>
        <v>37.552326416015617</v>
      </c>
      <c r="W116" s="124">
        <f>S116*I116*10%</f>
        <v>55.633076171874997</v>
      </c>
      <c r="X116" s="127"/>
    </row>
    <row r="117" spans="1:25" hidden="1">
      <c r="A117" s="118">
        <v>46250</v>
      </c>
      <c r="B117" s="118">
        <v>46251</v>
      </c>
      <c r="C117" s="119"/>
      <c r="D117" s="118" t="s">
        <v>200</v>
      </c>
      <c r="E117" s="118" t="s">
        <v>210</v>
      </c>
      <c r="F117" s="118" t="s">
        <v>129</v>
      </c>
      <c r="G117" s="119" t="s">
        <v>213</v>
      </c>
      <c r="H117" s="119">
        <v>7136368</v>
      </c>
      <c r="I117" s="119">
        <v>260</v>
      </c>
      <c r="J117" s="119" t="s">
        <v>121</v>
      </c>
      <c r="K117" s="119" t="s">
        <v>68</v>
      </c>
      <c r="L117" s="119" t="s">
        <v>240</v>
      </c>
      <c r="M117" s="51" cm="1">
        <f t="array" ref="M117">IFERROR(_xlfn.SWITCH(L117,"R-FPA",495,"R-FPB",595,"R-FPC",595,"R-FPD",595,"Custom Carton","input L"),0)</f>
        <v>595</v>
      </c>
      <c r="N117" s="51" cm="1">
        <f t="array" ref="N117">IFERROR(_xlfn.SWITCH(L117,"R-FPA",285,"R-FPB",285,"R-FPC",325,"R-FPD",380,"Custom Carton","input W"),0)</f>
        <v>285</v>
      </c>
      <c r="O117" s="51">
        <v>220</v>
      </c>
      <c r="P117" s="51">
        <f>IFERROR(IF(K117="",0,(M117+N117)*2+15),0)</f>
        <v>1775</v>
      </c>
      <c r="Q117" s="51">
        <f>IFERROR(IF(K117="",0,(N117+O117)-10),0)</f>
        <v>495</v>
      </c>
      <c r="R117" s="53">
        <f xml:space="preserve"> P117 * Q117 * (1 + 2.5%) / 1000000</f>
        <v>0.90059062499999987</v>
      </c>
      <c r="S117" s="125">
        <f>R117*'RFQ_Matalan Carton'!$M$32</f>
        <v>0.9276083437499999</v>
      </c>
      <c r="T117" s="124">
        <f>S117</f>
        <v>0.9276083437499999</v>
      </c>
      <c r="U117" s="124">
        <f>I117*T117</f>
        <v>241.17816937499998</v>
      </c>
      <c r="V117" s="123">
        <f>((T117*I117)-W117)*7.5%</f>
        <v>16.279526432812496</v>
      </c>
      <c r="W117" s="124">
        <f>S117*I117*10%</f>
        <v>24.117816937499999</v>
      </c>
      <c r="X117" s="127"/>
    </row>
    <row r="118" spans="1:25" hidden="1">
      <c r="A118" s="118">
        <v>46258</v>
      </c>
      <c r="B118" s="118">
        <v>46263</v>
      </c>
      <c r="C118" s="119"/>
      <c r="D118" s="118" t="s">
        <v>188</v>
      </c>
      <c r="E118" s="118" t="s">
        <v>188</v>
      </c>
      <c r="F118" s="118" t="s">
        <v>129</v>
      </c>
      <c r="G118" s="119" t="s">
        <v>191</v>
      </c>
      <c r="H118" s="119">
        <v>7142233</v>
      </c>
      <c r="I118" s="119">
        <v>855</v>
      </c>
      <c r="J118" s="119" t="s">
        <v>121</v>
      </c>
      <c r="K118" s="119" t="s">
        <v>68</v>
      </c>
      <c r="L118" s="119" t="s">
        <v>130</v>
      </c>
      <c r="M118" s="51" cm="1">
        <f t="array" ref="M118">IFERROR(_xlfn.SWITCH(L118,"R-FPA",495,"R-FPB",595,"R-FPC",595,"R-FPD",595,"Custom Carton","input L"),0)</f>
        <v>595</v>
      </c>
      <c r="N118" s="51" cm="1">
        <f t="array" ref="N118">IFERROR(_xlfn.SWITCH(L118,"R-FPA",285,"R-FPB",285,"R-FPC",325,"R-FPD",380,"Custom Carton","input W"),0)</f>
        <v>325</v>
      </c>
      <c r="O118" s="51">
        <v>150</v>
      </c>
      <c r="P118" s="51">
        <f>IFERROR(IF(K118="",0,(M118+N118)*2+15),0)</f>
        <v>1855</v>
      </c>
      <c r="Q118" s="51">
        <f>IFERROR(IF(K118="",0,(N118+O118)-10),0)</f>
        <v>465</v>
      </c>
      <c r="R118" s="53">
        <f xml:space="preserve"> P118 * Q118 * (1 + 2.5%) / 1000000</f>
        <v>0.88413937499999984</v>
      </c>
      <c r="S118" s="125">
        <f>R118*'RFQ_Matalan Carton'!$M$32</f>
        <v>0.91066355624999984</v>
      </c>
      <c r="T118" s="124">
        <f>S118</f>
        <v>0.91066355624999984</v>
      </c>
      <c r="U118" s="124">
        <f>I118*T118</f>
        <v>778.61734059374987</v>
      </c>
      <c r="V118" s="123">
        <f>((T118*I118)-W118)*7.5%</f>
        <v>52.556670490078119</v>
      </c>
      <c r="W118" s="124">
        <f>S118*I118*10%</f>
        <v>77.861734059374996</v>
      </c>
      <c r="X118" s="127"/>
    </row>
    <row r="119" spans="1:25" ht="14.25" hidden="1">
      <c r="A119" s="118">
        <v>46259</v>
      </c>
      <c r="B119" s="118">
        <v>46263</v>
      </c>
      <c r="C119" s="119"/>
      <c r="D119" s="118" t="s">
        <v>200</v>
      </c>
      <c r="E119" s="118" t="s">
        <v>201</v>
      </c>
      <c r="F119" s="118" t="s">
        <v>129</v>
      </c>
      <c r="G119" s="119" t="s">
        <v>209</v>
      </c>
      <c r="H119" s="119">
        <v>7142671</v>
      </c>
      <c r="I119" s="119">
        <v>323</v>
      </c>
      <c r="J119" s="119" t="s">
        <v>121</v>
      </c>
      <c r="K119" s="119" t="s">
        <v>68</v>
      </c>
      <c r="L119" s="119" t="s">
        <v>109</v>
      </c>
      <c r="M119" s="51">
        <v>540</v>
      </c>
      <c r="N119" s="51">
        <v>320</v>
      </c>
      <c r="O119" s="51">
        <v>100</v>
      </c>
      <c r="P119" s="51">
        <f>IFERROR(IF(K119="",0,(M119+N119)*2+15),0)</f>
        <v>1735</v>
      </c>
      <c r="Q119" s="51">
        <f>IFERROR(IF(K119="",0,(N119+O119)-10),0)</f>
        <v>410</v>
      </c>
      <c r="R119" s="53">
        <f xml:space="preserve"> P119 * Q119 * (1 + 2.5%) / 1000000</f>
        <v>0.72913374999999991</v>
      </c>
      <c r="S119" s="125">
        <f>R119*'RFQ_Matalan Carton'!$M$32</f>
        <v>0.7510077624999999</v>
      </c>
      <c r="T119" s="124">
        <f>S119</f>
        <v>0.7510077624999999</v>
      </c>
      <c r="U119" s="124">
        <f>I119*T119</f>
        <v>242.57550728749996</v>
      </c>
      <c r="V119" s="123">
        <f>((T119*I119)-W119)*7.5%</f>
        <v>16.373846741906245</v>
      </c>
      <c r="W119" s="124">
        <f>S119*I119*10%</f>
        <v>24.257550728749997</v>
      </c>
      <c r="X119" s="127"/>
      <c r="Y119" s="35"/>
    </row>
    <row r="120" spans="1:25" hidden="1">
      <c r="A120" s="118">
        <v>46259</v>
      </c>
      <c r="B120" s="118">
        <v>46263</v>
      </c>
      <c r="C120" s="119"/>
      <c r="D120" s="118" t="s">
        <v>200</v>
      </c>
      <c r="E120" s="118" t="s">
        <v>201</v>
      </c>
      <c r="F120" s="118" t="s">
        <v>129</v>
      </c>
      <c r="G120" s="119" t="s">
        <v>209</v>
      </c>
      <c r="H120" s="119">
        <v>7142671</v>
      </c>
      <c r="I120" s="119">
        <v>322</v>
      </c>
      <c r="J120" s="119" t="s">
        <v>121</v>
      </c>
      <c r="K120" s="119" t="s">
        <v>68</v>
      </c>
      <c r="L120" s="119" t="s">
        <v>109</v>
      </c>
      <c r="M120" s="51">
        <v>660</v>
      </c>
      <c r="N120" s="51">
        <v>390</v>
      </c>
      <c r="O120" s="51">
        <v>110</v>
      </c>
      <c r="P120" s="51">
        <f>IFERROR(IF(K120="",0,(M120+N120)*2+15),0)</f>
        <v>2115</v>
      </c>
      <c r="Q120" s="51">
        <f>IFERROR(IF(K120="",0,(N120+O120)-10),0)</f>
        <v>490</v>
      </c>
      <c r="R120" s="53">
        <f xml:space="preserve"> P120 * Q120 * (1 + 2.5%) / 1000000</f>
        <v>1.06225875</v>
      </c>
      <c r="S120" s="125">
        <f>R120*'RFQ_Matalan Carton'!$M$32</f>
        <v>1.0941265125000001</v>
      </c>
      <c r="T120" s="124">
        <f>S120</f>
        <v>1.0941265125000001</v>
      </c>
      <c r="U120" s="124">
        <f>I120*T120</f>
        <v>352.30873702500003</v>
      </c>
      <c r="V120" s="123">
        <f>((T120*I120)-W120)*7.5%</f>
        <v>23.780839749187503</v>
      </c>
      <c r="W120" s="124">
        <f>S120*I120*10%</f>
        <v>35.230873702500006</v>
      </c>
      <c r="X120" s="127"/>
    </row>
    <row r="121" spans="1:25">
      <c r="A121" s="118"/>
      <c r="B121" s="118"/>
      <c r="C121" s="119"/>
      <c r="D121" s="118"/>
      <c r="E121" s="118"/>
      <c r="F121" s="118"/>
      <c r="G121" s="119"/>
      <c r="H121" s="119"/>
      <c r="I121" s="119"/>
      <c r="J121" s="119" t="s">
        <v>121</v>
      </c>
      <c r="K121" s="119" t="s">
        <v>68</v>
      </c>
      <c r="L121" s="119" t="s">
        <v>109</v>
      </c>
      <c r="M121" s="51" t="str" cm="1">
        <f t="array" ref="M121">IFERROR(_xlfn.SWITCH(L121,"R-FPA",495,"R-FPB",595,"R-FPC",595,"R-FPD",595,"Custom Carton","input L"),0)</f>
        <v>input L</v>
      </c>
      <c r="N121" s="51" t="str" cm="1">
        <f t="array" ref="N121">IFERROR(_xlfn.SWITCH(L121,"R-FPA",285,"R-FPB",285,"R-FPC",325,"R-FPD",380,"Custom Carton","input W"),0)</f>
        <v>input W</v>
      </c>
      <c r="O121" s="51"/>
      <c r="P121" s="51">
        <f>IFERROR(IF(K121="",0,(M121+N121)*2+15),0)</f>
        <v>0</v>
      </c>
      <c r="Q121" s="51">
        <f>IFERROR(IF(K121="",0,(N121+O121)-10),0)</f>
        <v>0</v>
      </c>
      <c r="R121" s="53">
        <f xml:space="preserve"> P121 * Q121 * (1 + 2.5%) / 1000000</f>
        <v>0</v>
      </c>
      <c r="S121" s="125">
        <f>R121*'RFQ_Matalan Carton'!$M$32</f>
        <v>0</v>
      </c>
      <c r="T121" s="124">
        <f>S121</f>
        <v>0</v>
      </c>
      <c r="U121" s="124">
        <f>I121*T121</f>
        <v>0</v>
      </c>
      <c r="V121" s="123">
        <f>((T121*I121)-W121)*7.5%</f>
        <v>0</v>
      </c>
      <c r="W121" s="124">
        <f>S121*I121*10%</f>
        <v>0</v>
      </c>
      <c r="X121" s="127"/>
    </row>
    <row r="122" spans="1:25">
      <c r="A122" s="118"/>
      <c r="B122" s="118"/>
      <c r="C122" s="119"/>
      <c r="D122" s="118"/>
      <c r="E122" s="118"/>
      <c r="F122" s="118"/>
      <c r="G122" s="119"/>
      <c r="H122" s="119"/>
      <c r="I122" s="119"/>
      <c r="J122" s="119" t="s">
        <v>121</v>
      </c>
      <c r="K122" s="119" t="s">
        <v>68</v>
      </c>
      <c r="L122" s="119" t="s">
        <v>109</v>
      </c>
      <c r="M122" s="51" t="str" cm="1">
        <f t="array" ref="M122">IFERROR(_xlfn.SWITCH(L122,"R-FPA",495,"R-FPB",595,"R-FPC",595,"R-FPD",595,"Custom Carton","input L"),0)</f>
        <v>input L</v>
      </c>
      <c r="N122" s="51" t="str" cm="1">
        <f t="array" ref="N122">IFERROR(_xlfn.SWITCH(L122,"R-FPA",285,"R-FPB",285,"R-FPC",325,"R-FPD",380,"Custom Carton","input W"),0)</f>
        <v>input W</v>
      </c>
      <c r="O122" s="51"/>
      <c r="P122" s="51">
        <f>IFERROR(IF(K122="",0,(M122+N122)*2+15),0)</f>
        <v>0</v>
      </c>
      <c r="Q122" s="51">
        <f>IFERROR(IF(K122="",0,(N122+O122)-10),0)</f>
        <v>0</v>
      </c>
      <c r="R122" s="53">
        <f xml:space="preserve"> P122 * Q122 * (1 + 2.5%) / 1000000</f>
        <v>0</v>
      </c>
      <c r="S122" s="125">
        <f>R122*'RFQ_Matalan Carton'!$M$32</f>
        <v>0</v>
      </c>
      <c r="T122" s="124">
        <f>S122</f>
        <v>0</v>
      </c>
      <c r="U122" s="124">
        <f>I122*T122</f>
        <v>0</v>
      </c>
      <c r="V122" s="123">
        <f>((T122*I122)-W122)*7.5%</f>
        <v>0</v>
      </c>
      <c r="W122" s="124">
        <f>S122*I122*10%</f>
        <v>0</v>
      </c>
      <c r="X122" s="127"/>
    </row>
    <row r="123" spans="1:25">
      <c r="A123" s="118"/>
      <c r="B123" s="118"/>
      <c r="C123" s="119"/>
      <c r="D123" s="118"/>
      <c r="E123" s="118"/>
      <c r="F123" s="118"/>
      <c r="G123" s="119"/>
      <c r="H123" s="119"/>
      <c r="I123" s="119"/>
      <c r="J123" s="119" t="s">
        <v>121</v>
      </c>
      <c r="K123" s="119" t="s">
        <v>68</v>
      </c>
      <c r="L123" s="119" t="s">
        <v>109</v>
      </c>
      <c r="M123" s="51" t="str" cm="1">
        <f t="array" ref="M123">IFERROR(_xlfn.SWITCH(L123,"R-FPA",495,"R-FPB",595,"R-FPC",595,"R-FPD",595,"Custom Carton","input L"),0)</f>
        <v>input L</v>
      </c>
      <c r="N123" s="51" t="str" cm="1">
        <f t="array" ref="N123">IFERROR(_xlfn.SWITCH(L123,"R-FPA",285,"R-FPB",285,"R-FPC",325,"R-FPD",380,"Custom Carton","input W"),0)</f>
        <v>input W</v>
      </c>
      <c r="O123" s="51"/>
      <c r="P123" s="51">
        <f>IFERROR(IF(K123="",0,(M123+N123)*2+15),0)</f>
        <v>0</v>
      </c>
      <c r="Q123" s="51">
        <f>IFERROR(IF(K123="",0,(N123+O123)-10),0)</f>
        <v>0</v>
      </c>
      <c r="R123" s="53">
        <f xml:space="preserve"> P123 * Q123 * (1 + 2.5%) / 1000000</f>
        <v>0</v>
      </c>
      <c r="S123" s="125">
        <f>R123*'RFQ_Matalan Carton'!$M$32</f>
        <v>0</v>
      </c>
      <c r="T123" s="124">
        <f>S123</f>
        <v>0</v>
      </c>
      <c r="U123" s="124">
        <f>I123*T123</f>
        <v>0</v>
      </c>
      <c r="V123" s="123">
        <f>((T123*I123)-W123)*7.5%</f>
        <v>0</v>
      </c>
      <c r="W123" s="124">
        <f>S123*I123*10%</f>
        <v>0</v>
      </c>
      <c r="X123" s="127"/>
    </row>
    <row r="124" spans="1:25">
      <c r="A124" s="118"/>
      <c r="B124" s="118"/>
      <c r="C124" s="119"/>
      <c r="D124" s="118"/>
      <c r="E124" s="118"/>
      <c r="F124" s="118"/>
      <c r="G124" s="119"/>
      <c r="H124" s="119"/>
      <c r="I124" s="119"/>
      <c r="J124" s="119" t="s">
        <v>121</v>
      </c>
      <c r="K124" s="119" t="s">
        <v>68</v>
      </c>
      <c r="L124" s="119" t="s">
        <v>109</v>
      </c>
      <c r="M124" s="51" t="str" cm="1">
        <f t="array" ref="M124">IFERROR(_xlfn.SWITCH(L124,"R-FPA",495,"R-FPB",595,"R-FPC",595,"R-FPD",595,"Custom Carton","input L"),0)</f>
        <v>input L</v>
      </c>
      <c r="N124" s="51" t="str" cm="1">
        <f t="array" ref="N124">IFERROR(_xlfn.SWITCH(L124,"R-FPA",285,"R-FPB",285,"R-FPC",325,"R-FPD",380,"Custom Carton","input W"),0)</f>
        <v>input W</v>
      </c>
      <c r="O124" s="51"/>
      <c r="P124" s="51">
        <f>IFERROR(IF(K124="",0,(M124+N124)*2+15),0)</f>
        <v>0</v>
      </c>
      <c r="Q124" s="51">
        <f>IFERROR(IF(K124="",0,(N124+O124)-10),0)</f>
        <v>0</v>
      </c>
      <c r="R124" s="53">
        <f xml:space="preserve"> P124 * Q124 * (1 + 2.5%) / 1000000</f>
        <v>0</v>
      </c>
      <c r="S124" s="125">
        <f>R124*'RFQ_Matalan Carton'!$M$32</f>
        <v>0</v>
      </c>
      <c r="T124" s="124">
        <f>S124</f>
        <v>0</v>
      </c>
      <c r="U124" s="124">
        <f>I124*T124</f>
        <v>0</v>
      </c>
      <c r="V124" s="123">
        <f>((T124*I124)-W124)*7.5%</f>
        <v>0</v>
      </c>
      <c r="W124" s="124">
        <f>S124*I124*10%</f>
        <v>0</v>
      </c>
      <c r="X124" s="127"/>
    </row>
    <row r="125" spans="1:25">
      <c r="A125" s="118"/>
      <c r="B125" s="118"/>
      <c r="C125" s="119"/>
      <c r="D125" s="118"/>
      <c r="E125" s="118"/>
      <c r="F125" s="118"/>
      <c r="G125" s="119"/>
      <c r="H125" s="119"/>
      <c r="I125" s="119"/>
      <c r="J125" s="119" t="s">
        <v>121</v>
      </c>
      <c r="K125" s="119" t="s">
        <v>68</v>
      </c>
      <c r="L125" s="119" t="s">
        <v>109</v>
      </c>
      <c r="M125" s="51" t="str" cm="1">
        <f t="array" ref="M125">IFERROR(_xlfn.SWITCH(L125,"R-FPA",495,"R-FPB",595,"R-FPC",595,"R-FPD",595,"Custom Carton","input L"),0)</f>
        <v>input L</v>
      </c>
      <c r="N125" s="51" t="str" cm="1">
        <f t="array" ref="N125">IFERROR(_xlfn.SWITCH(L125,"R-FPA",285,"R-FPB",285,"R-FPC",325,"R-FPD",380,"Custom Carton","input W"),0)</f>
        <v>input W</v>
      </c>
      <c r="O125" s="51"/>
      <c r="P125" s="51">
        <f>IFERROR(IF(K125="",0,(M125+N125)*2+15),0)</f>
        <v>0</v>
      </c>
      <c r="Q125" s="51">
        <f>IFERROR(IF(K125="",0,(N125+O125)-10),0)</f>
        <v>0</v>
      </c>
      <c r="R125" s="53">
        <f xml:space="preserve"> P125 * Q125 * (1 + 2.5%) / 1000000</f>
        <v>0</v>
      </c>
      <c r="S125" s="125">
        <f>R125*'RFQ_Matalan Carton'!$M$32</f>
        <v>0</v>
      </c>
      <c r="T125" s="124">
        <f>S125</f>
        <v>0</v>
      </c>
      <c r="U125" s="124">
        <f>I125*T125</f>
        <v>0</v>
      </c>
      <c r="V125" s="123">
        <f>((T125*I125)-W125)*7.5%</f>
        <v>0</v>
      </c>
      <c r="W125" s="124">
        <f>S125*I125*10%</f>
        <v>0</v>
      </c>
      <c r="X125" s="127"/>
    </row>
    <row r="126" spans="1:25">
      <c r="A126" s="118"/>
      <c r="B126" s="118"/>
      <c r="C126" s="119"/>
      <c r="D126" s="118"/>
      <c r="E126" s="118"/>
      <c r="F126" s="118"/>
      <c r="G126" s="119"/>
      <c r="H126" s="119"/>
      <c r="I126" s="119"/>
      <c r="J126" s="119" t="s">
        <v>121</v>
      </c>
      <c r="K126" s="119" t="s">
        <v>68</v>
      </c>
      <c r="L126" s="119" t="s">
        <v>109</v>
      </c>
      <c r="M126" s="51" t="str" cm="1">
        <f t="array" ref="M126">IFERROR(_xlfn.SWITCH(L126,"R-FPA",495,"R-FPB",595,"R-FPC",595,"R-FPD",595,"Custom Carton","input L"),0)</f>
        <v>input L</v>
      </c>
      <c r="N126" s="51" t="str" cm="1">
        <f t="array" ref="N126">IFERROR(_xlfn.SWITCH(L126,"R-FPA",285,"R-FPB",285,"R-FPC",325,"R-FPD",380,"Custom Carton","input W"),0)</f>
        <v>input W</v>
      </c>
      <c r="O126" s="51"/>
      <c r="P126" s="51">
        <f>IFERROR(IF(K126="",0,(M126+N126)*2+15),0)</f>
        <v>0</v>
      </c>
      <c r="Q126" s="51">
        <f>IFERROR(IF(K126="",0,(N126+O126)-10),0)</f>
        <v>0</v>
      </c>
      <c r="R126" s="53">
        <f xml:space="preserve"> P126 * Q126 * (1 + 2.5%) / 1000000</f>
        <v>0</v>
      </c>
      <c r="S126" s="125">
        <f>R126*'RFQ_Matalan Carton'!$M$32</f>
        <v>0</v>
      </c>
      <c r="T126" s="124">
        <f>S126</f>
        <v>0</v>
      </c>
      <c r="U126" s="124">
        <f>I126*T126</f>
        <v>0</v>
      </c>
      <c r="V126" s="123">
        <f>((T126*I126)-W126)*7.5%</f>
        <v>0</v>
      </c>
      <c r="W126" s="124">
        <f>S126*I126*10%</f>
        <v>0</v>
      </c>
      <c r="X126" s="127"/>
    </row>
    <row r="127" spans="1:25">
      <c r="A127" s="118"/>
      <c r="B127" s="118"/>
      <c r="C127" s="119"/>
      <c r="D127" s="118"/>
      <c r="E127" s="118"/>
      <c r="F127" s="118"/>
      <c r="G127" s="119"/>
      <c r="H127" s="119"/>
      <c r="I127" s="119"/>
      <c r="J127" s="119" t="s">
        <v>121</v>
      </c>
      <c r="K127" s="119" t="s">
        <v>68</v>
      </c>
      <c r="L127" s="119" t="s">
        <v>109</v>
      </c>
      <c r="M127" s="51" t="str" cm="1">
        <f t="array" ref="M127">IFERROR(_xlfn.SWITCH(L127,"R-FPA",495,"R-FPB",595,"R-FPC",595,"R-FPD",595,"Custom Carton","input L"),0)</f>
        <v>input L</v>
      </c>
      <c r="N127" s="51" t="str" cm="1">
        <f t="array" ref="N127">IFERROR(_xlfn.SWITCH(L127,"R-FPA",285,"R-FPB",285,"R-FPC",325,"R-FPD",380,"Custom Carton","input W"),0)</f>
        <v>input W</v>
      </c>
      <c r="O127" s="51"/>
      <c r="P127" s="51">
        <f>IFERROR(IF(K127="",0,(M127+N127)*2+15),0)</f>
        <v>0</v>
      </c>
      <c r="Q127" s="51">
        <f>IFERROR(IF(K127="",0,(N127+O127)-10),0)</f>
        <v>0</v>
      </c>
      <c r="R127" s="53">
        <f xml:space="preserve"> P127 * Q127 * (1 + 2.5%) / 1000000</f>
        <v>0</v>
      </c>
      <c r="S127" s="125">
        <f>R127*'RFQ_Matalan Carton'!$M$32</f>
        <v>0</v>
      </c>
      <c r="T127" s="124">
        <f>S127</f>
        <v>0</v>
      </c>
      <c r="U127" s="124">
        <f>I127*T127</f>
        <v>0</v>
      </c>
      <c r="V127" s="123">
        <f>((T127*I127)-W127)*7.5%</f>
        <v>0</v>
      </c>
      <c r="W127" s="124">
        <f>S127*I127*10%</f>
        <v>0</v>
      </c>
      <c r="X127" s="127"/>
    </row>
    <row r="128" spans="1:25">
      <c r="A128" s="118"/>
      <c r="B128" s="118"/>
      <c r="C128" s="119"/>
      <c r="D128" s="118"/>
      <c r="E128" s="118"/>
      <c r="F128" s="118"/>
      <c r="G128" s="121"/>
      <c r="H128" s="121"/>
      <c r="I128" s="121"/>
      <c r="J128" s="119" t="s">
        <v>121</v>
      </c>
      <c r="K128" s="119" t="s">
        <v>68</v>
      </c>
      <c r="L128" s="119" t="s">
        <v>109</v>
      </c>
      <c r="M128" s="51" t="str" cm="1">
        <f t="array" ref="M128">IFERROR(_xlfn.SWITCH(L128,"R-FPA",495,"R-FPB",595,"R-FPC",595,"R-FPD",595,"Custom Carton","input L"),0)</f>
        <v>input L</v>
      </c>
      <c r="N128" s="51" t="str" cm="1">
        <f t="array" ref="N128">IFERROR(_xlfn.SWITCH(L128,"R-FPA",285,"R-FPB",285,"R-FPC",325,"R-FPD",380,"Custom Carton","input W"),0)</f>
        <v>input W</v>
      </c>
      <c r="O128" s="51"/>
      <c r="P128" s="51">
        <f>IFERROR(IF(K128="",0,(M128+N128)*2+15),0)</f>
        <v>0</v>
      </c>
      <c r="Q128" s="51">
        <f>IFERROR(IF(K128="",0,(N128+O128)-10),0)</f>
        <v>0</v>
      </c>
      <c r="R128" s="53">
        <f xml:space="preserve"> P128 * Q128 * (1 + 2.5%) / 1000000</f>
        <v>0</v>
      </c>
      <c r="S128" s="125">
        <f>R128*'RFQ_Matalan Carton'!$M$32</f>
        <v>0</v>
      </c>
      <c r="T128" s="124">
        <f>S128</f>
        <v>0</v>
      </c>
      <c r="U128" s="124">
        <f>I128*T128</f>
        <v>0</v>
      </c>
      <c r="V128" s="123">
        <f>((T128*I128)-W128)*7.5%</f>
        <v>0</v>
      </c>
      <c r="W128" s="124">
        <f>S128*I128*10%</f>
        <v>0</v>
      </c>
      <c r="X128" s="127"/>
    </row>
    <row r="129" spans="1:24">
      <c r="A129" s="118"/>
      <c r="B129" s="118"/>
      <c r="C129" s="119"/>
      <c r="D129" s="118"/>
      <c r="E129" s="118"/>
      <c r="F129" s="118"/>
      <c r="G129" s="119"/>
      <c r="H129" s="119"/>
      <c r="I129" s="119"/>
      <c r="J129" s="119" t="s">
        <v>121</v>
      </c>
      <c r="K129" s="119" t="s">
        <v>68</v>
      </c>
      <c r="L129" s="119" t="s">
        <v>109</v>
      </c>
      <c r="M129" s="51" t="str" cm="1">
        <f t="array" ref="M129">IFERROR(_xlfn.SWITCH(L129,"R-FPA",495,"R-FPB",595,"R-FPC",595,"R-FPD",595,"Custom Carton","input L"),0)</f>
        <v>input L</v>
      </c>
      <c r="N129" s="51" t="str" cm="1">
        <f t="array" ref="N129">IFERROR(_xlfn.SWITCH(L129,"R-FPA",285,"R-FPB",285,"R-FPC",325,"R-FPD",380,"Custom Carton","input W"),0)</f>
        <v>input W</v>
      </c>
      <c r="O129" s="51"/>
      <c r="P129" s="51">
        <f>IFERROR(IF(K129="",0,(M129+N129)*2+15),0)</f>
        <v>0</v>
      </c>
      <c r="Q129" s="51">
        <f>IFERROR(IF(K129="",0,(N129+O129)-10),0)</f>
        <v>0</v>
      </c>
      <c r="R129" s="53">
        <f xml:space="preserve"> P129 * Q129 * (1 + 2.5%) / 1000000</f>
        <v>0</v>
      </c>
      <c r="S129" s="125">
        <f>R129*'RFQ_Matalan Carton'!$M$32</f>
        <v>0</v>
      </c>
      <c r="T129" s="124">
        <f>S129</f>
        <v>0</v>
      </c>
      <c r="U129" s="124">
        <f>I129*T129</f>
        <v>0</v>
      </c>
      <c r="V129" s="123">
        <f>((T129*I129)-W129)*7.5%</f>
        <v>0</v>
      </c>
      <c r="W129" s="124">
        <f>S129*I129*10%</f>
        <v>0</v>
      </c>
      <c r="X129" s="127"/>
    </row>
    <row r="130" spans="1:24">
      <c r="A130" s="118"/>
      <c r="B130" s="118"/>
      <c r="C130" s="119"/>
      <c r="D130" s="118"/>
      <c r="E130" s="118"/>
      <c r="F130" s="118"/>
      <c r="G130" s="119"/>
      <c r="H130" s="119"/>
      <c r="I130" s="119"/>
      <c r="J130" s="119" t="s">
        <v>121</v>
      </c>
      <c r="K130" s="119" t="s">
        <v>68</v>
      </c>
      <c r="L130" s="119" t="s">
        <v>109</v>
      </c>
      <c r="M130" s="51" t="str" cm="1">
        <f t="array" ref="M130">IFERROR(_xlfn.SWITCH(L130,"R-FPA",495,"R-FPB",595,"R-FPC",595,"R-FPD",595,"Custom Carton","input L"),0)</f>
        <v>input L</v>
      </c>
      <c r="N130" s="51" t="str" cm="1">
        <f t="array" ref="N130">IFERROR(_xlfn.SWITCH(L130,"R-FPA",285,"R-FPB",285,"R-FPC",325,"R-FPD",380,"Custom Carton","input W"),0)</f>
        <v>input W</v>
      </c>
      <c r="O130" s="51"/>
      <c r="P130" s="51">
        <f>IFERROR(IF(K130="",0,(M130+N130)*2+15),0)</f>
        <v>0</v>
      </c>
      <c r="Q130" s="51">
        <f>IFERROR(IF(K130="",0,(N130+O130)-10),0)</f>
        <v>0</v>
      </c>
      <c r="R130" s="53">
        <f xml:space="preserve"> P130 * Q130 * (1 + 2.5%) / 1000000</f>
        <v>0</v>
      </c>
      <c r="S130" s="125">
        <f>R130*'RFQ_Matalan Carton'!$M$32</f>
        <v>0</v>
      </c>
      <c r="T130" s="124">
        <f>S130</f>
        <v>0</v>
      </c>
      <c r="U130" s="124">
        <f>I130*T130</f>
        <v>0</v>
      </c>
      <c r="V130" s="123">
        <f>((T130*I130)-W130)*7.5%</f>
        <v>0</v>
      </c>
      <c r="W130" s="124">
        <f>S130*I130*10%</f>
        <v>0</v>
      </c>
      <c r="X130" s="127"/>
    </row>
    <row r="131" spans="1:24">
      <c r="A131" s="118"/>
      <c r="B131" s="118"/>
      <c r="C131" s="119"/>
      <c r="D131" s="118"/>
      <c r="E131" s="118"/>
      <c r="F131" s="118"/>
      <c r="G131" s="119"/>
      <c r="H131" s="119"/>
      <c r="I131" s="119"/>
      <c r="J131" s="119" t="s">
        <v>121</v>
      </c>
      <c r="K131" s="119" t="s">
        <v>68</v>
      </c>
      <c r="L131" s="119" t="s">
        <v>109</v>
      </c>
      <c r="M131" s="51" t="str" cm="1">
        <f t="array" ref="M131">IFERROR(_xlfn.SWITCH(L131,"R-FPA",495,"R-FPB",595,"R-FPC",595,"R-FPD",595,"Custom Carton","input L"),0)</f>
        <v>input L</v>
      </c>
      <c r="N131" s="51" t="str" cm="1">
        <f t="array" ref="N131">IFERROR(_xlfn.SWITCH(L131,"R-FPA",285,"R-FPB",285,"R-FPC",325,"R-FPD",380,"Custom Carton","input W"),0)</f>
        <v>input W</v>
      </c>
      <c r="O131" s="51"/>
      <c r="P131" s="51">
        <f>IFERROR(IF(K131="",0,(M131+N131)*2+15),0)</f>
        <v>0</v>
      </c>
      <c r="Q131" s="51">
        <f>IFERROR(IF(K131="",0,(N131+O131)-10),0)</f>
        <v>0</v>
      </c>
      <c r="R131" s="53">
        <f xml:space="preserve"> P131 * Q131 * (1 + 2.5%) / 1000000</f>
        <v>0</v>
      </c>
      <c r="S131" s="125">
        <f>R131*'RFQ_Matalan Carton'!$M$32</f>
        <v>0</v>
      </c>
      <c r="T131" s="124">
        <f>S131</f>
        <v>0</v>
      </c>
      <c r="U131" s="124">
        <f>I131*T131</f>
        <v>0</v>
      </c>
      <c r="V131" s="123">
        <f>((T131*I131)-W131)*7.5%</f>
        <v>0</v>
      </c>
      <c r="W131" s="124">
        <f>S131*I131*10%</f>
        <v>0</v>
      </c>
      <c r="X131" s="127"/>
    </row>
    <row r="132" spans="1:24">
      <c r="A132" s="118"/>
      <c r="B132" s="118"/>
      <c r="C132" s="119"/>
      <c r="D132" s="118"/>
      <c r="E132" s="118"/>
      <c r="F132" s="118"/>
      <c r="G132" s="119"/>
      <c r="H132" s="119"/>
      <c r="I132" s="119"/>
      <c r="J132" s="119" t="s">
        <v>121</v>
      </c>
      <c r="K132" s="119" t="s">
        <v>68</v>
      </c>
      <c r="L132" s="119" t="s">
        <v>109</v>
      </c>
      <c r="M132" s="51" t="str" cm="1">
        <f t="array" ref="M132">IFERROR(_xlfn.SWITCH(L132,"R-FPA",495,"R-FPB",595,"R-FPC",595,"R-FPD",595,"Custom Carton","input L"),0)</f>
        <v>input L</v>
      </c>
      <c r="N132" s="51" t="str" cm="1">
        <f t="array" ref="N132">IFERROR(_xlfn.SWITCH(L132,"R-FPA",285,"R-FPB",285,"R-FPC",325,"R-FPD",380,"Custom Carton","input W"),0)</f>
        <v>input W</v>
      </c>
      <c r="O132" s="51"/>
      <c r="P132" s="51">
        <f>IFERROR(IF(K132="",0,(M132+N132)*2+15),0)</f>
        <v>0</v>
      </c>
      <c r="Q132" s="51">
        <f>IFERROR(IF(K132="",0,(N132+O132)-10),0)</f>
        <v>0</v>
      </c>
      <c r="R132" s="53">
        <f xml:space="preserve"> P132 * Q132 * (1 + 2.5%) / 1000000</f>
        <v>0</v>
      </c>
      <c r="S132" s="125">
        <f>R132*'RFQ_Matalan Carton'!$M$32</f>
        <v>0</v>
      </c>
      <c r="T132" s="124">
        <f>S132</f>
        <v>0</v>
      </c>
      <c r="U132" s="124">
        <f>I132*T132</f>
        <v>0</v>
      </c>
      <c r="V132" s="123">
        <f>((T132*I132)-W132)*7.5%</f>
        <v>0</v>
      </c>
      <c r="W132" s="124">
        <f>S132*I132*10%</f>
        <v>0</v>
      </c>
      <c r="X132" s="127"/>
    </row>
    <row r="133" spans="1:24">
      <c r="A133" s="118"/>
      <c r="B133" s="118"/>
      <c r="C133" s="119"/>
      <c r="D133" s="118"/>
      <c r="E133" s="118"/>
      <c r="F133" s="118"/>
      <c r="G133" s="119"/>
      <c r="H133" s="119"/>
      <c r="I133" s="119"/>
      <c r="J133" s="119" t="s">
        <v>121</v>
      </c>
      <c r="K133" s="119" t="s">
        <v>68</v>
      </c>
      <c r="L133" s="119" t="s">
        <v>109</v>
      </c>
      <c r="M133" s="51" t="str" cm="1">
        <f t="array" ref="M133">IFERROR(_xlfn.SWITCH(L133,"R-FPA",495,"R-FPB",595,"R-FPC",595,"R-FPD",595,"Custom Carton","input L"),0)</f>
        <v>input L</v>
      </c>
      <c r="N133" s="51" t="str" cm="1">
        <f t="array" ref="N133">IFERROR(_xlfn.SWITCH(L133,"R-FPA",285,"R-FPB",285,"R-FPC",325,"R-FPD",380,"Custom Carton","input W"),0)</f>
        <v>input W</v>
      </c>
      <c r="O133" s="51"/>
      <c r="P133" s="51">
        <f>IFERROR(IF(K133="",0,(M133+N133)*2+15),0)</f>
        <v>0</v>
      </c>
      <c r="Q133" s="51">
        <f>IFERROR(IF(K133="",0,(N133+O133)-10),0)</f>
        <v>0</v>
      </c>
      <c r="R133" s="53">
        <f xml:space="preserve"> P133 * Q133 * (1 + 2.5%) / 1000000</f>
        <v>0</v>
      </c>
      <c r="S133" s="125">
        <f>R133*'RFQ_Matalan Carton'!$M$32</f>
        <v>0</v>
      </c>
      <c r="T133" s="124">
        <f>S133</f>
        <v>0</v>
      </c>
      <c r="U133" s="124">
        <f>I133*T133</f>
        <v>0</v>
      </c>
      <c r="V133" s="123">
        <f>((T133*I133)-W133)*7.5%</f>
        <v>0</v>
      </c>
      <c r="W133" s="124">
        <f>S133*I133*10%</f>
        <v>0</v>
      </c>
      <c r="X133" s="127"/>
    </row>
    <row r="134" spans="1:24">
      <c r="A134" s="118"/>
      <c r="B134" s="118"/>
      <c r="C134" s="119"/>
      <c r="D134" s="118"/>
      <c r="E134" s="118"/>
      <c r="F134" s="118"/>
      <c r="G134" s="119"/>
      <c r="H134" s="119"/>
      <c r="I134" s="119"/>
      <c r="J134" s="119" t="s">
        <v>121</v>
      </c>
      <c r="K134" s="119" t="s">
        <v>68</v>
      </c>
      <c r="L134" s="119" t="s">
        <v>109</v>
      </c>
      <c r="M134" s="51" t="str" cm="1">
        <f t="array" ref="M134">IFERROR(_xlfn.SWITCH(L134,"R-FPA",495,"R-FPB",595,"R-FPC",595,"R-FPD",595,"Custom Carton","input L"),0)</f>
        <v>input L</v>
      </c>
      <c r="N134" s="51" t="str" cm="1">
        <f t="array" ref="N134">IFERROR(_xlfn.SWITCH(L134,"R-FPA",285,"R-FPB",285,"R-FPC",325,"R-FPD",380,"Custom Carton","input W"),0)</f>
        <v>input W</v>
      </c>
      <c r="O134" s="51"/>
      <c r="P134" s="51">
        <f>IFERROR(IF(K134="",0,(M134+N134)*2+15),0)</f>
        <v>0</v>
      </c>
      <c r="Q134" s="51">
        <f>IFERROR(IF(K134="",0,(N134+O134)-10),0)</f>
        <v>0</v>
      </c>
      <c r="R134" s="53">
        <f xml:space="preserve"> P134 * Q134 * (1 + 2.5%) / 1000000</f>
        <v>0</v>
      </c>
      <c r="S134" s="125">
        <f>R134*'RFQ_Matalan Carton'!$M$32</f>
        <v>0</v>
      </c>
      <c r="T134" s="124">
        <f>S134</f>
        <v>0</v>
      </c>
      <c r="U134" s="124">
        <f>I134*T134</f>
        <v>0</v>
      </c>
      <c r="V134" s="123">
        <f>((T134*I134)-W134)*7.5%</f>
        <v>0</v>
      </c>
      <c r="W134" s="124">
        <f>S134*I134*10%</f>
        <v>0</v>
      </c>
      <c r="X134" s="127"/>
    </row>
    <row r="135" spans="1:24">
      <c r="A135" s="118"/>
      <c r="B135" s="118"/>
      <c r="C135" s="119"/>
      <c r="D135" s="118"/>
      <c r="E135" s="118"/>
      <c r="F135" s="118"/>
      <c r="G135" s="119"/>
      <c r="H135" s="119"/>
      <c r="I135" s="119"/>
      <c r="J135" s="119" t="s">
        <v>121</v>
      </c>
      <c r="K135" s="119" t="s">
        <v>68</v>
      </c>
      <c r="L135" s="119" t="s">
        <v>109</v>
      </c>
      <c r="M135" s="51" t="str" cm="1">
        <f t="array" ref="M135">IFERROR(_xlfn.SWITCH(L135,"R-FPA",495,"R-FPB",595,"R-FPC",595,"R-FPD",595,"Custom Carton","input L"),0)</f>
        <v>input L</v>
      </c>
      <c r="N135" s="51" t="str" cm="1">
        <f t="array" ref="N135">IFERROR(_xlfn.SWITCH(L135,"R-FPA",285,"R-FPB",285,"R-FPC",325,"R-FPD",380,"Custom Carton","input W"),0)</f>
        <v>input W</v>
      </c>
      <c r="O135" s="51"/>
      <c r="P135" s="51">
        <f>IFERROR(IF(K135="",0,(M135+N135)*2+15),0)</f>
        <v>0</v>
      </c>
      <c r="Q135" s="51">
        <f>IFERROR(IF(K135="",0,(N135+O135)-10),0)</f>
        <v>0</v>
      </c>
      <c r="R135" s="53">
        <f xml:space="preserve"> P135 * Q135 * (1 + 2.5%) / 1000000</f>
        <v>0</v>
      </c>
      <c r="S135" s="125">
        <f>R135*'RFQ_Matalan Carton'!$M$32</f>
        <v>0</v>
      </c>
      <c r="T135" s="124">
        <f>S135</f>
        <v>0</v>
      </c>
      <c r="U135" s="124">
        <f>I135*T135</f>
        <v>0</v>
      </c>
      <c r="V135" s="123">
        <f>((T135*I135)-W135)*7.5%</f>
        <v>0</v>
      </c>
      <c r="W135" s="124">
        <f>S135*I135*10%</f>
        <v>0</v>
      </c>
      <c r="X135" s="127"/>
    </row>
    <row r="136" spans="1:24">
      <c r="A136" s="118"/>
      <c r="B136" s="118"/>
      <c r="C136" s="119"/>
      <c r="D136" s="118"/>
      <c r="E136" s="118"/>
      <c r="F136" s="118"/>
      <c r="G136" s="119"/>
      <c r="H136" s="119"/>
      <c r="I136" s="119"/>
      <c r="J136" s="119" t="s">
        <v>121</v>
      </c>
      <c r="K136" s="119" t="s">
        <v>68</v>
      </c>
      <c r="L136" s="119" t="s">
        <v>109</v>
      </c>
      <c r="M136" s="51" t="str" cm="1">
        <f t="array" ref="M136">IFERROR(_xlfn.SWITCH(L136,"R-FPA",495,"R-FPB",595,"R-FPC",595,"R-FPD",595,"Custom Carton","input L"),0)</f>
        <v>input L</v>
      </c>
      <c r="N136" s="51" t="str" cm="1">
        <f t="array" ref="N136">IFERROR(_xlfn.SWITCH(L136,"R-FPA",285,"R-FPB",285,"R-FPC",325,"R-FPD",380,"Custom Carton","input W"),0)</f>
        <v>input W</v>
      </c>
      <c r="O136" s="51"/>
      <c r="P136" s="51">
        <f>IFERROR(IF(K136="",0,(M136+N136)*2+15),0)</f>
        <v>0</v>
      </c>
      <c r="Q136" s="51">
        <f>IFERROR(IF(K136="",0,(N136+O136)-10),0)</f>
        <v>0</v>
      </c>
      <c r="R136" s="53">
        <f xml:space="preserve"> P136 * Q136 * (1 + 2.5%) / 1000000</f>
        <v>0</v>
      </c>
      <c r="S136" s="125">
        <f>R136*'RFQ_Matalan Carton'!$M$32</f>
        <v>0</v>
      </c>
      <c r="T136" s="124">
        <f>S136</f>
        <v>0</v>
      </c>
      <c r="U136" s="124">
        <f>I136*T136</f>
        <v>0</v>
      </c>
      <c r="V136" s="123">
        <f>((T136*I136)-W136)*7.5%</f>
        <v>0</v>
      </c>
      <c r="W136" s="124">
        <f>S136*I136*10%</f>
        <v>0</v>
      </c>
      <c r="X136" s="127"/>
    </row>
    <row r="137" spans="1:24">
      <c r="A137" s="118"/>
      <c r="B137" s="118"/>
      <c r="C137" s="119"/>
      <c r="D137" s="118"/>
      <c r="E137" s="118"/>
      <c r="F137" s="118"/>
      <c r="G137" s="119"/>
      <c r="H137" s="119"/>
      <c r="I137" s="119"/>
      <c r="J137" s="119" t="s">
        <v>121</v>
      </c>
      <c r="K137" s="119" t="s">
        <v>68</v>
      </c>
      <c r="L137" s="119" t="s">
        <v>109</v>
      </c>
      <c r="M137" s="51" t="str" cm="1">
        <f t="array" ref="M137">IFERROR(_xlfn.SWITCH(L137,"R-FPA",495,"R-FPB",595,"R-FPC",595,"R-FPD",595,"Custom Carton","input L"),0)</f>
        <v>input L</v>
      </c>
      <c r="N137" s="51" t="str" cm="1">
        <f t="array" ref="N137">IFERROR(_xlfn.SWITCH(L137,"R-FPA",285,"R-FPB",285,"R-FPC",325,"R-FPD",380,"Custom Carton","input W"),0)</f>
        <v>input W</v>
      </c>
      <c r="O137" s="51"/>
      <c r="P137" s="51">
        <f>IFERROR(IF(K137="",0,(M137+N137)*2+15),0)</f>
        <v>0</v>
      </c>
      <c r="Q137" s="51">
        <f>IFERROR(IF(K137="",0,(N137+O137)-10),0)</f>
        <v>0</v>
      </c>
      <c r="R137" s="53">
        <f xml:space="preserve"> P137 * Q137 * (1 + 2.5%) / 1000000</f>
        <v>0</v>
      </c>
      <c r="S137" s="125">
        <f>R137*'RFQ_Matalan Carton'!$M$32</f>
        <v>0</v>
      </c>
      <c r="T137" s="124">
        <f>S137</f>
        <v>0</v>
      </c>
      <c r="U137" s="124">
        <f>I137*T137</f>
        <v>0</v>
      </c>
      <c r="V137" s="123">
        <f>((T137*I137)-W137)*7.5%</f>
        <v>0</v>
      </c>
      <c r="W137" s="124">
        <f>S137*I137*10%</f>
        <v>0</v>
      </c>
      <c r="X137" s="127"/>
    </row>
    <row r="138" spans="1:24">
      <c r="A138" s="118"/>
      <c r="B138" s="118"/>
      <c r="C138" s="119"/>
      <c r="D138" s="118"/>
      <c r="E138" s="118"/>
      <c r="F138" s="118"/>
      <c r="G138" s="119"/>
      <c r="H138" s="119"/>
      <c r="I138" s="119"/>
      <c r="J138" s="119" t="s">
        <v>121</v>
      </c>
      <c r="K138" s="119" t="s">
        <v>68</v>
      </c>
      <c r="L138" s="119" t="s">
        <v>109</v>
      </c>
      <c r="M138" s="51" t="str" cm="1">
        <f t="array" ref="M138">IFERROR(_xlfn.SWITCH(L138,"R-FPA",495,"R-FPB",595,"R-FPC",595,"R-FPD",595,"Custom Carton","input L"),0)</f>
        <v>input L</v>
      </c>
      <c r="N138" s="51" t="str" cm="1">
        <f t="array" ref="N138">IFERROR(_xlfn.SWITCH(L138,"R-FPA",285,"R-FPB",285,"R-FPC",325,"R-FPD",380,"Custom Carton","input W"),0)</f>
        <v>input W</v>
      </c>
      <c r="O138" s="51"/>
      <c r="P138" s="51">
        <f>IFERROR(IF(K138="",0,(M138+N138)*2+15),0)</f>
        <v>0</v>
      </c>
      <c r="Q138" s="51">
        <f>IFERROR(IF(K138="",0,(N138+O138)-10),0)</f>
        <v>0</v>
      </c>
      <c r="R138" s="53">
        <f xml:space="preserve"> P138 * Q138 * (1 + 2.5%) / 1000000</f>
        <v>0</v>
      </c>
      <c r="S138" s="125">
        <f>R138*'RFQ_Matalan Carton'!$M$32</f>
        <v>0</v>
      </c>
      <c r="T138" s="124">
        <f>S138</f>
        <v>0</v>
      </c>
      <c r="U138" s="124">
        <f>I138*T138</f>
        <v>0</v>
      </c>
      <c r="V138" s="123">
        <f>((T138*I138)-W138)*7.5%</f>
        <v>0</v>
      </c>
      <c r="W138" s="124">
        <f>S138*I138*10%</f>
        <v>0</v>
      </c>
      <c r="X138" s="127"/>
    </row>
    <row r="139" spans="1:24">
      <c r="A139" s="118"/>
      <c r="B139" s="118"/>
      <c r="C139" s="119"/>
      <c r="D139" s="118"/>
      <c r="E139" s="118"/>
      <c r="F139" s="118"/>
      <c r="G139" s="119"/>
      <c r="H139" s="119"/>
      <c r="I139" s="119"/>
      <c r="J139" s="119" t="s">
        <v>121</v>
      </c>
      <c r="K139" s="119" t="s">
        <v>68</v>
      </c>
      <c r="L139" s="119" t="s">
        <v>109</v>
      </c>
      <c r="M139" s="51" t="str" cm="1">
        <f t="array" ref="M139">IFERROR(_xlfn.SWITCH(L139,"R-FPA",495,"R-FPB",595,"R-FPC",595,"R-FPD",595,"Custom Carton","input L"),0)</f>
        <v>input L</v>
      </c>
      <c r="N139" s="51" t="str" cm="1">
        <f t="array" ref="N139">IFERROR(_xlfn.SWITCH(L139,"R-FPA",285,"R-FPB",285,"R-FPC",325,"R-FPD",380,"Custom Carton","input W"),0)</f>
        <v>input W</v>
      </c>
      <c r="O139" s="51"/>
      <c r="P139" s="51">
        <f>IFERROR(IF(K139="",0,(M139+N139)*2+15),0)</f>
        <v>0</v>
      </c>
      <c r="Q139" s="51">
        <f>IFERROR(IF(K139="",0,(N139+O139)-10),0)</f>
        <v>0</v>
      </c>
      <c r="R139" s="53">
        <f xml:space="preserve"> P139 * Q139 * (1 + 2.5%) / 1000000</f>
        <v>0</v>
      </c>
      <c r="S139" s="125">
        <f>R139*'RFQ_Matalan Carton'!$M$32</f>
        <v>0</v>
      </c>
      <c r="T139" s="124">
        <f>S139</f>
        <v>0</v>
      </c>
      <c r="U139" s="124">
        <f>I139*T139</f>
        <v>0</v>
      </c>
      <c r="V139" s="123">
        <f>((T139*I139)-W139)*7.5%</f>
        <v>0</v>
      </c>
      <c r="W139" s="124">
        <f>S139*I139*10%</f>
        <v>0</v>
      </c>
      <c r="X139" s="127"/>
    </row>
    <row r="140" spans="1:24">
      <c r="A140" s="118"/>
      <c r="B140" s="118"/>
      <c r="C140" s="119"/>
      <c r="D140" s="118"/>
      <c r="E140" s="118"/>
      <c r="F140" s="118"/>
      <c r="G140" s="119"/>
      <c r="H140" s="119"/>
      <c r="I140" s="119"/>
      <c r="J140" s="119" t="s">
        <v>121</v>
      </c>
      <c r="K140" s="119" t="s">
        <v>68</v>
      </c>
      <c r="L140" s="119" t="s">
        <v>109</v>
      </c>
      <c r="M140" s="51" t="str" cm="1">
        <f t="array" ref="M140">IFERROR(_xlfn.SWITCH(L140,"R-FPA",495,"R-FPB",595,"R-FPC",595,"R-FPD",595,"Custom Carton","input L"),0)</f>
        <v>input L</v>
      </c>
      <c r="N140" s="51" t="str" cm="1">
        <f t="array" ref="N140">IFERROR(_xlfn.SWITCH(L140,"R-FPA",285,"R-FPB",285,"R-FPC",325,"R-FPD",380,"Custom Carton","input W"),0)</f>
        <v>input W</v>
      </c>
      <c r="O140" s="51"/>
      <c r="P140" s="51">
        <f>IFERROR(IF(K140="",0,(M140+N140)*2+15),0)</f>
        <v>0</v>
      </c>
      <c r="Q140" s="51">
        <f>IFERROR(IF(K140="",0,(N140+O140)-10),0)</f>
        <v>0</v>
      </c>
      <c r="R140" s="53">
        <f xml:space="preserve"> P140 * Q140 * (1 + 2.5%) / 1000000</f>
        <v>0</v>
      </c>
      <c r="S140" s="125">
        <f>R140*'RFQ_Matalan Carton'!$M$32</f>
        <v>0</v>
      </c>
      <c r="T140" s="124">
        <f>S140</f>
        <v>0</v>
      </c>
      <c r="U140" s="124">
        <f>I140*T140</f>
        <v>0</v>
      </c>
      <c r="V140" s="123">
        <f>((T140*I140)-W140)*7.5%</f>
        <v>0</v>
      </c>
      <c r="W140" s="124">
        <f>S140*I140*10%</f>
        <v>0</v>
      </c>
      <c r="X140" s="127"/>
    </row>
    <row r="141" spans="1:24">
      <c r="A141" s="118"/>
      <c r="B141" s="118"/>
      <c r="C141" s="119"/>
      <c r="D141" s="118"/>
      <c r="E141" s="118"/>
      <c r="F141" s="118"/>
      <c r="G141" s="119"/>
      <c r="H141" s="119"/>
      <c r="I141" s="119"/>
      <c r="J141" s="119" t="s">
        <v>121</v>
      </c>
      <c r="K141" s="119" t="s">
        <v>68</v>
      </c>
      <c r="L141" s="119" t="s">
        <v>109</v>
      </c>
      <c r="M141" s="51" t="str" cm="1">
        <f t="array" ref="M141">IFERROR(_xlfn.SWITCH(L141,"R-FPA",495,"R-FPB",595,"R-FPC",595,"R-FPD",595,"Custom Carton","input L"),0)</f>
        <v>input L</v>
      </c>
      <c r="N141" s="51" t="str" cm="1">
        <f t="array" ref="N141">IFERROR(_xlfn.SWITCH(L141,"R-FPA",285,"R-FPB",285,"R-FPC",325,"R-FPD",380,"Custom Carton","input W"),0)</f>
        <v>input W</v>
      </c>
      <c r="O141" s="51"/>
      <c r="P141" s="51">
        <f>IFERROR(IF(K141="",0,(M141+N141)*2+15),0)</f>
        <v>0</v>
      </c>
      <c r="Q141" s="51">
        <f>IFERROR(IF(K141="",0,(N141+O141)-10),0)</f>
        <v>0</v>
      </c>
      <c r="R141" s="53">
        <f xml:space="preserve"> P141 * Q141 * (1 + 2.5%) / 1000000</f>
        <v>0</v>
      </c>
      <c r="S141" s="125">
        <f>R141*'RFQ_Matalan Carton'!$M$32</f>
        <v>0</v>
      </c>
      <c r="T141" s="124">
        <f>S141</f>
        <v>0</v>
      </c>
      <c r="U141" s="124">
        <f>I141*T141</f>
        <v>0</v>
      </c>
      <c r="V141" s="123">
        <f>((T141*I141)-W141)*7.5%</f>
        <v>0</v>
      </c>
      <c r="W141" s="124">
        <f>S141*I141*10%</f>
        <v>0</v>
      </c>
      <c r="X141" s="127"/>
    </row>
    <row r="142" spans="1:24">
      <c r="A142" s="118"/>
      <c r="B142" s="118"/>
      <c r="C142" s="119"/>
      <c r="D142" s="118"/>
      <c r="E142" s="118"/>
      <c r="F142" s="118"/>
      <c r="G142" s="119"/>
      <c r="H142" s="119"/>
      <c r="I142" s="119"/>
      <c r="J142" s="119" t="s">
        <v>121</v>
      </c>
      <c r="K142" s="119" t="s">
        <v>68</v>
      </c>
      <c r="L142" s="119" t="s">
        <v>109</v>
      </c>
      <c r="M142" s="51" t="str" cm="1">
        <f t="array" ref="M142">IFERROR(_xlfn.SWITCH(L142,"R-FPA",495,"R-FPB",595,"R-FPC",595,"R-FPD",595,"Custom Carton","input L"),0)</f>
        <v>input L</v>
      </c>
      <c r="N142" s="51" t="str" cm="1">
        <f t="array" ref="N142">IFERROR(_xlfn.SWITCH(L142,"R-FPA",285,"R-FPB",285,"R-FPC",325,"R-FPD",380,"Custom Carton","input W"),0)</f>
        <v>input W</v>
      </c>
      <c r="O142" s="51"/>
      <c r="P142" s="51">
        <f>IFERROR(IF(K142="",0,(M142+N142)*2+15),0)</f>
        <v>0</v>
      </c>
      <c r="Q142" s="51">
        <f>IFERROR(IF(K142="",0,(N142+O142)-10),0)</f>
        <v>0</v>
      </c>
      <c r="R142" s="53">
        <f xml:space="preserve"> P142 * Q142 * (1 + 2.5%) / 1000000</f>
        <v>0</v>
      </c>
      <c r="S142" s="125">
        <f>R142*'RFQ_Matalan Carton'!$M$32</f>
        <v>0</v>
      </c>
      <c r="T142" s="124">
        <f>S142</f>
        <v>0</v>
      </c>
      <c r="U142" s="124">
        <f>I142*T142</f>
        <v>0</v>
      </c>
      <c r="V142" s="123">
        <f>((T142*I142)-W142)*7.5%</f>
        <v>0</v>
      </c>
      <c r="W142" s="124">
        <f>S142*I142*10%</f>
        <v>0</v>
      </c>
      <c r="X142" s="127"/>
    </row>
    <row r="143" spans="1:24">
      <c r="A143" s="118"/>
      <c r="B143" s="118"/>
      <c r="C143" s="119"/>
      <c r="D143" s="118"/>
      <c r="E143" s="118"/>
      <c r="F143" s="118"/>
      <c r="G143" s="119"/>
      <c r="H143" s="119"/>
      <c r="I143" s="119"/>
      <c r="J143" s="119" t="s">
        <v>121</v>
      </c>
      <c r="K143" s="119" t="s">
        <v>68</v>
      </c>
      <c r="L143" s="119" t="s">
        <v>109</v>
      </c>
      <c r="M143" s="51" t="str" cm="1">
        <f t="array" ref="M143">IFERROR(_xlfn.SWITCH(L143,"R-FPA",495,"R-FPB",595,"R-FPC",595,"R-FPD",595,"Custom Carton","input L"),0)</f>
        <v>input L</v>
      </c>
      <c r="N143" s="51" t="str" cm="1">
        <f t="array" ref="N143">IFERROR(_xlfn.SWITCH(L143,"R-FPA",285,"R-FPB",285,"R-FPC",325,"R-FPD",380,"Custom Carton","input W"),0)</f>
        <v>input W</v>
      </c>
      <c r="O143" s="51"/>
      <c r="P143" s="51">
        <f>IFERROR(IF(K143="",0,(M143+N143)*2+15),0)</f>
        <v>0</v>
      </c>
      <c r="Q143" s="51">
        <f>IFERROR(IF(K143="",0,(N143+O143)-10),0)</f>
        <v>0</v>
      </c>
      <c r="R143" s="53">
        <f xml:space="preserve"> P143 * Q143 * (1 + 2.5%) / 1000000</f>
        <v>0</v>
      </c>
      <c r="S143" s="125">
        <f>R143*'RFQ_Matalan Carton'!$M$32</f>
        <v>0</v>
      </c>
      <c r="T143" s="124">
        <f>S143</f>
        <v>0</v>
      </c>
      <c r="U143" s="124">
        <f>I143*T143</f>
        <v>0</v>
      </c>
      <c r="V143" s="123">
        <f>((T143*I143)-W143)*7.5%</f>
        <v>0</v>
      </c>
      <c r="W143" s="124">
        <f>S143*I143*10%</f>
        <v>0</v>
      </c>
      <c r="X143" s="127"/>
    </row>
    <row r="144" spans="1:24">
      <c r="A144" s="118"/>
      <c r="B144" s="118"/>
      <c r="C144" s="119"/>
      <c r="D144" s="118"/>
      <c r="E144" s="118"/>
      <c r="F144" s="118"/>
      <c r="G144" s="119"/>
      <c r="H144" s="119"/>
      <c r="I144" s="119"/>
      <c r="J144" s="119" t="s">
        <v>121</v>
      </c>
      <c r="K144" s="119" t="s">
        <v>68</v>
      </c>
      <c r="L144" s="119" t="s">
        <v>109</v>
      </c>
      <c r="M144" s="51" t="str" cm="1">
        <f t="array" ref="M144">IFERROR(_xlfn.SWITCH(L144,"R-FPA",495,"R-FPB",595,"R-FPC",595,"R-FPD",595,"Custom Carton","input L"),0)</f>
        <v>input L</v>
      </c>
      <c r="N144" s="51" t="str" cm="1">
        <f t="array" ref="N144">IFERROR(_xlfn.SWITCH(L144,"R-FPA",285,"R-FPB",285,"R-FPC",325,"R-FPD",380,"Custom Carton","input W"),0)</f>
        <v>input W</v>
      </c>
      <c r="O144" s="51"/>
      <c r="P144" s="51">
        <f>IFERROR(IF(K144="",0,(M144+N144)*2+15),0)</f>
        <v>0</v>
      </c>
      <c r="Q144" s="51">
        <f>IFERROR(IF(K144="",0,(N144+O144)-10),0)</f>
        <v>0</v>
      </c>
      <c r="R144" s="53">
        <f xml:space="preserve"> P144 * Q144 * (1 + 2.5%) / 1000000</f>
        <v>0</v>
      </c>
      <c r="S144" s="125">
        <f>R144*'RFQ_Matalan Carton'!$M$32</f>
        <v>0</v>
      </c>
      <c r="T144" s="124">
        <f>S144</f>
        <v>0</v>
      </c>
      <c r="U144" s="124">
        <f>I144*T144</f>
        <v>0</v>
      </c>
      <c r="V144" s="123">
        <f>((T144*I144)-W144)*7.5%</f>
        <v>0</v>
      </c>
      <c r="W144" s="124">
        <f>S144*I144*10%</f>
        <v>0</v>
      </c>
      <c r="X144" s="127"/>
    </row>
    <row r="145" spans="1:24">
      <c r="A145" s="118"/>
      <c r="B145" s="118"/>
      <c r="C145" s="119"/>
      <c r="D145" s="118"/>
      <c r="E145" s="118"/>
      <c r="F145" s="118"/>
      <c r="G145" s="119"/>
      <c r="H145" s="121"/>
      <c r="I145" s="121"/>
      <c r="J145" s="119" t="s">
        <v>121</v>
      </c>
      <c r="K145" s="119" t="s">
        <v>68</v>
      </c>
      <c r="L145" s="119" t="s">
        <v>109</v>
      </c>
      <c r="M145" s="51" t="str" cm="1">
        <f t="array" ref="M145">IFERROR(_xlfn.SWITCH(L145,"R-FPA",495,"R-FPB",595,"R-FPC",595,"R-FPD",595,"Custom Carton","input L"),0)</f>
        <v>input L</v>
      </c>
      <c r="N145" s="51" t="str" cm="1">
        <f t="array" ref="N145">IFERROR(_xlfn.SWITCH(L145,"R-FPA",285,"R-FPB",285,"R-FPC",325,"R-FPD",380,"Custom Carton","input W"),0)</f>
        <v>input W</v>
      </c>
      <c r="O145" s="51"/>
      <c r="P145" s="51">
        <f>IFERROR(IF(K145="",0,(M145+N145)*2+15),0)</f>
        <v>0</v>
      </c>
      <c r="Q145" s="51">
        <f>IFERROR(IF(K145="",0,(N145+O145)-10),0)</f>
        <v>0</v>
      </c>
      <c r="R145" s="53">
        <f xml:space="preserve"> P145 * Q145 * (1 + 2.5%) / 1000000</f>
        <v>0</v>
      </c>
      <c r="S145" s="125">
        <f>R145*'RFQ_Matalan Carton'!$M$32</f>
        <v>0</v>
      </c>
      <c r="T145" s="124">
        <f>S145</f>
        <v>0</v>
      </c>
      <c r="U145" s="124">
        <f>I145*T145</f>
        <v>0</v>
      </c>
      <c r="V145" s="123">
        <f>((T145*I145)-W145)*7.5%</f>
        <v>0</v>
      </c>
      <c r="W145" s="124">
        <f>S145*I145*10%</f>
        <v>0</v>
      </c>
      <c r="X145" s="127"/>
    </row>
    <row r="146" spans="1:24">
      <c r="A146" s="118"/>
      <c r="B146" s="118"/>
      <c r="C146" s="119"/>
      <c r="D146" s="118"/>
      <c r="E146" s="118"/>
      <c r="F146" s="118"/>
      <c r="G146" s="119"/>
      <c r="H146" s="121"/>
      <c r="I146" s="121"/>
      <c r="J146" s="119" t="s">
        <v>121</v>
      </c>
      <c r="K146" s="119" t="s">
        <v>68</v>
      </c>
      <c r="L146" s="119" t="s">
        <v>109</v>
      </c>
      <c r="M146" s="51" t="str" cm="1">
        <f t="array" ref="M146">IFERROR(_xlfn.SWITCH(L146,"R-FPA",495,"R-FPB",595,"R-FPC",595,"R-FPD",595,"Custom Carton","input L"),0)</f>
        <v>input L</v>
      </c>
      <c r="N146" s="51" t="str" cm="1">
        <f t="array" ref="N146">IFERROR(_xlfn.SWITCH(L146,"R-FPA",285,"R-FPB",285,"R-FPC",325,"R-FPD",380,"Custom Carton","input W"),0)</f>
        <v>input W</v>
      </c>
      <c r="O146" s="51"/>
      <c r="P146" s="51">
        <f>IFERROR(IF(K146="",0,(M146+N146)*2+15),0)</f>
        <v>0</v>
      </c>
      <c r="Q146" s="51">
        <f>IFERROR(IF(K146="",0,(N146+O146)-10),0)</f>
        <v>0</v>
      </c>
      <c r="R146" s="53">
        <f xml:space="preserve"> P146 * Q146 * (1 + 2.5%) / 1000000</f>
        <v>0</v>
      </c>
      <c r="S146" s="125">
        <f>R146*'RFQ_Matalan Carton'!$M$32</f>
        <v>0</v>
      </c>
      <c r="T146" s="124">
        <f>S146</f>
        <v>0</v>
      </c>
      <c r="U146" s="124">
        <f>I146*T146</f>
        <v>0</v>
      </c>
      <c r="V146" s="123">
        <f>((T146*I146)-W146)*7.5%</f>
        <v>0</v>
      </c>
      <c r="W146" s="124">
        <f>S146*I146*10%</f>
        <v>0</v>
      </c>
      <c r="X146" s="127"/>
    </row>
    <row r="147" spans="1:24">
      <c r="A147" s="118"/>
      <c r="B147" s="118"/>
      <c r="C147" s="119"/>
      <c r="D147" s="118"/>
      <c r="E147" s="118"/>
      <c r="F147" s="118"/>
      <c r="G147" s="119"/>
      <c r="H147" s="121"/>
      <c r="I147" s="121"/>
      <c r="J147" s="119" t="s">
        <v>121</v>
      </c>
      <c r="K147" s="119" t="s">
        <v>68</v>
      </c>
      <c r="L147" s="119" t="s">
        <v>109</v>
      </c>
      <c r="M147" s="51" t="str" cm="1">
        <f t="array" ref="M147">IFERROR(_xlfn.SWITCH(L147,"R-FPA",495,"R-FPB",595,"R-FPC",595,"R-FPD",595,"Custom Carton","input L"),0)</f>
        <v>input L</v>
      </c>
      <c r="N147" s="51" t="str" cm="1">
        <f t="array" ref="N147">IFERROR(_xlfn.SWITCH(L147,"R-FPA",285,"R-FPB",285,"R-FPC",325,"R-FPD",380,"Custom Carton","input W"),0)</f>
        <v>input W</v>
      </c>
      <c r="O147" s="51"/>
      <c r="P147" s="51">
        <f>IFERROR(IF(K147="",0,(M147+N147)*2+15),0)</f>
        <v>0</v>
      </c>
      <c r="Q147" s="51">
        <f>IFERROR(IF(K147="",0,(N147+O147)-10),0)</f>
        <v>0</v>
      </c>
      <c r="R147" s="53">
        <f xml:space="preserve"> P147 * Q147 * (1 + 2.5%) / 1000000</f>
        <v>0</v>
      </c>
      <c r="S147" s="125">
        <f>R147*'RFQ_Matalan Carton'!$M$32</f>
        <v>0</v>
      </c>
      <c r="T147" s="124">
        <f>S147</f>
        <v>0</v>
      </c>
      <c r="U147" s="124">
        <f>I147*T147</f>
        <v>0</v>
      </c>
      <c r="V147" s="123">
        <f>((T147*I147)-W147)*7.5%</f>
        <v>0</v>
      </c>
      <c r="W147" s="124">
        <f>S147*I147*10%</f>
        <v>0</v>
      </c>
      <c r="X147" s="127"/>
    </row>
    <row r="148" spans="1:24">
      <c r="A148" s="118"/>
      <c r="B148" s="118"/>
      <c r="C148" s="119"/>
      <c r="D148" s="118"/>
      <c r="E148" s="118"/>
      <c r="F148" s="118"/>
      <c r="G148" s="119"/>
      <c r="H148" s="119"/>
      <c r="I148" s="119"/>
      <c r="J148" s="119" t="s">
        <v>121</v>
      </c>
      <c r="K148" s="119" t="s">
        <v>68</v>
      </c>
      <c r="L148" s="119" t="s">
        <v>109</v>
      </c>
      <c r="M148" s="51" t="str" cm="1">
        <f t="array" ref="M148">IFERROR(_xlfn.SWITCH(L148,"R-FPA",495,"R-FPB",595,"R-FPC",595,"R-FPD",595,"Custom Carton","input L"),0)</f>
        <v>input L</v>
      </c>
      <c r="N148" s="51" t="str" cm="1">
        <f t="array" ref="N148">IFERROR(_xlfn.SWITCH(L148,"R-FPA",285,"R-FPB",285,"R-FPC",325,"R-FPD",380,"Custom Carton","input W"),0)</f>
        <v>input W</v>
      </c>
      <c r="O148" s="51"/>
      <c r="P148" s="51">
        <f>IFERROR(IF(K148="",0,(M148+N148)*2+15),0)</f>
        <v>0</v>
      </c>
      <c r="Q148" s="51">
        <f>IFERROR(IF(K148="",0,(N148+O148)-10),0)</f>
        <v>0</v>
      </c>
      <c r="R148" s="53">
        <f xml:space="preserve"> P148 * Q148 * (1 + 2.5%) / 1000000</f>
        <v>0</v>
      </c>
      <c r="S148" s="125">
        <f>R148*'RFQ_Matalan Carton'!$M$32</f>
        <v>0</v>
      </c>
      <c r="T148" s="124">
        <f>S148</f>
        <v>0</v>
      </c>
      <c r="U148" s="124">
        <f>I148*T148</f>
        <v>0</v>
      </c>
      <c r="V148" s="123">
        <f>((T148*I148)-W148)*7.5%</f>
        <v>0</v>
      </c>
      <c r="W148" s="124">
        <f>S148*I148*10%</f>
        <v>0</v>
      </c>
      <c r="X148" s="127"/>
    </row>
    <row r="149" spans="1:24">
      <c r="A149" s="118"/>
      <c r="B149" s="118"/>
      <c r="C149" s="119"/>
      <c r="D149" s="118"/>
      <c r="E149" s="118"/>
      <c r="F149" s="118"/>
      <c r="G149" s="119"/>
      <c r="H149" s="119"/>
      <c r="I149" s="119"/>
      <c r="J149" s="119" t="s">
        <v>121</v>
      </c>
      <c r="K149" s="119" t="s">
        <v>68</v>
      </c>
      <c r="L149" s="119" t="s">
        <v>109</v>
      </c>
      <c r="M149" s="51" t="str" cm="1">
        <f t="array" ref="M149">IFERROR(_xlfn.SWITCH(L149,"R-FPA",495,"R-FPB",595,"R-FPC",595,"R-FPD",595,"Custom Carton","input L"),0)</f>
        <v>input L</v>
      </c>
      <c r="N149" s="51" t="str" cm="1">
        <f t="array" ref="N149">IFERROR(_xlfn.SWITCH(L149,"R-FPA",285,"R-FPB",285,"R-FPC",325,"R-FPD",380,"Custom Carton","input W"),0)</f>
        <v>input W</v>
      </c>
      <c r="O149" s="51"/>
      <c r="P149" s="51">
        <f>IFERROR(IF(K149="",0,(M149+N149)*2+15),0)</f>
        <v>0</v>
      </c>
      <c r="Q149" s="51">
        <f>IFERROR(IF(K149="",0,(N149+O149)-10),0)</f>
        <v>0</v>
      </c>
      <c r="R149" s="53">
        <f xml:space="preserve"> P149 * Q149 * (1 + 2.5%) / 1000000</f>
        <v>0</v>
      </c>
      <c r="S149" s="125">
        <f>R149*'RFQ_Matalan Carton'!$M$32</f>
        <v>0</v>
      </c>
      <c r="T149" s="124">
        <f>S149</f>
        <v>0</v>
      </c>
      <c r="U149" s="124">
        <f>I149*T149</f>
        <v>0</v>
      </c>
      <c r="V149" s="123">
        <f>((T149*I149)-W149)*7.5%</f>
        <v>0</v>
      </c>
      <c r="W149" s="124">
        <f>S149*I149*10%</f>
        <v>0</v>
      </c>
      <c r="X149" s="127"/>
    </row>
    <row r="150" spans="1:24">
      <c r="A150" s="118"/>
      <c r="B150" s="118"/>
      <c r="C150" s="119"/>
      <c r="D150" s="118"/>
      <c r="E150" s="118"/>
      <c r="F150" s="118"/>
      <c r="G150" s="119"/>
      <c r="H150" s="119"/>
      <c r="I150" s="119"/>
      <c r="J150" s="119" t="s">
        <v>121</v>
      </c>
      <c r="K150" s="119" t="s">
        <v>68</v>
      </c>
      <c r="L150" s="119" t="s">
        <v>109</v>
      </c>
      <c r="M150" s="51" t="str" cm="1">
        <f t="array" ref="M150">IFERROR(_xlfn.SWITCH(L150,"R-FPA",495,"R-FPB",595,"R-FPC",595,"R-FPD",595,"Custom Carton","input L"),0)</f>
        <v>input L</v>
      </c>
      <c r="N150" s="51" t="str" cm="1">
        <f t="array" ref="N150">IFERROR(_xlfn.SWITCH(L150,"R-FPA",285,"R-FPB",285,"R-FPC",325,"R-FPD",380,"Custom Carton","input W"),0)</f>
        <v>input W</v>
      </c>
      <c r="O150" s="51"/>
      <c r="P150" s="51">
        <f>IFERROR(IF(K150="",0,(M150+N150)*2+15),0)</f>
        <v>0</v>
      </c>
      <c r="Q150" s="51">
        <f>IFERROR(IF(K150="",0,(N150+O150)-10),0)</f>
        <v>0</v>
      </c>
      <c r="R150" s="53">
        <f xml:space="preserve"> P150 * Q150 * (1 + 2.5%) / 1000000</f>
        <v>0</v>
      </c>
      <c r="S150" s="125">
        <f>R150*'RFQ_Matalan Carton'!$M$32</f>
        <v>0</v>
      </c>
      <c r="T150" s="124">
        <f>S150</f>
        <v>0</v>
      </c>
      <c r="U150" s="124">
        <f>I150*T150</f>
        <v>0</v>
      </c>
      <c r="V150" s="123">
        <f>((T150*I150)-W150)*7.5%</f>
        <v>0</v>
      </c>
      <c r="W150" s="124">
        <f>S150*I150*10%</f>
        <v>0</v>
      </c>
      <c r="X150" s="127"/>
    </row>
    <row r="151" spans="1:24">
      <c r="A151" s="118"/>
      <c r="B151" s="118"/>
      <c r="C151" s="119"/>
      <c r="D151" s="118"/>
      <c r="E151" s="118"/>
      <c r="F151" s="118"/>
      <c r="G151" s="119"/>
      <c r="H151" s="119"/>
      <c r="I151" s="119"/>
      <c r="J151" s="119" t="s">
        <v>121</v>
      </c>
      <c r="K151" s="119" t="s">
        <v>68</v>
      </c>
      <c r="L151" s="119" t="s">
        <v>109</v>
      </c>
      <c r="M151" s="51" t="str" cm="1">
        <f t="array" ref="M151">IFERROR(_xlfn.SWITCH(L151,"R-FPA",495,"R-FPB",595,"R-FPC",595,"R-FPD",595,"Custom Carton","input L"),0)</f>
        <v>input L</v>
      </c>
      <c r="N151" s="51" t="str" cm="1">
        <f t="array" ref="N151">IFERROR(_xlfn.SWITCH(L151,"R-FPA",285,"R-FPB",285,"R-FPC",325,"R-FPD",380,"Custom Carton","input W"),0)</f>
        <v>input W</v>
      </c>
      <c r="O151" s="51"/>
      <c r="P151" s="51">
        <f>IFERROR(IF(K151="",0,(M151+N151)*2+15),0)</f>
        <v>0</v>
      </c>
      <c r="Q151" s="51">
        <f>IFERROR(IF(K151="",0,(N151+O151)-10),0)</f>
        <v>0</v>
      </c>
      <c r="R151" s="53">
        <f xml:space="preserve"> P151 * Q151 * (1 + 2.5%) / 1000000</f>
        <v>0</v>
      </c>
      <c r="S151" s="125">
        <f>R151*'RFQ_Matalan Carton'!$M$32</f>
        <v>0</v>
      </c>
      <c r="T151" s="124">
        <f>S151</f>
        <v>0</v>
      </c>
      <c r="U151" s="124">
        <f>I151*T151</f>
        <v>0</v>
      </c>
      <c r="V151" s="123">
        <f>((T151*I151)-W151)*7.5%</f>
        <v>0</v>
      </c>
      <c r="W151" s="124">
        <f>S151*I151*10%</f>
        <v>0</v>
      </c>
      <c r="X151" s="127"/>
    </row>
    <row r="152" spans="1:24">
      <c r="A152" s="118"/>
      <c r="B152" s="118"/>
      <c r="C152" s="119"/>
      <c r="D152" s="118"/>
      <c r="E152" s="118"/>
      <c r="F152" s="118"/>
      <c r="G152" s="119"/>
      <c r="H152" s="119"/>
      <c r="I152" s="119"/>
      <c r="J152" s="119" t="s">
        <v>121</v>
      </c>
      <c r="K152" s="119" t="s">
        <v>68</v>
      </c>
      <c r="L152" s="119" t="s">
        <v>109</v>
      </c>
      <c r="M152" s="51" t="str" cm="1">
        <f t="array" ref="M152">IFERROR(_xlfn.SWITCH(L152,"R-FPA",495,"R-FPB",595,"R-FPC",595,"R-FPD",595,"Custom Carton","input L"),0)</f>
        <v>input L</v>
      </c>
      <c r="N152" s="51" t="str" cm="1">
        <f t="array" ref="N152">IFERROR(_xlfn.SWITCH(L152,"R-FPA",285,"R-FPB",285,"R-FPC",325,"R-FPD",380,"Custom Carton","input W"),0)</f>
        <v>input W</v>
      </c>
      <c r="O152" s="51"/>
      <c r="P152" s="51">
        <f>IFERROR(IF(K152="",0,(M152+N152)*2+15),0)</f>
        <v>0</v>
      </c>
      <c r="Q152" s="51">
        <f>IFERROR(IF(K152="",0,(N152+O152)-10),0)</f>
        <v>0</v>
      </c>
      <c r="R152" s="53">
        <f xml:space="preserve"> P152 * Q152 * (1 + 2.5%) / 1000000</f>
        <v>0</v>
      </c>
      <c r="S152" s="125">
        <f>R152*'RFQ_Matalan Carton'!$M$32</f>
        <v>0</v>
      </c>
      <c r="T152" s="124">
        <f>S152</f>
        <v>0</v>
      </c>
      <c r="U152" s="124">
        <f>I152*T152</f>
        <v>0</v>
      </c>
      <c r="V152" s="123">
        <f>((T152*I152)-W152)*7.5%</f>
        <v>0</v>
      </c>
      <c r="W152" s="124">
        <f>S152*I152*10%</f>
        <v>0</v>
      </c>
      <c r="X152" s="127"/>
    </row>
    <row r="153" spans="1:24">
      <c r="A153" s="118"/>
      <c r="B153" s="118"/>
      <c r="C153" s="119"/>
      <c r="D153" s="118"/>
      <c r="E153" s="118"/>
      <c r="F153" s="118"/>
      <c r="G153" s="119"/>
      <c r="H153" s="119"/>
      <c r="I153" s="119"/>
      <c r="J153" s="119" t="s">
        <v>121</v>
      </c>
      <c r="K153" s="119" t="s">
        <v>68</v>
      </c>
      <c r="L153" s="119" t="s">
        <v>109</v>
      </c>
      <c r="M153" s="51" t="str" cm="1">
        <f t="array" ref="M153">IFERROR(_xlfn.SWITCH(L153,"R-FPA",495,"R-FPB",595,"R-FPC",595,"R-FPD",595,"Custom Carton","input L"),0)</f>
        <v>input L</v>
      </c>
      <c r="N153" s="51" t="str" cm="1">
        <f t="array" ref="N153">IFERROR(_xlfn.SWITCH(L153,"R-FPA",285,"R-FPB",285,"R-FPC",325,"R-FPD",380,"Custom Carton","input W"),0)</f>
        <v>input W</v>
      </c>
      <c r="O153" s="51"/>
      <c r="P153" s="51">
        <f>IFERROR(IF(K153="",0,(M153+N153)*2+15),0)</f>
        <v>0</v>
      </c>
      <c r="Q153" s="51">
        <f>IFERROR(IF(K153="",0,(N153+O153)-10),0)</f>
        <v>0</v>
      </c>
      <c r="R153" s="53">
        <f xml:space="preserve"> P153 * Q153 * (1 + 2.5%) / 1000000</f>
        <v>0</v>
      </c>
      <c r="S153" s="125">
        <f>R153*'RFQ_Matalan Carton'!$M$32</f>
        <v>0</v>
      </c>
      <c r="T153" s="124">
        <f>S153</f>
        <v>0</v>
      </c>
      <c r="U153" s="124">
        <f>I153*T153</f>
        <v>0</v>
      </c>
      <c r="V153" s="123">
        <f>((T153*I153)-W153)*7.5%</f>
        <v>0</v>
      </c>
      <c r="W153" s="124">
        <f>S153*I153*10%</f>
        <v>0</v>
      </c>
      <c r="X153" s="127"/>
    </row>
    <row r="154" spans="1:24">
      <c r="A154" s="118"/>
      <c r="B154" s="118"/>
      <c r="C154" s="119"/>
      <c r="D154" s="118"/>
      <c r="E154" s="118"/>
      <c r="F154" s="118"/>
      <c r="G154" s="119"/>
      <c r="H154" s="119"/>
      <c r="I154" s="119"/>
      <c r="J154" s="119" t="s">
        <v>121</v>
      </c>
      <c r="K154" s="119" t="s">
        <v>68</v>
      </c>
      <c r="L154" s="119" t="s">
        <v>109</v>
      </c>
      <c r="M154" s="51" t="str" cm="1">
        <f t="array" ref="M154">IFERROR(_xlfn.SWITCH(L154,"R-FPA",495,"R-FPB",595,"R-FPC",595,"R-FPD",595,"Custom Carton","input L"),0)</f>
        <v>input L</v>
      </c>
      <c r="N154" s="51" t="str" cm="1">
        <f t="array" ref="N154">IFERROR(_xlfn.SWITCH(L154,"R-FPA",285,"R-FPB",285,"R-FPC",325,"R-FPD",380,"Custom Carton","input W"),0)</f>
        <v>input W</v>
      </c>
      <c r="O154" s="51"/>
      <c r="P154" s="51">
        <f>IFERROR(IF(K154="",0,(M154+N154)*2+15),0)</f>
        <v>0</v>
      </c>
      <c r="Q154" s="51">
        <f>IFERROR(IF(K154="",0,(N154+O154)-10),0)</f>
        <v>0</v>
      </c>
      <c r="R154" s="53">
        <f xml:space="preserve"> P154 * Q154 * (1 + 2.5%) / 1000000</f>
        <v>0</v>
      </c>
      <c r="S154" s="125">
        <f>R154*'RFQ_Matalan Carton'!$M$32</f>
        <v>0</v>
      </c>
      <c r="T154" s="124">
        <f>S154</f>
        <v>0</v>
      </c>
      <c r="U154" s="124">
        <f>I154*T154</f>
        <v>0</v>
      </c>
      <c r="V154" s="123">
        <f>((T154*I154)-W154)*7.5%</f>
        <v>0</v>
      </c>
      <c r="W154" s="124">
        <f>S154*I154*10%</f>
        <v>0</v>
      </c>
      <c r="X154" s="127"/>
    </row>
    <row r="155" spans="1:24">
      <c r="A155" s="118"/>
      <c r="B155" s="118"/>
      <c r="C155" s="119"/>
      <c r="D155" s="118"/>
      <c r="E155" s="118"/>
      <c r="F155" s="118"/>
      <c r="G155" s="119"/>
      <c r="H155" s="119"/>
      <c r="I155" s="119"/>
      <c r="J155" s="119" t="s">
        <v>121</v>
      </c>
      <c r="K155" s="119" t="s">
        <v>68</v>
      </c>
      <c r="L155" s="119" t="s">
        <v>109</v>
      </c>
      <c r="M155" s="51" t="str" cm="1">
        <f t="array" ref="M155">IFERROR(_xlfn.SWITCH(L155,"R-FPA",495,"R-FPB",595,"R-FPC",595,"R-FPD",595,"Custom Carton","input L"),0)</f>
        <v>input L</v>
      </c>
      <c r="N155" s="51" t="str" cm="1">
        <f t="array" ref="N155">IFERROR(_xlfn.SWITCH(L155,"R-FPA",285,"R-FPB",285,"R-FPC",325,"R-FPD",380,"Custom Carton","input W"),0)</f>
        <v>input W</v>
      </c>
      <c r="O155" s="51"/>
      <c r="P155" s="51">
        <f>IFERROR(IF(K155="",0,(M155+N155)*2+15),0)</f>
        <v>0</v>
      </c>
      <c r="Q155" s="51">
        <f>IFERROR(IF(K155="",0,(N155+O155)-10),0)</f>
        <v>0</v>
      </c>
      <c r="R155" s="53">
        <f xml:space="preserve"> P155 * Q155 * (1 + 2.5%) / 1000000</f>
        <v>0</v>
      </c>
      <c r="S155" s="125">
        <f>R155*'RFQ_Matalan Carton'!$M$32</f>
        <v>0</v>
      </c>
      <c r="T155" s="124">
        <f>S155</f>
        <v>0</v>
      </c>
      <c r="U155" s="124">
        <f>I155*T155</f>
        <v>0</v>
      </c>
      <c r="V155" s="123">
        <f>((T155*I155)-W155)*7.5%</f>
        <v>0</v>
      </c>
      <c r="W155" s="124">
        <f>S155*I155*10%</f>
        <v>0</v>
      </c>
      <c r="X155" s="127"/>
    </row>
    <row r="156" spans="1:24">
      <c r="A156" s="118"/>
      <c r="B156" s="118"/>
      <c r="C156" s="119"/>
      <c r="D156" s="118"/>
      <c r="E156" s="118"/>
      <c r="F156" s="118"/>
      <c r="G156" s="119"/>
      <c r="H156" s="119"/>
      <c r="I156" s="119"/>
      <c r="J156" s="119" t="s">
        <v>121</v>
      </c>
      <c r="K156" s="119" t="s">
        <v>68</v>
      </c>
      <c r="L156" s="119" t="s">
        <v>109</v>
      </c>
      <c r="M156" s="51" t="str" cm="1">
        <f t="array" ref="M156">IFERROR(_xlfn.SWITCH(L156,"R-FPA",495,"R-FPB",595,"R-FPC",595,"R-FPD",595,"Custom Carton","input L"),0)</f>
        <v>input L</v>
      </c>
      <c r="N156" s="51" t="str" cm="1">
        <f t="array" ref="N156">IFERROR(_xlfn.SWITCH(L156,"R-FPA",285,"R-FPB",285,"R-FPC",325,"R-FPD",380,"Custom Carton","input W"),0)</f>
        <v>input W</v>
      </c>
      <c r="O156" s="51"/>
      <c r="P156" s="51">
        <f>IFERROR(IF(K156="",0,(M156+N156)*2+15),0)</f>
        <v>0</v>
      </c>
      <c r="Q156" s="51">
        <f>IFERROR(IF(K156="",0,(N156+O156)-10),0)</f>
        <v>0</v>
      </c>
      <c r="R156" s="53">
        <f xml:space="preserve"> P156 * Q156 * (1 + 2.5%) / 1000000</f>
        <v>0</v>
      </c>
      <c r="S156" s="125">
        <f>R156*'RFQ_Matalan Carton'!$M$32</f>
        <v>0</v>
      </c>
      <c r="T156" s="124">
        <f>S156</f>
        <v>0</v>
      </c>
      <c r="U156" s="124">
        <f>I156*T156</f>
        <v>0</v>
      </c>
      <c r="V156" s="123">
        <f>((T156*I156)-W156)*7.5%</f>
        <v>0</v>
      </c>
      <c r="W156" s="124">
        <f>S156*I156*10%</f>
        <v>0</v>
      </c>
      <c r="X156" s="127"/>
    </row>
    <row r="157" spans="1:24">
      <c r="A157" s="118"/>
      <c r="B157" s="118"/>
      <c r="C157" s="119"/>
      <c r="D157" s="118"/>
      <c r="E157" s="118"/>
      <c r="F157" s="118"/>
      <c r="G157" s="119"/>
      <c r="H157" s="119"/>
      <c r="I157" s="119"/>
      <c r="J157" s="119" t="s">
        <v>121</v>
      </c>
      <c r="K157" s="119" t="s">
        <v>68</v>
      </c>
      <c r="L157" s="119" t="s">
        <v>109</v>
      </c>
      <c r="M157" s="51" t="str" cm="1">
        <f t="array" ref="M157">IFERROR(_xlfn.SWITCH(L157,"R-FPA",495,"R-FPB",595,"R-FPC",595,"R-FPD",595,"Custom Carton","input L"),0)</f>
        <v>input L</v>
      </c>
      <c r="N157" s="51" t="str" cm="1">
        <f t="array" ref="N157">IFERROR(_xlfn.SWITCH(L157,"R-FPA",285,"R-FPB",285,"R-FPC",325,"R-FPD",380,"Custom Carton","input W"),0)</f>
        <v>input W</v>
      </c>
      <c r="O157" s="51"/>
      <c r="P157" s="51">
        <f>IFERROR(IF(K157="",0,(M157+N157)*2+15),0)</f>
        <v>0</v>
      </c>
      <c r="Q157" s="51">
        <f>IFERROR(IF(K157="",0,(N157+O157)-10),0)</f>
        <v>0</v>
      </c>
      <c r="R157" s="53">
        <f xml:space="preserve"> P157 * Q157 * (1 + 2.5%) / 1000000</f>
        <v>0</v>
      </c>
      <c r="S157" s="125">
        <f>R157*'RFQ_Matalan Carton'!$M$32</f>
        <v>0</v>
      </c>
      <c r="T157" s="124">
        <f>S157</f>
        <v>0</v>
      </c>
      <c r="U157" s="124">
        <f>I157*T157</f>
        <v>0</v>
      </c>
      <c r="V157" s="123">
        <f>((T157*I157)-W157)*7.5%</f>
        <v>0</v>
      </c>
      <c r="W157" s="124">
        <f>S157*I157*10%</f>
        <v>0</v>
      </c>
      <c r="X157" s="127"/>
    </row>
    <row r="158" spans="1:24">
      <c r="A158" s="118"/>
      <c r="B158" s="118"/>
      <c r="C158" s="119"/>
      <c r="D158" s="118"/>
      <c r="E158" s="118"/>
      <c r="F158" s="118"/>
      <c r="G158" s="119"/>
      <c r="H158" s="119"/>
      <c r="I158" s="119"/>
      <c r="J158" s="119" t="s">
        <v>121</v>
      </c>
      <c r="K158" s="119" t="s">
        <v>68</v>
      </c>
      <c r="L158" s="119" t="s">
        <v>109</v>
      </c>
      <c r="M158" s="51" t="str" cm="1">
        <f t="array" ref="M158">IFERROR(_xlfn.SWITCH(L158,"R-FPA",495,"R-FPB",595,"R-FPC",595,"R-FPD",595,"Custom Carton","input L"),0)</f>
        <v>input L</v>
      </c>
      <c r="N158" s="51" t="str" cm="1">
        <f t="array" ref="N158">IFERROR(_xlfn.SWITCH(L158,"R-FPA",285,"R-FPB",285,"R-FPC",325,"R-FPD",380,"Custom Carton","input W"),0)</f>
        <v>input W</v>
      </c>
      <c r="O158" s="51"/>
      <c r="P158" s="51">
        <f>IFERROR(IF(K158="",0,(M158+N158)*2+15),0)</f>
        <v>0</v>
      </c>
      <c r="Q158" s="51">
        <f>IFERROR(IF(K158="",0,(N158+O158)-10),0)</f>
        <v>0</v>
      </c>
      <c r="R158" s="53">
        <f xml:space="preserve"> P158 * Q158 * (1 + 2.5%) / 1000000</f>
        <v>0</v>
      </c>
      <c r="S158" s="125">
        <f>R158*'RFQ_Matalan Carton'!$M$32</f>
        <v>0</v>
      </c>
      <c r="T158" s="124">
        <f>S158</f>
        <v>0</v>
      </c>
      <c r="U158" s="124">
        <f>I158*T158</f>
        <v>0</v>
      </c>
      <c r="V158" s="123">
        <f>((T158*I158)-W158)*7.5%</f>
        <v>0</v>
      </c>
      <c r="W158" s="124">
        <f>S158*I158*10%</f>
        <v>0</v>
      </c>
      <c r="X158" s="127"/>
    </row>
    <row r="159" spans="1:24">
      <c r="A159" s="118"/>
      <c r="B159" s="118"/>
      <c r="C159" s="119"/>
      <c r="D159" s="118"/>
      <c r="E159" s="118"/>
      <c r="F159" s="118"/>
      <c r="G159" s="119"/>
      <c r="H159" s="119"/>
      <c r="I159" s="119"/>
      <c r="J159" s="119" t="s">
        <v>121</v>
      </c>
      <c r="K159" s="119" t="s">
        <v>68</v>
      </c>
      <c r="L159" s="119" t="s">
        <v>109</v>
      </c>
      <c r="M159" s="51" t="str" cm="1">
        <f t="array" ref="M159">IFERROR(_xlfn.SWITCH(L159,"R-FPA",495,"R-FPB",595,"R-FPC",595,"R-FPD",595,"Custom Carton","input L"),0)</f>
        <v>input L</v>
      </c>
      <c r="N159" s="51" t="str" cm="1">
        <f t="array" ref="N159">IFERROR(_xlfn.SWITCH(L159,"R-FPA",285,"R-FPB",285,"R-FPC",325,"R-FPD",380,"Custom Carton","input W"),0)</f>
        <v>input W</v>
      </c>
      <c r="O159" s="51"/>
      <c r="P159" s="51">
        <f>IFERROR(IF(K159="",0,(M159+N159)*2+15),0)</f>
        <v>0</v>
      </c>
      <c r="Q159" s="51">
        <f>IFERROR(IF(K159="",0,(N159+O159)-10),0)</f>
        <v>0</v>
      </c>
      <c r="R159" s="53">
        <f xml:space="preserve"> P159 * Q159 * (1 + 2.5%) / 1000000</f>
        <v>0</v>
      </c>
      <c r="S159" s="125">
        <f>R159*'RFQ_Matalan Carton'!$M$32</f>
        <v>0</v>
      </c>
      <c r="T159" s="124">
        <f>S159</f>
        <v>0</v>
      </c>
      <c r="U159" s="124">
        <f>I159*T159</f>
        <v>0</v>
      </c>
      <c r="V159" s="123">
        <f>((T159*I159)-W159)*7.5%</f>
        <v>0</v>
      </c>
      <c r="W159" s="124">
        <f>S159*I159*10%</f>
        <v>0</v>
      </c>
      <c r="X159" s="127"/>
    </row>
    <row r="160" spans="1:24">
      <c r="A160" s="118"/>
      <c r="B160" s="118"/>
      <c r="C160" s="119"/>
      <c r="D160" s="118"/>
      <c r="E160" s="118"/>
      <c r="F160" s="118"/>
      <c r="G160" s="119"/>
      <c r="H160" s="119"/>
      <c r="I160" s="119"/>
      <c r="J160" s="119" t="s">
        <v>121</v>
      </c>
      <c r="K160" s="119" t="s">
        <v>68</v>
      </c>
      <c r="L160" s="119" t="s">
        <v>109</v>
      </c>
      <c r="M160" s="51" t="str" cm="1">
        <f t="array" ref="M160">IFERROR(_xlfn.SWITCH(L160,"R-FPA",495,"R-FPB",595,"R-FPC",595,"R-FPD",595,"Custom Carton","input L"),0)</f>
        <v>input L</v>
      </c>
      <c r="N160" s="51" t="str" cm="1">
        <f t="array" ref="N160">IFERROR(_xlfn.SWITCH(L160,"R-FPA",285,"R-FPB",285,"R-FPC",325,"R-FPD",380,"Custom Carton","input W"),0)</f>
        <v>input W</v>
      </c>
      <c r="O160" s="51"/>
      <c r="P160" s="51">
        <f>IFERROR(IF(K160="",0,(M160+N160)*2+15),0)</f>
        <v>0</v>
      </c>
      <c r="Q160" s="51">
        <f>IFERROR(IF(K160="",0,(N160+O160)-10),0)</f>
        <v>0</v>
      </c>
      <c r="R160" s="53">
        <f xml:space="preserve"> P160 * Q160 * (1 + 2.5%) / 1000000</f>
        <v>0</v>
      </c>
      <c r="S160" s="125">
        <f>R160*'RFQ_Matalan Carton'!$M$32</f>
        <v>0</v>
      </c>
      <c r="T160" s="124">
        <f>S160</f>
        <v>0</v>
      </c>
      <c r="U160" s="124">
        <f>I160*T160</f>
        <v>0</v>
      </c>
      <c r="V160" s="123">
        <f>((T160*I160)-W160)*7.5%</f>
        <v>0</v>
      </c>
      <c r="W160" s="124">
        <f>S160*I160*10%</f>
        <v>0</v>
      </c>
      <c r="X160" s="127"/>
    </row>
    <row r="161" spans="1:24">
      <c r="A161" s="118"/>
      <c r="B161" s="118"/>
      <c r="C161" s="119"/>
      <c r="D161" s="118"/>
      <c r="E161" s="118"/>
      <c r="F161" s="118"/>
      <c r="G161" s="119"/>
      <c r="H161" s="119"/>
      <c r="I161" s="119"/>
      <c r="J161" s="119" t="s">
        <v>121</v>
      </c>
      <c r="K161" s="119" t="s">
        <v>68</v>
      </c>
      <c r="L161" s="119" t="s">
        <v>109</v>
      </c>
      <c r="M161" s="51" t="str" cm="1">
        <f t="array" ref="M161">IFERROR(_xlfn.SWITCH(L161,"R-FPA",495,"R-FPB",595,"R-FPC",595,"R-FPD",595,"Custom Carton","input L"),0)</f>
        <v>input L</v>
      </c>
      <c r="N161" s="51" t="str" cm="1">
        <f t="array" ref="N161">IFERROR(_xlfn.SWITCH(L161,"R-FPA",285,"R-FPB",285,"R-FPC",325,"R-FPD",380,"Custom Carton","input W"),0)</f>
        <v>input W</v>
      </c>
      <c r="O161" s="51"/>
      <c r="P161" s="51">
        <f>IFERROR(IF(K161="",0,(M161+N161)*2+15),0)</f>
        <v>0</v>
      </c>
      <c r="Q161" s="51">
        <f>IFERROR(IF(K161="",0,(N161+O161)-10),0)</f>
        <v>0</v>
      </c>
      <c r="R161" s="53">
        <f xml:space="preserve"> P161 * Q161 * (1 + 2.5%) / 1000000</f>
        <v>0</v>
      </c>
      <c r="S161" s="125">
        <f>R161*'RFQ_Matalan Carton'!$M$32</f>
        <v>0</v>
      </c>
      <c r="T161" s="124">
        <f>S161</f>
        <v>0</v>
      </c>
      <c r="U161" s="124">
        <f>I161*T161</f>
        <v>0</v>
      </c>
      <c r="V161" s="123">
        <f>((T161*I161)-W161)*7.5%</f>
        <v>0</v>
      </c>
      <c r="W161" s="124">
        <f>S161*I161*10%</f>
        <v>0</v>
      </c>
      <c r="X161" s="127"/>
    </row>
    <row r="162" spans="1:24">
      <c r="A162" s="118"/>
      <c r="B162" s="118"/>
      <c r="C162" s="119"/>
      <c r="D162" s="118"/>
      <c r="E162" s="118"/>
      <c r="F162" s="118"/>
      <c r="G162" s="119"/>
      <c r="H162" s="119"/>
      <c r="I162" s="119"/>
      <c r="J162" s="119" t="s">
        <v>121</v>
      </c>
      <c r="K162" s="119" t="s">
        <v>68</v>
      </c>
      <c r="L162" s="119" t="s">
        <v>109</v>
      </c>
      <c r="M162" s="51" t="str" cm="1">
        <f t="array" ref="M162">IFERROR(_xlfn.SWITCH(L162,"R-FPA",495,"R-FPB",595,"R-FPC",595,"R-FPD",595,"Custom Carton","input L"),0)</f>
        <v>input L</v>
      </c>
      <c r="N162" s="51" t="str" cm="1">
        <f t="array" ref="N162">IFERROR(_xlfn.SWITCH(L162,"R-FPA",285,"R-FPB",285,"R-FPC",325,"R-FPD",380,"Custom Carton","input W"),0)</f>
        <v>input W</v>
      </c>
      <c r="O162" s="51"/>
      <c r="P162" s="51">
        <f>IFERROR(IF(K162="",0,(M162+N162)*2+15),0)</f>
        <v>0</v>
      </c>
      <c r="Q162" s="51">
        <f>IFERROR(IF(K162="",0,(N162+O162)-10),0)</f>
        <v>0</v>
      </c>
      <c r="R162" s="53">
        <f xml:space="preserve"> P162 * Q162 * (1 + 2.5%) / 1000000</f>
        <v>0</v>
      </c>
      <c r="S162" s="125">
        <f>R162*'RFQ_Matalan Carton'!$M$32</f>
        <v>0</v>
      </c>
      <c r="T162" s="124">
        <f>S162</f>
        <v>0</v>
      </c>
      <c r="U162" s="124">
        <f>I162*T162</f>
        <v>0</v>
      </c>
      <c r="V162" s="123">
        <f>((T162*I162)-W162)*7.5%</f>
        <v>0</v>
      </c>
      <c r="W162" s="124">
        <f>S162*I162*10%</f>
        <v>0</v>
      </c>
      <c r="X162" s="127"/>
    </row>
    <row r="163" spans="1:24">
      <c r="A163" s="118"/>
      <c r="B163" s="118"/>
      <c r="C163" s="119"/>
      <c r="D163" s="118"/>
      <c r="E163" s="118"/>
      <c r="F163" s="118"/>
      <c r="G163" s="119"/>
      <c r="H163" s="119"/>
      <c r="I163" s="119"/>
      <c r="J163" s="119" t="s">
        <v>121</v>
      </c>
      <c r="K163" s="119" t="s">
        <v>68</v>
      </c>
      <c r="L163" s="119" t="s">
        <v>109</v>
      </c>
      <c r="M163" s="51" t="str" cm="1">
        <f t="array" ref="M163">IFERROR(_xlfn.SWITCH(L163,"R-FPA",495,"R-FPB",595,"R-FPC",595,"R-FPD",595,"Custom Carton","input L"),0)</f>
        <v>input L</v>
      </c>
      <c r="N163" s="51" t="str" cm="1">
        <f t="array" ref="N163">IFERROR(_xlfn.SWITCH(L163,"R-FPA",285,"R-FPB",285,"R-FPC",325,"R-FPD",380,"Custom Carton","input W"),0)</f>
        <v>input W</v>
      </c>
      <c r="O163" s="51"/>
      <c r="P163" s="51">
        <f>IFERROR(IF(K163="",0,(M163+N163)*2+15),0)</f>
        <v>0</v>
      </c>
      <c r="Q163" s="51">
        <f>IFERROR(IF(K163="",0,(N163+O163)-10),0)</f>
        <v>0</v>
      </c>
      <c r="R163" s="53">
        <f xml:space="preserve"> P163 * Q163 * (1 + 2.5%) / 1000000</f>
        <v>0</v>
      </c>
      <c r="S163" s="125">
        <f>R163*'RFQ_Matalan Carton'!$M$32</f>
        <v>0</v>
      </c>
      <c r="T163" s="124">
        <f>S163</f>
        <v>0</v>
      </c>
      <c r="U163" s="124">
        <f>I163*T163</f>
        <v>0</v>
      </c>
      <c r="V163" s="123">
        <f>((T163*I163)-W163)*7.5%</f>
        <v>0</v>
      </c>
      <c r="W163" s="124">
        <f>S163*I163*10%</f>
        <v>0</v>
      </c>
      <c r="X163" s="127"/>
    </row>
    <row r="164" spans="1:24">
      <c r="A164" s="118"/>
      <c r="B164" s="118"/>
      <c r="C164" s="119"/>
      <c r="D164" s="118"/>
      <c r="E164" s="118"/>
      <c r="F164" s="118"/>
      <c r="G164" s="119"/>
      <c r="H164" s="119"/>
      <c r="I164" s="119"/>
      <c r="J164" s="119" t="s">
        <v>121</v>
      </c>
      <c r="K164" s="119" t="s">
        <v>68</v>
      </c>
      <c r="L164" s="119" t="s">
        <v>109</v>
      </c>
      <c r="M164" s="51" t="str" cm="1">
        <f t="array" ref="M164">IFERROR(_xlfn.SWITCH(L164,"R-FPA",495,"R-FPB",595,"R-FPC",595,"R-FPD",595,"Custom Carton","input L"),0)</f>
        <v>input L</v>
      </c>
      <c r="N164" s="51" t="str" cm="1">
        <f t="array" ref="N164">IFERROR(_xlfn.SWITCH(L164,"R-FPA",285,"R-FPB",285,"R-FPC",325,"R-FPD",380,"Custom Carton","input W"),0)</f>
        <v>input W</v>
      </c>
      <c r="O164" s="51"/>
      <c r="P164" s="51">
        <f>IFERROR(IF(K164="",0,(M164+N164)*2+15),0)</f>
        <v>0</v>
      </c>
      <c r="Q164" s="51">
        <f>IFERROR(IF(K164="",0,(N164+O164)-10),0)</f>
        <v>0</v>
      </c>
      <c r="R164" s="53">
        <f xml:space="preserve"> P164 * Q164 * (1 + 2.5%) / 1000000</f>
        <v>0</v>
      </c>
      <c r="S164" s="125">
        <f>R164*'RFQ_Matalan Carton'!$M$32</f>
        <v>0</v>
      </c>
      <c r="T164" s="124">
        <f>S164</f>
        <v>0</v>
      </c>
      <c r="U164" s="124">
        <f>I164*T164</f>
        <v>0</v>
      </c>
      <c r="V164" s="123">
        <f>((T164*I164)-W164)*7.5%</f>
        <v>0</v>
      </c>
      <c r="W164" s="124">
        <f>S164*I164*10%</f>
        <v>0</v>
      </c>
      <c r="X164" s="127"/>
    </row>
    <row r="165" spans="1:24">
      <c r="A165" s="118"/>
      <c r="B165" s="118"/>
      <c r="C165" s="119"/>
      <c r="D165" s="118"/>
      <c r="E165" s="118"/>
      <c r="F165" s="118"/>
      <c r="G165" s="119"/>
      <c r="H165" s="119"/>
      <c r="I165" s="119"/>
      <c r="J165" s="119" t="s">
        <v>121</v>
      </c>
      <c r="K165" s="119" t="s">
        <v>68</v>
      </c>
      <c r="L165" s="119" t="s">
        <v>109</v>
      </c>
      <c r="M165" s="51" t="str" cm="1">
        <f t="array" ref="M165">IFERROR(_xlfn.SWITCH(L165,"R-FPA",495,"R-FPB",595,"R-FPC",595,"R-FPD",595,"Custom Carton","input L"),0)</f>
        <v>input L</v>
      </c>
      <c r="N165" s="51" t="str" cm="1">
        <f t="array" ref="N165">IFERROR(_xlfn.SWITCH(L165,"R-FPA",285,"R-FPB",285,"R-FPC",325,"R-FPD",380,"Custom Carton","input W"),0)</f>
        <v>input W</v>
      </c>
      <c r="O165" s="51"/>
      <c r="P165" s="51">
        <f>IFERROR(IF(K165="",0,(M165+N165)*2+15),0)</f>
        <v>0</v>
      </c>
      <c r="Q165" s="51">
        <f>IFERROR(IF(K165="",0,(N165+O165)-10),0)</f>
        <v>0</v>
      </c>
      <c r="R165" s="53">
        <f xml:space="preserve"> P165 * Q165 * (1 + 2.5%) / 1000000</f>
        <v>0</v>
      </c>
      <c r="S165" s="125">
        <f>R165*'RFQ_Matalan Carton'!$M$32</f>
        <v>0</v>
      </c>
      <c r="T165" s="124">
        <f>S165</f>
        <v>0</v>
      </c>
      <c r="U165" s="124">
        <f>I165*T165</f>
        <v>0</v>
      </c>
      <c r="V165" s="123">
        <f>((T165*I165)-W165)*7.5%</f>
        <v>0</v>
      </c>
      <c r="W165" s="124">
        <f>S165*I165*10%</f>
        <v>0</v>
      </c>
      <c r="X165" s="127"/>
    </row>
    <row r="166" spans="1:24">
      <c r="A166" s="118"/>
      <c r="B166" s="118"/>
      <c r="C166" s="119"/>
      <c r="D166" s="118"/>
      <c r="E166" s="118"/>
      <c r="F166" s="118"/>
      <c r="G166" s="119"/>
      <c r="H166" s="119"/>
      <c r="I166" s="119"/>
      <c r="J166" s="119" t="s">
        <v>121</v>
      </c>
      <c r="K166" s="119" t="s">
        <v>68</v>
      </c>
      <c r="L166" s="119" t="s">
        <v>109</v>
      </c>
      <c r="M166" s="51" t="str" cm="1">
        <f t="array" ref="M166">IFERROR(_xlfn.SWITCH(L166,"R-FPA",495,"R-FPB",595,"R-FPC",595,"R-FPD",595,"Custom Carton","input L"),0)</f>
        <v>input L</v>
      </c>
      <c r="N166" s="51" t="str" cm="1">
        <f t="array" ref="N166">IFERROR(_xlfn.SWITCH(L166,"R-FPA",285,"R-FPB",285,"R-FPC",325,"R-FPD",380,"Custom Carton","input W"),0)</f>
        <v>input W</v>
      </c>
      <c r="O166" s="51"/>
      <c r="P166" s="51">
        <f>IFERROR(IF(K166="",0,(M166+N166)*2+15),0)</f>
        <v>0</v>
      </c>
      <c r="Q166" s="51">
        <f>IFERROR(IF(K166="",0,(N166+O166)-10),0)</f>
        <v>0</v>
      </c>
      <c r="R166" s="53">
        <f xml:space="preserve"> P166 * Q166 * (1 + 2.5%) / 1000000</f>
        <v>0</v>
      </c>
      <c r="S166" s="125">
        <f>R166*'[3]RFQ_Matalan Carton'!$M$32</f>
        <v>0</v>
      </c>
      <c r="T166" s="124">
        <f>S166</f>
        <v>0</v>
      </c>
      <c r="U166" s="124">
        <f>I166*T166</f>
        <v>0</v>
      </c>
      <c r="V166" s="123">
        <f>((T166*I166)-W166)*7.5%</f>
        <v>0</v>
      </c>
      <c r="W166" s="124">
        <f>S166*I166*10%</f>
        <v>0</v>
      </c>
      <c r="X166" s="113"/>
    </row>
    <row r="167" spans="1:24">
      <c r="A167" s="118"/>
      <c r="B167" s="118"/>
      <c r="C167" s="119"/>
      <c r="D167" s="118"/>
      <c r="E167" s="118"/>
      <c r="F167" s="118"/>
      <c r="G167" s="119"/>
      <c r="H167" s="119"/>
      <c r="I167" s="119"/>
      <c r="J167" s="119" t="s">
        <v>121</v>
      </c>
      <c r="K167" s="119" t="s">
        <v>68</v>
      </c>
      <c r="L167" s="119" t="s">
        <v>109</v>
      </c>
      <c r="M167" s="51" t="str" cm="1">
        <f t="array" ref="M167">IFERROR(_xlfn.SWITCH(L167,"R-FPA",495,"R-FPB",595,"R-FPC",595,"R-FPD",595,"Custom Carton","input L"),0)</f>
        <v>input L</v>
      </c>
      <c r="N167" s="51" t="str" cm="1">
        <f t="array" ref="N167">IFERROR(_xlfn.SWITCH(L167,"R-FPA",285,"R-FPB",285,"R-FPC",325,"R-FPD",380,"Custom Carton","input W"),0)</f>
        <v>input W</v>
      </c>
      <c r="O167" s="51"/>
      <c r="P167" s="51">
        <f>IFERROR(IF(K167="",0,(M167+N167)*2+15),0)</f>
        <v>0</v>
      </c>
      <c r="Q167" s="51">
        <f>IFERROR(IF(K167="",0,(N167+O167)-10),0)</f>
        <v>0</v>
      </c>
      <c r="R167" s="53">
        <f xml:space="preserve"> P167 * Q167 * (1 + 2.5%) / 1000000</f>
        <v>0</v>
      </c>
      <c r="S167" s="125">
        <f>R167*'[3]RFQ_Matalan Carton'!$M$32</f>
        <v>0</v>
      </c>
      <c r="T167" s="124">
        <f>S167</f>
        <v>0</v>
      </c>
      <c r="U167" s="124">
        <f>I167*T167</f>
        <v>0</v>
      </c>
      <c r="V167" s="123">
        <f>((T167*I167)-W167)*7.5%</f>
        <v>0</v>
      </c>
      <c r="W167" s="124">
        <f>S167*I167*10%</f>
        <v>0</v>
      </c>
      <c r="X167" s="113"/>
    </row>
    <row r="168" spans="1:24">
      <c r="A168" s="118"/>
      <c r="B168" s="118"/>
      <c r="C168" s="119"/>
      <c r="D168" s="118"/>
      <c r="E168" s="118"/>
      <c r="F168" s="118"/>
      <c r="G168" s="119"/>
      <c r="H168" s="119"/>
      <c r="I168" s="119"/>
      <c r="J168" s="119" t="s">
        <v>121</v>
      </c>
      <c r="K168" s="119" t="s">
        <v>68</v>
      </c>
      <c r="L168" s="119" t="s">
        <v>109</v>
      </c>
      <c r="M168" s="51" t="str" cm="1">
        <f t="array" ref="M168">IFERROR(_xlfn.SWITCH(L168,"R-FPA",495,"R-FPB",595,"R-FPC",595,"R-FPD",595,"Custom Carton","input L"),0)</f>
        <v>input L</v>
      </c>
      <c r="N168" s="51" t="str" cm="1">
        <f t="array" ref="N168">IFERROR(_xlfn.SWITCH(L168,"R-FPA",285,"R-FPB",285,"R-FPC",325,"R-FPD",380,"Custom Carton","input W"),0)</f>
        <v>input W</v>
      </c>
      <c r="O168" s="51"/>
      <c r="P168" s="51">
        <f>IFERROR(IF(K168="",0,(M168+N168)*2+15),0)</f>
        <v>0</v>
      </c>
      <c r="Q168" s="51">
        <f>IFERROR(IF(K168="",0,(N168+O168)-10),0)</f>
        <v>0</v>
      </c>
      <c r="R168" s="53">
        <f xml:space="preserve"> P168 * Q168 * (1 + 2.5%) / 1000000</f>
        <v>0</v>
      </c>
      <c r="S168" s="125">
        <f>R168*'[3]RFQ_Matalan Carton'!$M$32</f>
        <v>0</v>
      </c>
      <c r="T168" s="124">
        <f>S168</f>
        <v>0</v>
      </c>
      <c r="U168" s="124">
        <f>I168*T168</f>
        <v>0</v>
      </c>
      <c r="V168" s="123">
        <f>((T168*I168)-W168)*7.5%</f>
        <v>0</v>
      </c>
      <c r="W168" s="124">
        <f>S168*I168*10%</f>
        <v>0</v>
      </c>
      <c r="X168" s="113"/>
    </row>
    <row r="169" spans="1:24">
      <c r="A169" s="118"/>
      <c r="B169" s="118"/>
      <c r="C169" s="119"/>
      <c r="D169" s="118"/>
      <c r="E169" s="118"/>
      <c r="F169" s="118"/>
      <c r="G169" s="119"/>
      <c r="H169" s="119"/>
      <c r="I169" s="119"/>
      <c r="J169" s="119" t="s">
        <v>121</v>
      </c>
      <c r="K169" s="119" t="s">
        <v>68</v>
      </c>
      <c r="L169" s="119" t="s">
        <v>109</v>
      </c>
      <c r="M169" s="51" t="str" cm="1">
        <f t="array" ref="M169">IFERROR(_xlfn.SWITCH(L169,"R-FPA",495,"R-FPB",595,"R-FPC",595,"R-FPD",595,"Custom Carton","input L"),0)</f>
        <v>input L</v>
      </c>
      <c r="N169" s="51" t="str" cm="1">
        <f t="array" ref="N169">IFERROR(_xlfn.SWITCH(L169,"R-FPA",285,"R-FPB",285,"R-FPC",325,"R-FPD",380,"Custom Carton","input W"),0)</f>
        <v>input W</v>
      </c>
      <c r="O169" s="51"/>
      <c r="P169" s="51">
        <f>IFERROR(IF(K169="",0,(M169+N169)*2+15),0)</f>
        <v>0</v>
      </c>
      <c r="Q169" s="51">
        <f>IFERROR(IF(K169="",0,(N169+O169)-10),0)</f>
        <v>0</v>
      </c>
      <c r="R169" s="53">
        <f xml:space="preserve"> P169 * Q169 * (1 + 2.5%) / 1000000</f>
        <v>0</v>
      </c>
      <c r="S169" s="125">
        <f>R169*'[3]RFQ_Matalan Carton'!$M$32</f>
        <v>0</v>
      </c>
      <c r="T169" s="124">
        <f>S169</f>
        <v>0</v>
      </c>
      <c r="U169" s="124">
        <f>I169*T169</f>
        <v>0</v>
      </c>
      <c r="V169" s="123">
        <f>((T169*I169)-W169)*7.5%</f>
        <v>0</v>
      </c>
      <c r="W169" s="124">
        <f>S169*I169*10%</f>
        <v>0</v>
      </c>
      <c r="X169" s="113"/>
    </row>
    <row r="170" spans="1:24">
      <c r="A170" s="118"/>
      <c r="B170" s="118"/>
      <c r="C170" s="119"/>
      <c r="D170" s="118"/>
      <c r="E170" s="118"/>
      <c r="F170" s="118"/>
      <c r="G170" s="119"/>
      <c r="H170" s="119"/>
      <c r="I170" s="119"/>
      <c r="J170" s="119" t="s">
        <v>121</v>
      </c>
      <c r="K170" s="119" t="s">
        <v>68</v>
      </c>
      <c r="L170" s="119" t="s">
        <v>109</v>
      </c>
      <c r="M170" s="51" t="str" cm="1">
        <f t="array" ref="M170">IFERROR(_xlfn.SWITCH(L170,"R-FPA",495,"R-FPB",595,"R-FPC",595,"R-FPD",595,"Custom Carton","input L"),0)</f>
        <v>input L</v>
      </c>
      <c r="N170" s="51" t="str" cm="1">
        <f t="array" ref="N170">IFERROR(_xlfn.SWITCH(L170,"R-FPA",285,"R-FPB",285,"R-FPC",325,"R-FPD",380,"Custom Carton","input W"),0)</f>
        <v>input W</v>
      </c>
      <c r="O170" s="51"/>
      <c r="P170" s="51">
        <f>IFERROR(IF(K170="",0,(M170+N170)*2+15),0)</f>
        <v>0</v>
      </c>
      <c r="Q170" s="51">
        <f>IFERROR(IF(K170="",0,(N170+O170)-10),0)</f>
        <v>0</v>
      </c>
      <c r="R170" s="53">
        <f xml:space="preserve"> P170 * Q170 * (1 + 2.5%) / 1000000</f>
        <v>0</v>
      </c>
      <c r="S170" s="125">
        <f>R170*'[3]RFQ_Matalan Carton'!$M$32</f>
        <v>0</v>
      </c>
      <c r="T170" s="124">
        <f>S170</f>
        <v>0</v>
      </c>
      <c r="U170" s="124">
        <f>I170*T170</f>
        <v>0</v>
      </c>
      <c r="V170" s="123">
        <f>((T170*I170)-W170)*7.5%</f>
        <v>0</v>
      </c>
      <c r="W170" s="124">
        <f>S170*I170*10%</f>
        <v>0</v>
      </c>
      <c r="X170" s="113"/>
    </row>
    <row r="171" spans="1:24">
      <c r="A171" s="118"/>
      <c r="B171" s="118"/>
      <c r="C171" s="119"/>
      <c r="D171" s="118"/>
      <c r="E171" s="118"/>
      <c r="F171" s="118"/>
      <c r="G171" s="119"/>
      <c r="H171" s="119"/>
      <c r="I171" s="119"/>
      <c r="J171" s="119" t="s">
        <v>121</v>
      </c>
      <c r="K171" s="119" t="s">
        <v>68</v>
      </c>
      <c r="L171" s="119" t="s">
        <v>109</v>
      </c>
      <c r="M171" s="51" t="str" cm="1">
        <f t="array" ref="M171">IFERROR(_xlfn.SWITCH(L171,"R-FPA",495,"R-FPB",595,"R-FPC",595,"R-FPD",595,"Custom Carton","input L"),0)</f>
        <v>input L</v>
      </c>
      <c r="N171" s="51" t="str" cm="1">
        <f t="array" ref="N171">IFERROR(_xlfn.SWITCH(L171,"R-FPA",285,"R-FPB",285,"R-FPC",325,"R-FPD",380,"Custom Carton","input W"),0)</f>
        <v>input W</v>
      </c>
      <c r="O171" s="51"/>
      <c r="P171" s="51">
        <f>IFERROR(IF(K171="",0,(M171+N171)*2+15),0)</f>
        <v>0</v>
      </c>
      <c r="Q171" s="51">
        <f>IFERROR(IF(K171="",0,(N171+O171)-10),0)</f>
        <v>0</v>
      </c>
      <c r="R171" s="53">
        <f xml:space="preserve"> P171 * Q171 * (1 + 2.5%) / 1000000</f>
        <v>0</v>
      </c>
      <c r="S171" s="125">
        <f>R171*'[3]RFQ_Matalan Carton'!$M$32</f>
        <v>0</v>
      </c>
      <c r="T171" s="124">
        <f>S171</f>
        <v>0</v>
      </c>
      <c r="U171" s="124">
        <f>I171*T171</f>
        <v>0</v>
      </c>
      <c r="V171" s="123">
        <f>((T171*I171)-W171)*7.5%</f>
        <v>0</v>
      </c>
      <c r="W171" s="124">
        <f>S171*I171*10%</f>
        <v>0</v>
      </c>
      <c r="X171" s="113"/>
    </row>
    <row r="172" spans="1:24">
      <c r="A172" s="118"/>
      <c r="B172" s="118"/>
      <c r="C172" s="119"/>
      <c r="D172" s="118"/>
      <c r="E172" s="118"/>
      <c r="F172" s="118"/>
      <c r="G172" s="119"/>
      <c r="H172" s="119"/>
      <c r="I172" s="119"/>
      <c r="J172" s="119" t="s">
        <v>121</v>
      </c>
      <c r="K172" s="119" t="s">
        <v>68</v>
      </c>
      <c r="L172" s="119" t="s">
        <v>109</v>
      </c>
      <c r="M172" s="51" t="str" cm="1">
        <f t="array" ref="M172">IFERROR(_xlfn.SWITCH(L172,"R-FPA",495,"R-FPB",595,"R-FPC",595,"R-FPD",595,"Custom Carton","input L"),0)</f>
        <v>input L</v>
      </c>
      <c r="N172" s="51" t="str" cm="1">
        <f t="array" ref="N172">IFERROR(_xlfn.SWITCH(L172,"R-FPA",285,"R-FPB",285,"R-FPC",325,"R-FPD",380,"Custom Carton","input W"),0)</f>
        <v>input W</v>
      </c>
      <c r="O172" s="51"/>
      <c r="P172" s="51">
        <f>IFERROR(IF(K172="",0,(M172+N172)*2+15),0)</f>
        <v>0</v>
      </c>
      <c r="Q172" s="51">
        <f>IFERROR(IF(K172="",0,(N172+O172)-10),0)</f>
        <v>0</v>
      </c>
      <c r="R172" s="53">
        <f xml:space="preserve"> P172 * Q172 * (1 + 2.5%) / 1000000</f>
        <v>0</v>
      </c>
      <c r="S172" s="125">
        <f>R172*'[3]RFQ_Matalan Carton'!$M$32</f>
        <v>0</v>
      </c>
      <c r="T172" s="124">
        <f>S172</f>
        <v>0</v>
      </c>
      <c r="U172" s="124">
        <f>I172*T172</f>
        <v>0</v>
      </c>
      <c r="V172" s="123">
        <f>((T172*I172)-W172)*7.5%</f>
        <v>0</v>
      </c>
      <c r="W172" s="124">
        <f>S172*I172*10%</f>
        <v>0</v>
      </c>
      <c r="X172" s="113"/>
    </row>
    <row r="173" spans="1:24">
      <c r="A173" s="118"/>
      <c r="B173" s="118"/>
      <c r="C173" s="119"/>
      <c r="D173" s="118"/>
      <c r="E173" s="118"/>
      <c r="F173" s="118"/>
      <c r="G173" s="119"/>
      <c r="H173" s="119"/>
      <c r="I173" s="119"/>
      <c r="J173" s="119" t="s">
        <v>121</v>
      </c>
      <c r="K173" s="119" t="s">
        <v>68</v>
      </c>
      <c r="L173" s="119" t="s">
        <v>109</v>
      </c>
      <c r="M173" s="51" t="str" cm="1">
        <f t="array" ref="M173">IFERROR(_xlfn.SWITCH(L173,"R-FPA",495,"R-FPB",595,"R-FPC",595,"R-FPD",595,"Custom Carton","input L"),0)</f>
        <v>input L</v>
      </c>
      <c r="N173" s="51" t="str" cm="1">
        <f t="array" ref="N173">IFERROR(_xlfn.SWITCH(L173,"R-FPA",285,"R-FPB",285,"R-FPC",325,"R-FPD",380,"Custom Carton","input W"),0)</f>
        <v>input W</v>
      </c>
      <c r="O173" s="51"/>
      <c r="P173" s="51">
        <f>IFERROR(IF(K173="",0,(M173+N173)*2+15),0)</f>
        <v>0</v>
      </c>
      <c r="Q173" s="51">
        <f>IFERROR(IF(K173="",0,(N173+O173)-10),0)</f>
        <v>0</v>
      </c>
      <c r="R173" s="53">
        <f xml:space="preserve"> P173 * Q173 * (1 + 2.5%) / 1000000</f>
        <v>0</v>
      </c>
      <c r="S173" s="125">
        <f>R173*'[3]RFQ_Matalan Carton'!$M$32</f>
        <v>0</v>
      </c>
      <c r="T173" s="124">
        <f>S173</f>
        <v>0</v>
      </c>
      <c r="U173" s="124">
        <f>I173*T173</f>
        <v>0</v>
      </c>
      <c r="V173" s="123">
        <f>((T173*I173)-W173)*7.5%</f>
        <v>0</v>
      </c>
      <c r="W173" s="124">
        <f>S173*I173*10%</f>
        <v>0</v>
      </c>
      <c r="X173" s="113"/>
    </row>
    <row r="174" spans="1:24">
      <c r="A174" s="118"/>
      <c r="B174" s="118"/>
      <c r="C174" s="119"/>
      <c r="D174" s="118"/>
      <c r="E174" s="118"/>
      <c r="F174" s="118"/>
      <c r="G174" s="119"/>
      <c r="H174" s="119"/>
      <c r="I174" s="119"/>
      <c r="J174" s="119" t="s">
        <v>121</v>
      </c>
      <c r="K174" s="119" t="s">
        <v>68</v>
      </c>
      <c r="L174" s="119" t="s">
        <v>109</v>
      </c>
      <c r="M174" s="51" t="str" cm="1">
        <f t="array" ref="M174">IFERROR(_xlfn.SWITCH(L174,"R-FPA",495,"R-FPB",595,"R-FPC",595,"R-FPD",595,"Custom Carton","input L"),0)</f>
        <v>input L</v>
      </c>
      <c r="N174" s="51" t="str" cm="1">
        <f t="array" ref="N174">IFERROR(_xlfn.SWITCH(L174,"R-FPA",285,"R-FPB",285,"R-FPC",325,"R-FPD",380,"Custom Carton","input W"),0)</f>
        <v>input W</v>
      </c>
      <c r="O174" s="51"/>
      <c r="P174" s="51">
        <f>IFERROR(IF(K174="",0,(M174+N174)*2+15),0)</f>
        <v>0</v>
      </c>
      <c r="Q174" s="51">
        <f>IFERROR(IF(K174="",0,(N174+O174)-10),0)</f>
        <v>0</v>
      </c>
      <c r="R174" s="53">
        <f xml:space="preserve"> P174 * Q174 * (1 + 2.5%) / 1000000</f>
        <v>0</v>
      </c>
      <c r="S174" s="125">
        <f>R174*'[3]RFQ_Matalan Carton'!$M$32</f>
        <v>0</v>
      </c>
      <c r="T174" s="124">
        <f>S174</f>
        <v>0</v>
      </c>
      <c r="U174" s="124">
        <f>I174*T174</f>
        <v>0</v>
      </c>
      <c r="V174" s="123">
        <f>((T174*I174)-W174)*7.5%</f>
        <v>0</v>
      </c>
      <c r="W174" s="124">
        <f>S174*I174*10%</f>
        <v>0</v>
      </c>
      <c r="X174" s="113"/>
    </row>
    <row r="175" spans="1:24">
      <c r="A175" s="118"/>
      <c r="B175" s="118"/>
      <c r="C175" s="119"/>
      <c r="D175" s="118"/>
      <c r="E175" s="118"/>
      <c r="F175" s="118"/>
      <c r="G175" s="119"/>
      <c r="H175" s="119"/>
      <c r="I175" s="119"/>
      <c r="J175" s="119" t="s">
        <v>121</v>
      </c>
      <c r="K175" s="119" t="s">
        <v>68</v>
      </c>
      <c r="L175" s="119" t="s">
        <v>109</v>
      </c>
      <c r="M175" s="51" t="str" cm="1">
        <f t="array" ref="M175">IFERROR(_xlfn.SWITCH(L175,"R-FPA",495,"R-FPB",595,"R-FPC",595,"R-FPD",595,"Custom Carton","input L"),0)</f>
        <v>input L</v>
      </c>
      <c r="N175" s="51" t="str" cm="1">
        <f t="array" ref="N175">IFERROR(_xlfn.SWITCH(L175,"R-FPA",285,"R-FPB",285,"R-FPC",325,"R-FPD",380,"Custom Carton","input W"),0)</f>
        <v>input W</v>
      </c>
      <c r="O175" s="51"/>
      <c r="P175" s="51">
        <f>IFERROR(IF(K175="",0,(M175+N175)*2+15),0)</f>
        <v>0</v>
      </c>
      <c r="Q175" s="51">
        <f>IFERROR(IF(K175="",0,(N175+O175)-10),0)</f>
        <v>0</v>
      </c>
      <c r="R175" s="53">
        <f xml:space="preserve"> P175 * Q175 * (1 + 2.5%) / 1000000</f>
        <v>0</v>
      </c>
      <c r="S175" s="125">
        <f>R175*'[3]RFQ_Matalan Carton'!$M$32</f>
        <v>0</v>
      </c>
      <c r="T175" s="124">
        <f>S175</f>
        <v>0</v>
      </c>
      <c r="U175" s="124">
        <f>I175*T175</f>
        <v>0</v>
      </c>
      <c r="V175" s="123">
        <f>((T175*I175)-W175)*7.5%</f>
        <v>0</v>
      </c>
      <c r="W175" s="124">
        <f>S175*I175*10%</f>
        <v>0</v>
      </c>
      <c r="X175" s="113"/>
    </row>
    <row r="176" spans="1:24">
      <c r="A176" s="118"/>
      <c r="B176" s="118"/>
      <c r="C176" s="119"/>
      <c r="D176" s="118"/>
      <c r="E176" s="118"/>
      <c r="F176" s="118"/>
      <c r="G176" s="119"/>
      <c r="H176" s="119"/>
      <c r="I176" s="119"/>
      <c r="J176" s="119" t="s">
        <v>121</v>
      </c>
      <c r="K176" s="119" t="s">
        <v>68</v>
      </c>
      <c r="L176" s="119" t="s">
        <v>109</v>
      </c>
      <c r="M176" s="51" t="str" cm="1">
        <f t="array" ref="M176">IFERROR(_xlfn.SWITCH(L176,"R-FPA",495,"R-FPB",595,"R-FPC",595,"R-FPD",595,"Custom Carton","input L"),0)</f>
        <v>input L</v>
      </c>
      <c r="N176" s="51" t="str" cm="1">
        <f t="array" ref="N176">IFERROR(_xlfn.SWITCH(L176,"R-FPA",285,"R-FPB",285,"R-FPC",325,"R-FPD",380,"Custom Carton","input W"),0)</f>
        <v>input W</v>
      </c>
      <c r="O176" s="51"/>
      <c r="P176" s="51">
        <f>IFERROR(IF(K176="",0,(M176+N176)*2+15),0)</f>
        <v>0</v>
      </c>
      <c r="Q176" s="51">
        <f>IFERROR(IF(K176="",0,(N176+O176)-10),0)</f>
        <v>0</v>
      </c>
      <c r="R176" s="53">
        <f xml:space="preserve"> P176 * Q176 * (1 + 2.5%) / 1000000</f>
        <v>0</v>
      </c>
      <c r="S176" s="125">
        <f>R176*'[3]RFQ_Matalan Carton'!$M$32</f>
        <v>0</v>
      </c>
      <c r="T176" s="124">
        <f>S176</f>
        <v>0</v>
      </c>
      <c r="U176" s="124">
        <f>I176*T176</f>
        <v>0</v>
      </c>
      <c r="V176" s="123">
        <f>((T176*I176)-W176)*7.5%</f>
        <v>0</v>
      </c>
      <c r="W176" s="124">
        <f>S176*I176*10%</f>
        <v>0</v>
      </c>
      <c r="X176" s="113"/>
    </row>
    <row r="177" spans="1:24">
      <c r="A177" s="118"/>
      <c r="B177" s="118"/>
      <c r="C177" s="119"/>
      <c r="D177" s="118"/>
      <c r="E177" s="118"/>
      <c r="F177" s="118"/>
      <c r="G177" s="119"/>
      <c r="H177" s="119"/>
      <c r="I177" s="119"/>
      <c r="J177" s="119" t="s">
        <v>121</v>
      </c>
      <c r="K177" s="119" t="s">
        <v>68</v>
      </c>
      <c r="L177" s="119" t="s">
        <v>109</v>
      </c>
      <c r="M177" s="51" t="str" cm="1">
        <f t="array" ref="M177">IFERROR(_xlfn.SWITCH(L177,"R-FPA",495,"R-FPB",595,"R-FPC",595,"R-FPD",595,"Custom Carton","input L"),0)</f>
        <v>input L</v>
      </c>
      <c r="N177" s="51" t="str" cm="1">
        <f t="array" ref="N177">IFERROR(_xlfn.SWITCH(L177,"R-FPA",285,"R-FPB",285,"R-FPC",325,"R-FPD",380,"Custom Carton","input W"),0)</f>
        <v>input W</v>
      </c>
      <c r="O177" s="51"/>
      <c r="P177" s="51">
        <f>IFERROR(IF(K177="",0,(M177+N177)*2+15),0)</f>
        <v>0</v>
      </c>
      <c r="Q177" s="51">
        <f>IFERROR(IF(K177="",0,(N177+O177)-10),0)</f>
        <v>0</v>
      </c>
      <c r="R177" s="53">
        <f xml:space="preserve"> P177 * Q177 * (1 + 2.5%) / 1000000</f>
        <v>0</v>
      </c>
      <c r="S177" s="125">
        <f>R177*'[3]RFQ_Matalan Carton'!$M$32</f>
        <v>0</v>
      </c>
      <c r="T177" s="124">
        <f>S177</f>
        <v>0</v>
      </c>
      <c r="U177" s="124">
        <f>I177*T177</f>
        <v>0</v>
      </c>
      <c r="V177" s="123">
        <f>((T177*I177)-W177)*7.5%</f>
        <v>0</v>
      </c>
      <c r="W177" s="124">
        <f>S177*I177*10%</f>
        <v>0</v>
      </c>
      <c r="X177" s="113"/>
    </row>
    <row r="178" spans="1:24">
      <c r="A178" s="118"/>
      <c r="B178" s="118"/>
      <c r="C178" s="119"/>
      <c r="D178" s="118"/>
      <c r="E178" s="118"/>
      <c r="F178" s="118"/>
      <c r="G178" s="119"/>
      <c r="H178" s="119"/>
      <c r="I178" s="119"/>
      <c r="J178" s="119" t="s">
        <v>121</v>
      </c>
      <c r="K178" s="119" t="s">
        <v>68</v>
      </c>
      <c r="L178" s="119" t="s">
        <v>109</v>
      </c>
      <c r="M178" s="51" t="str" cm="1">
        <f t="array" ref="M178">IFERROR(_xlfn.SWITCH(L178,"R-FPA",495,"R-FPB",595,"R-FPC",595,"R-FPD",595,"Custom Carton","input L"),0)</f>
        <v>input L</v>
      </c>
      <c r="N178" s="51" t="str" cm="1">
        <f t="array" ref="N178">IFERROR(_xlfn.SWITCH(L178,"R-FPA",285,"R-FPB",285,"R-FPC",325,"R-FPD",380,"Custom Carton","input W"),0)</f>
        <v>input W</v>
      </c>
      <c r="O178" s="51"/>
      <c r="P178" s="51">
        <f>IFERROR(IF(K178="",0,(M178+N178)*2+15),0)</f>
        <v>0</v>
      </c>
      <c r="Q178" s="51">
        <f>IFERROR(IF(K178="",0,(N178+O178)-10),0)</f>
        <v>0</v>
      </c>
      <c r="R178" s="53">
        <f xml:space="preserve"> P178 * Q178 * (1 + 2.5%) / 1000000</f>
        <v>0</v>
      </c>
      <c r="S178" s="125">
        <f>R178*'[3]RFQ_Matalan Carton'!$M$32</f>
        <v>0</v>
      </c>
      <c r="T178" s="124">
        <f>S178</f>
        <v>0</v>
      </c>
      <c r="U178" s="124">
        <f>I178*T178</f>
        <v>0</v>
      </c>
      <c r="V178" s="123">
        <f>((T178*I178)-W178)*7.5%</f>
        <v>0</v>
      </c>
      <c r="W178" s="124">
        <f>S178*I178*10%</f>
        <v>0</v>
      </c>
      <c r="X178" s="113"/>
    </row>
    <row r="179" spans="1:24">
      <c r="A179" s="118"/>
      <c r="B179" s="118"/>
      <c r="C179" s="119"/>
      <c r="D179" s="118"/>
      <c r="E179" s="118"/>
      <c r="F179" s="118"/>
      <c r="G179" s="119"/>
      <c r="H179" s="119"/>
      <c r="I179" s="119"/>
      <c r="J179" s="119" t="s">
        <v>121</v>
      </c>
      <c r="K179" s="119" t="s">
        <v>68</v>
      </c>
      <c r="L179" s="119" t="s">
        <v>109</v>
      </c>
      <c r="M179" s="51" t="str" cm="1">
        <f t="array" ref="M179">IFERROR(_xlfn.SWITCH(L179,"R-FPA",495,"R-FPB",595,"R-FPC",595,"R-FPD",595,"Custom Carton","input L"),0)</f>
        <v>input L</v>
      </c>
      <c r="N179" s="51" t="str" cm="1">
        <f t="array" ref="N179">IFERROR(_xlfn.SWITCH(L179,"R-FPA",285,"R-FPB",285,"R-FPC",325,"R-FPD",380,"Custom Carton","input W"),0)</f>
        <v>input W</v>
      </c>
      <c r="O179" s="51"/>
      <c r="P179" s="51">
        <f>IFERROR(IF(K179="",0,(M179+N179)*2+15),0)</f>
        <v>0</v>
      </c>
      <c r="Q179" s="51">
        <f>IFERROR(IF(K179="",0,(N179+O179)-10),0)</f>
        <v>0</v>
      </c>
      <c r="R179" s="53">
        <f xml:space="preserve"> P179 * Q179 * (1 + 2.5%) / 1000000</f>
        <v>0</v>
      </c>
      <c r="S179" s="125">
        <f>R179*'[3]RFQ_Matalan Carton'!$M$32</f>
        <v>0</v>
      </c>
      <c r="T179" s="124">
        <f>S179</f>
        <v>0</v>
      </c>
      <c r="U179" s="124">
        <f>I179*T179</f>
        <v>0</v>
      </c>
      <c r="V179" s="123">
        <f>((T179*I179)-W179)*7.5%</f>
        <v>0</v>
      </c>
      <c r="W179" s="124">
        <f>S179*I179*10%</f>
        <v>0</v>
      </c>
      <c r="X179" s="113"/>
    </row>
    <row r="180" spans="1:24">
      <c r="A180" s="118"/>
      <c r="B180" s="118"/>
      <c r="C180" s="119"/>
      <c r="D180" s="118"/>
      <c r="E180" s="118"/>
      <c r="F180" s="118"/>
      <c r="G180" s="119"/>
      <c r="H180" s="119"/>
      <c r="I180" s="119"/>
      <c r="J180" s="119" t="s">
        <v>121</v>
      </c>
      <c r="K180" s="119" t="s">
        <v>68</v>
      </c>
      <c r="L180" s="119" t="s">
        <v>109</v>
      </c>
      <c r="M180" s="51" t="str" cm="1">
        <f t="array" ref="M180">IFERROR(_xlfn.SWITCH(L180,"R-FPA",495,"R-FPB",595,"R-FPC",595,"R-FPD",595,"Custom Carton","input L"),0)</f>
        <v>input L</v>
      </c>
      <c r="N180" s="51" t="str" cm="1">
        <f t="array" ref="N180">IFERROR(_xlfn.SWITCH(L180,"R-FPA",285,"R-FPB",285,"R-FPC",325,"R-FPD",380,"Custom Carton","input W"),0)</f>
        <v>input W</v>
      </c>
      <c r="O180" s="51"/>
      <c r="P180" s="51">
        <f>IFERROR(IF(K180="",0,(M180+N180)*2+15),0)</f>
        <v>0</v>
      </c>
      <c r="Q180" s="51">
        <f>IFERROR(IF(K180="",0,(N180+O180)-10),0)</f>
        <v>0</v>
      </c>
      <c r="R180" s="53">
        <f xml:space="preserve"> P180 * Q180 * (1 + 2.5%) / 1000000</f>
        <v>0</v>
      </c>
      <c r="S180" s="125">
        <f>R180*'[3]RFQ_Matalan Carton'!$M$32</f>
        <v>0</v>
      </c>
      <c r="T180" s="124">
        <f>S180</f>
        <v>0</v>
      </c>
      <c r="U180" s="124">
        <f>I180*T180</f>
        <v>0</v>
      </c>
      <c r="V180" s="123">
        <f>((T180*I180)-W180)*7.5%</f>
        <v>0</v>
      </c>
      <c r="W180" s="124">
        <f>S180*I180*10%</f>
        <v>0</v>
      </c>
      <c r="X180" s="113"/>
    </row>
    <row r="181" spans="1:24">
      <c r="A181" s="118"/>
      <c r="B181" s="118"/>
      <c r="C181" s="119"/>
      <c r="D181" s="118"/>
      <c r="E181" s="118"/>
      <c r="F181" s="118"/>
      <c r="G181" s="119"/>
      <c r="H181" s="119"/>
      <c r="I181" s="119"/>
      <c r="J181" s="119" t="s">
        <v>121</v>
      </c>
      <c r="K181" s="119" t="s">
        <v>68</v>
      </c>
      <c r="L181" s="119" t="s">
        <v>109</v>
      </c>
      <c r="M181" s="51" t="str" cm="1">
        <f t="array" ref="M181">IFERROR(_xlfn.SWITCH(L181,"R-FPA",495,"R-FPB",595,"R-FPC",595,"R-FPD",595,"Custom Carton","input L"),0)</f>
        <v>input L</v>
      </c>
      <c r="N181" s="51" t="str" cm="1">
        <f t="array" ref="N181">IFERROR(_xlfn.SWITCH(L181,"R-FPA",285,"R-FPB",285,"R-FPC",325,"R-FPD",380,"Custom Carton","input W"),0)</f>
        <v>input W</v>
      </c>
      <c r="O181" s="51"/>
      <c r="P181" s="51">
        <f>IFERROR(IF(K181="",0,(M181+N181)*2+15),0)</f>
        <v>0</v>
      </c>
      <c r="Q181" s="51">
        <f>IFERROR(IF(K181="",0,(N181+O181)-10),0)</f>
        <v>0</v>
      </c>
      <c r="R181" s="53">
        <f xml:space="preserve"> P181 * Q181 * (1 + 2.5%) / 1000000</f>
        <v>0</v>
      </c>
      <c r="S181" s="125">
        <f>R181*'[3]RFQ_Matalan Carton'!$M$32</f>
        <v>0</v>
      </c>
      <c r="T181" s="124">
        <f>S181</f>
        <v>0</v>
      </c>
      <c r="U181" s="124">
        <f>I181*T181</f>
        <v>0</v>
      </c>
      <c r="V181" s="123">
        <f>((T181*I181)-W181)*7.5%</f>
        <v>0</v>
      </c>
      <c r="W181" s="124">
        <f>S181*I181*10%</f>
        <v>0</v>
      </c>
      <c r="X181" s="113"/>
    </row>
    <row r="182" spans="1:24">
      <c r="A182" s="118"/>
      <c r="B182" s="118"/>
      <c r="C182" s="119"/>
      <c r="D182" s="118"/>
      <c r="E182" s="118"/>
      <c r="F182" s="118"/>
      <c r="G182" s="119"/>
      <c r="H182" s="119"/>
      <c r="I182" s="119"/>
      <c r="J182" s="119" t="s">
        <v>121</v>
      </c>
      <c r="K182" s="119" t="s">
        <v>68</v>
      </c>
      <c r="L182" s="119" t="s">
        <v>109</v>
      </c>
      <c r="M182" s="51" t="str" cm="1">
        <f t="array" ref="M182">IFERROR(_xlfn.SWITCH(L182,"R-FPA",495,"R-FPB",595,"R-FPC",595,"R-FPD",595,"Custom Carton","input L"),0)</f>
        <v>input L</v>
      </c>
      <c r="N182" s="51" t="str" cm="1">
        <f t="array" ref="N182">IFERROR(_xlfn.SWITCH(L182,"R-FPA",285,"R-FPB",285,"R-FPC",325,"R-FPD",380,"Custom Carton","input W"),0)</f>
        <v>input W</v>
      </c>
      <c r="O182" s="51"/>
      <c r="P182" s="51">
        <f>IFERROR(IF(K182="",0,(M182+N182)*2+15),0)</f>
        <v>0</v>
      </c>
      <c r="Q182" s="51">
        <f>IFERROR(IF(K182="",0,(N182+O182)-10),0)</f>
        <v>0</v>
      </c>
      <c r="R182" s="53">
        <f xml:space="preserve"> P182 * Q182 * (1 + 2.5%) / 1000000</f>
        <v>0</v>
      </c>
      <c r="S182" s="125">
        <f>R182*'[3]RFQ_Matalan Carton'!$M$32</f>
        <v>0</v>
      </c>
      <c r="T182" s="124">
        <f>S182</f>
        <v>0</v>
      </c>
      <c r="U182" s="124">
        <f>I182*T182</f>
        <v>0</v>
      </c>
      <c r="V182" s="123">
        <f>((T182*I182)-W182)*7.5%</f>
        <v>0</v>
      </c>
      <c r="W182" s="124">
        <f>S182*I182*10%</f>
        <v>0</v>
      </c>
      <c r="X182" s="113"/>
    </row>
    <row r="183" spans="1:24">
      <c r="A183" s="118"/>
      <c r="B183" s="118"/>
      <c r="C183" s="119"/>
      <c r="D183" s="118"/>
      <c r="E183" s="118"/>
      <c r="F183" s="118"/>
      <c r="G183" s="119"/>
      <c r="H183" s="119"/>
      <c r="I183" s="119"/>
      <c r="J183" s="119" t="s">
        <v>121</v>
      </c>
      <c r="K183" s="119" t="s">
        <v>68</v>
      </c>
      <c r="L183" s="119" t="s">
        <v>109</v>
      </c>
      <c r="M183" s="51" t="str" cm="1">
        <f t="array" ref="M183">IFERROR(_xlfn.SWITCH(L183,"R-FPA",495,"R-FPB",595,"R-FPC",595,"R-FPD",595,"Custom Carton","input L"),0)</f>
        <v>input L</v>
      </c>
      <c r="N183" s="51" t="str" cm="1">
        <f t="array" ref="N183">IFERROR(_xlfn.SWITCH(L183,"R-FPA",285,"R-FPB",285,"R-FPC",325,"R-FPD",380,"Custom Carton","input W"),0)</f>
        <v>input W</v>
      </c>
      <c r="O183" s="51"/>
      <c r="P183" s="51">
        <f>IFERROR(IF(K183="",0,(M183+N183)*2+15),0)</f>
        <v>0</v>
      </c>
      <c r="Q183" s="51">
        <f>IFERROR(IF(K183="",0,(N183+O183)-10),0)</f>
        <v>0</v>
      </c>
      <c r="R183" s="53">
        <f xml:space="preserve"> P183 * Q183 * (1 + 2.5%) / 1000000</f>
        <v>0</v>
      </c>
      <c r="S183" s="125">
        <f>R183*'[3]RFQ_Matalan Carton'!$M$32</f>
        <v>0</v>
      </c>
      <c r="T183" s="124">
        <f>S183</f>
        <v>0</v>
      </c>
      <c r="U183" s="124">
        <f>I183*T183</f>
        <v>0</v>
      </c>
      <c r="V183" s="123">
        <f>((T183*I183)-W183)*7.5%</f>
        <v>0</v>
      </c>
      <c r="W183" s="124">
        <f>S183*I183*10%</f>
        <v>0</v>
      </c>
      <c r="X183" s="113"/>
    </row>
    <row r="184" spans="1:24">
      <c r="A184" s="118"/>
      <c r="B184" s="118"/>
      <c r="C184" s="119"/>
      <c r="D184" s="118"/>
      <c r="E184" s="118"/>
      <c r="F184" s="118"/>
      <c r="G184" s="119"/>
      <c r="H184" s="119"/>
      <c r="I184" s="119"/>
      <c r="J184" s="119" t="s">
        <v>121</v>
      </c>
      <c r="K184" s="119" t="s">
        <v>68</v>
      </c>
      <c r="L184" s="119" t="s">
        <v>109</v>
      </c>
      <c r="M184" s="51" t="str" cm="1">
        <f t="array" ref="M184">IFERROR(_xlfn.SWITCH(L184,"R-FPA",495,"R-FPB",595,"R-FPC",595,"R-FPD",595,"Custom Carton","input L"),0)</f>
        <v>input L</v>
      </c>
      <c r="N184" s="51" t="str" cm="1">
        <f t="array" ref="N184">IFERROR(_xlfn.SWITCH(L184,"R-FPA",285,"R-FPB",285,"R-FPC",325,"R-FPD",380,"Custom Carton","input W"),0)</f>
        <v>input W</v>
      </c>
      <c r="O184" s="51"/>
      <c r="P184" s="51">
        <f>IFERROR(IF(K184="",0,(M184+N184)*2+15),0)</f>
        <v>0</v>
      </c>
      <c r="Q184" s="51">
        <f>IFERROR(IF(K184="",0,(N184+O184)-10),0)</f>
        <v>0</v>
      </c>
      <c r="R184" s="53">
        <f xml:space="preserve"> P184 * Q184 * (1 + 2.5%) / 1000000</f>
        <v>0</v>
      </c>
      <c r="S184" s="125">
        <f>R184*'[3]RFQ_Matalan Carton'!$M$32</f>
        <v>0</v>
      </c>
      <c r="T184" s="124">
        <f>S184</f>
        <v>0</v>
      </c>
      <c r="U184" s="124">
        <f>I184*T184</f>
        <v>0</v>
      </c>
      <c r="V184" s="123">
        <f>((T184*I184)-W184)*7.5%</f>
        <v>0</v>
      </c>
      <c r="W184" s="124">
        <f>S184*I184*10%</f>
        <v>0</v>
      </c>
      <c r="X184" s="113"/>
    </row>
    <row r="185" spans="1:24">
      <c r="A185" s="118"/>
      <c r="B185" s="118"/>
      <c r="C185" s="119"/>
      <c r="D185" s="118"/>
      <c r="E185" s="118"/>
      <c r="F185" s="118"/>
      <c r="G185" s="119"/>
      <c r="H185" s="119"/>
      <c r="I185" s="119"/>
      <c r="J185" s="119" t="s">
        <v>121</v>
      </c>
      <c r="K185" s="119" t="s">
        <v>68</v>
      </c>
      <c r="L185" s="119" t="s">
        <v>109</v>
      </c>
      <c r="M185" s="51" t="str" cm="1">
        <f t="array" ref="M185">IFERROR(_xlfn.SWITCH(L185,"R-FPA",495,"R-FPB",595,"R-FPC",595,"R-FPD",595,"Custom Carton","input L"),0)</f>
        <v>input L</v>
      </c>
      <c r="N185" s="51" t="str" cm="1">
        <f t="array" ref="N185">IFERROR(_xlfn.SWITCH(L185,"R-FPA",285,"R-FPB",285,"R-FPC",325,"R-FPD",380,"Custom Carton","input W"),0)</f>
        <v>input W</v>
      </c>
      <c r="O185" s="51"/>
      <c r="P185" s="51">
        <f>IFERROR(IF(K185="",0,(M185+N185)*2+15),0)</f>
        <v>0</v>
      </c>
      <c r="Q185" s="51">
        <f>IFERROR(IF(K185="",0,(N185+O185)-10),0)</f>
        <v>0</v>
      </c>
      <c r="R185" s="53">
        <f xml:space="preserve"> P185 * Q185 * (1 + 2.5%) / 1000000</f>
        <v>0</v>
      </c>
      <c r="S185" s="125">
        <f>R185*'[3]RFQ_Matalan Carton'!$M$32</f>
        <v>0</v>
      </c>
      <c r="T185" s="124">
        <f>S185</f>
        <v>0</v>
      </c>
      <c r="U185" s="124">
        <f>I185*T185</f>
        <v>0</v>
      </c>
      <c r="V185" s="123">
        <f>((T185*I185)-W185)*7.5%</f>
        <v>0</v>
      </c>
      <c r="W185" s="124">
        <f>S185*I185*10%</f>
        <v>0</v>
      </c>
      <c r="X185" s="113"/>
    </row>
    <row r="186" spans="1:24">
      <c r="A186" s="118"/>
      <c r="B186" s="118"/>
      <c r="C186" s="119"/>
      <c r="D186" s="118"/>
      <c r="E186" s="118"/>
      <c r="F186" s="118"/>
      <c r="G186" s="119"/>
      <c r="H186" s="119"/>
      <c r="I186" s="119"/>
      <c r="J186" s="119" t="s">
        <v>121</v>
      </c>
      <c r="K186" s="119" t="s">
        <v>68</v>
      </c>
      <c r="L186" s="119" t="s">
        <v>109</v>
      </c>
      <c r="M186" s="51" t="str" cm="1">
        <f t="array" ref="M186">IFERROR(_xlfn.SWITCH(L186,"R-FPA",495,"R-FPB",595,"R-FPC",595,"R-FPD",595,"Custom Carton","input L"),0)</f>
        <v>input L</v>
      </c>
      <c r="N186" s="51" t="str" cm="1">
        <f t="array" ref="N186">IFERROR(_xlfn.SWITCH(L186,"R-FPA",285,"R-FPB",285,"R-FPC",325,"R-FPD",380,"Custom Carton","input W"),0)</f>
        <v>input W</v>
      </c>
      <c r="O186" s="51"/>
      <c r="P186" s="51">
        <f>IFERROR(IF(K186="",0,(M186+N186)*2+15),0)</f>
        <v>0</v>
      </c>
      <c r="Q186" s="51">
        <f>IFERROR(IF(K186="",0,(N186+O186)-10),0)</f>
        <v>0</v>
      </c>
      <c r="R186" s="53">
        <f xml:space="preserve"> P186 * Q186 * (1 + 2.5%) / 1000000</f>
        <v>0</v>
      </c>
      <c r="S186" s="125">
        <f>R186*'[3]RFQ_Matalan Carton'!$M$32</f>
        <v>0</v>
      </c>
      <c r="T186" s="124">
        <f>S186</f>
        <v>0</v>
      </c>
      <c r="U186" s="124">
        <f>I186*T186</f>
        <v>0</v>
      </c>
      <c r="V186" s="123">
        <f>((T186*I186)-W186)*7.5%</f>
        <v>0</v>
      </c>
      <c r="W186" s="124">
        <f>S186*I186*10%</f>
        <v>0</v>
      </c>
      <c r="X186" s="113"/>
    </row>
    <row r="187" spans="1:24">
      <c r="A187" s="118"/>
      <c r="B187" s="118"/>
      <c r="C187" s="119"/>
      <c r="D187" s="118"/>
      <c r="E187" s="118"/>
      <c r="F187" s="118"/>
      <c r="G187" s="119"/>
      <c r="H187" s="119"/>
      <c r="I187" s="119"/>
      <c r="J187" s="119" t="s">
        <v>121</v>
      </c>
      <c r="K187" s="119" t="s">
        <v>68</v>
      </c>
      <c r="L187" s="119" t="s">
        <v>109</v>
      </c>
      <c r="M187" s="51" t="str" cm="1">
        <f t="array" ref="M187">IFERROR(_xlfn.SWITCH(L187,"R-FPA",495,"R-FPB",595,"R-FPC",595,"R-FPD",595,"Custom Carton","input L"),0)</f>
        <v>input L</v>
      </c>
      <c r="N187" s="51" t="str" cm="1">
        <f t="array" ref="N187">IFERROR(_xlfn.SWITCH(L187,"R-FPA",285,"R-FPB",285,"R-FPC",325,"R-FPD",380,"Custom Carton","input W"),0)</f>
        <v>input W</v>
      </c>
      <c r="O187" s="51"/>
      <c r="P187" s="51">
        <f>IFERROR(IF(K187="",0,(M187+N187)*2+15),0)</f>
        <v>0</v>
      </c>
      <c r="Q187" s="51">
        <f>IFERROR(IF(K187="",0,(N187+O187)-10),0)</f>
        <v>0</v>
      </c>
      <c r="R187" s="53">
        <f xml:space="preserve"> P187 * Q187 * (1 + 2.5%) / 1000000</f>
        <v>0</v>
      </c>
      <c r="S187" s="125">
        <f>R187*'[3]RFQ_Matalan Carton'!$M$32</f>
        <v>0</v>
      </c>
      <c r="T187" s="124">
        <f>S187</f>
        <v>0</v>
      </c>
      <c r="U187" s="124">
        <f>I187*T187</f>
        <v>0</v>
      </c>
      <c r="V187" s="123">
        <f>((T187*I187)-W187)*7.5%</f>
        <v>0</v>
      </c>
      <c r="W187" s="124">
        <f>S187*I187*10%</f>
        <v>0</v>
      </c>
      <c r="X187" s="113"/>
    </row>
    <row r="188" spans="1:24">
      <c r="A188" s="118"/>
      <c r="B188" s="118"/>
      <c r="C188" s="119"/>
      <c r="D188" s="118"/>
      <c r="E188" s="118"/>
      <c r="F188" s="118"/>
      <c r="G188" s="119"/>
      <c r="H188" s="119"/>
      <c r="I188" s="119"/>
      <c r="J188" s="119" t="s">
        <v>121</v>
      </c>
      <c r="K188" s="119" t="s">
        <v>68</v>
      </c>
      <c r="L188" s="119" t="s">
        <v>109</v>
      </c>
      <c r="M188" s="51" t="str" cm="1">
        <f t="array" ref="M188">IFERROR(_xlfn.SWITCH(L188,"R-FPA",495,"R-FPB",595,"R-FPC",595,"R-FPD",595,"Custom Carton","input L"),0)</f>
        <v>input L</v>
      </c>
      <c r="N188" s="51" t="str" cm="1">
        <f t="array" ref="N188">IFERROR(_xlfn.SWITCH(L188,"R-FPA",285,"R-FPB",285,"R-FPC",325,"R-FPD",380,"Custom Carton","input W"),0)</f>
        <v>input W</v>
      </c>
      <c r="O188" s="51"/>
      <c r="P188" s="51">
        <f>IFERROR(IF(K188="",0,(M188+N188)*2+15),0)</f>
        <v>0</v>
      </c>
      <c r="Q188" s="51">
        <f>IFERROR(IF(K188="",0,(N188+O188)-10),0)</f>
        <v>0</v>
      </c>
      <c r="R188" s="53">
        <f xml:space="preserve"> P188 * Q188 * (1 + 2.5%) / 1000000</f>
        <v>0</v>
      </c>
      <c r="S188" s="125">
        <f>R188*'[3]RFQ_Matalan Carton'!$M$32</f>
        <v>0</v>
      </c>
      <c r="T188" s="124">
        <f>S188</f>
        <v>0</v>
      </c>
      <c r="U188" s="124">
        <f>I188*T188</f>
        <v>0</v>
      </c>
      <c r="V188" s="123">
        <f>((T188*I188)-W188)*7.5%</f>
        <v>0</v>
      </c>
      <c r="W188" s="124">
        <f>S188*I188*10%</f>
        <v>0</v>
      </c>
      <c r="X188" s="113"/>
    </row>
    <row r="189" spans="1:24">
      <c r="A189" s="118"/>
      <c r="B189" s="118"/>
      <c r="C189" s="119"/>
      <c r="D189" s="118"/>
      <c r="E189" s="118"/>
      <c r="F189" s="118"/>
      <c r="G189" s="119"/>
      <c r="H189" s="119"/>
      <c r="I189" s="119"/>
      <c r="J189" s="119" t="s">
        <v>121</v>
      </c>
      <c r="K189" s="119" t="s">
        <v>68</v>
      </c>
      <c r="L189" s="119" t="s">
        <v>109</v>
      </c>
      <c r="M189" s="51" t="str" cm="1">
        <f t="array" ref="M189">IFERROR(_xlfn.SWITCH(L189,"R-FPA",495,"R-FPB",595,"R-FPC",595,"R-FPD",595,"Custom Carton","input L"),0)</f>
        <v>input L</v>
      </c>
      <c r="N189" s="51" t="str" cm="1">
        <f t="array" ref="N189">IFERROR(_xlfn.SWITCH(L189,"R-FPA",285,"R-FPB",285,"R-FPC",325,"R-FPD",380,"Custom Carton","input W"),0)</f>
        <v>input W</v>
      </c>
      <c r="O189" s="51"/>
      <c r="P189" s="51">
        <f>IFERROR(IF(K189="",0,(M189+N189)*2+15),0)</f>
        <v>0</v>
      </c>
      <c r="Q189" s="51">
        <f>IFERROR(IF(K189="",0,(N189+O189)-10),0)</f>
        <v>0</v>
      </c>
      <c r="R189" s="53">
        <f xml:space="preserve"> P189 * Q189 * (1 + 2.5%) / 1000000</f>
        <v>0</v>
      </c>
      <c r="S189" s="125">
        <f>R189*'[3]RFQ_Matalan Carton'!$M$32</f>
        <v>0</v>
      </c>
      <c r="T189" s="124">
        <f>S189</f>
        <v>0</v>
      </c>
      <c r="U189" s="124">
        <f>I189*T189</f>
        <v>0</v>
      </c>
      <c r="V189" s="123">
        <f>((T189*I189)-W189)*7.5%</f>
        <v>0</v>
      </c>
      <c r="W189" s="124">
        <f>S189*I189*10%</f>
        <v>0</v>
      </c>
      <c r="X189" s="113"/>
    </row>
    <row r="190" spans="1:24">
      <c r="A190" s="118"/>
      <c r="B190" s="118"/>
      <c r="C190" s="119"/>
      <c r="D190" s="118"/>
      <c r="E190" s="118"/>
      <c r="F190" s="118"/>
      <c r="G190" s="119"/>
      <c r="H190" s="119"/>
      <c r="I190" s="119"/>
      <c r="J190" s="119" t="s">
        <v>121</v>
      </c>
      <c r="K190" s="119" t="s">
        <v>68</v>
      </c>
      <c r="L190" s="119" t="s">
        <v>109</v>
      </c>
      <c r="M190" s="51" t="str" cm="1">
        <f t="array" ref="M190">IFERROR(_xlfn.SWITCH(L190,"R-FPA",495,"R-FPB",595,"R-FPC",595,"R-FPD",595,"Custom Carton","input L"),0)</f>
        <v>input L</v>
      </c>
      <c r="N190" s="51" t="str" cm="1">
        <f t="array" ref="N190">IFERROR(_xlfn.SWITCH(L190,"R-FPA",285,"R-FPB",285,"R-FPC",325,"R-FPD",380,"Custom Carton","input W"),0)</f>
        <v>input W</v>
      </c>
      <c r="O190" s="51"/>
      <c r="P190" s="51">
        <f>IFERROR(IF(K190="",0,(M190+N190)*2+15),0)</f>
        <v>0</v>
      </c>
      <c r="Q190" s="51">
        <f>IFERROR(IF(K190="",0,(N190+O190)-10),0)</f>
        <v>0</v>
      </c>
      <c r="R190" s="53">
        <f xml:space="preserve"> P190 * Q190 * (1 + 2.5%) / 1000000</f>
        <v>0</v>
      </c>
      <c r="S190" s="125">
        <f>R190*'[3]RFQ_Matalan Carton'!$M$32</f>
        <v>0</v>
      </c>
      <c r="T190" s="124">
        <f>S190</f>
        <v>0</v>
      </c>
      <c r="U190" s="124">
        <f>I190*T190</f>
        <v>0</v>
      </c>
      <c r="V190" s="123">
        <f>((T190*I190)-W190)*7.5%</f>
        <v>0</v>
      </c>
      <c r="W190" s="124">
        <f>S190*I190*10%</f>
        <v>0</v>
      </c>
      <c r="X190" s="113"/>
    </row>
    <row r="191" spans="1:24">
      <c r="A191" s="118"/>
      <c r="B191" s="118"/>
      <c r="C191" s="119"/>
      <c r="D191" s="118"/>
      <c r="E191" s="118"/>
      <c r="F191" s="118"/>
      <c r="G191" s="119"/>
      <c r="H191" s="119"/>
      <c r="I191" s="119"/>
      <c r="J191" s="119" t="s">
        <v>121</v>
      </c>
      <c r="K191" s="119" t="s">
        <v>68</v>
      </c>
      <c r="L191" s="119" t="s">
        <v>109</v>
      </c>
      <c r="M191" s="51" t="str" cm="1">
        <f t="array" ref="M191">IFERROR(_xlfn.SWITCH(L191,"R-FPA",495,"R-FPB",595,"R-FPC",595,"R-FPD",595,"Custom Carton","input L"),0)</f>
        <v>input L</v>
      </c>
      <c r="N191" s="51" t="str" cm="1">
        <f t="array" ref="N191">IFERROR(_xlfn.SWITCH(L191,"R-FPA",285,"R-FPB",285,"R-FPC",325,"R-FPD",380,"Custom Carton","input W"),0)</f>
        <v>input W</v>
      </c>
      <c r="O191" s="51"/>
      <c r="P191" s="51">
        <f>IFERROR(IF(K191="",0,(M191+N191)*2+15),0)</f>
        <v>0</v>
      </c>
      <c r="Q191" s="51">
        <f>IFERROR(IF(K191="",0,(N191+O191)-10),0)</f>
        <v>0</v>
      </c>
      <c r="R191" s="53">
        <f xml:space="preserve"> P191 * Q191 * (1 + 2.5%) / 1000000</f>
        <v>0</v>
      </c>
      <c r="S191" s="125">
        <f>R191*'[3]RFQ_Matalan Carton'!$M$32</f>
        <v>0</v>
      </c>
      <c r="T191" s="124">
        <f>S191</f>
        <v>0</v>
      </c>
      <c r="U191" s="124">
        <f>I191*T191</f>
        <v>0</v>
      </c>
      <c r="V191" s="123">
        <f>((T191*I191)-W191)*7.5%</f>
        <v>0</v>
      </c>
      <c r="W191" s="124">
        <f>S191*I191*10%</f>
        <v>0</v>
      </c>
      <c r="X191" s="113"/>
    </row>
    <row r="192" spans="1:24">
      <c r="A192" s="118"/>
      <c r="B192" s="118"/>
      <c r="C192" s="119"/>
      <c r="D192" s="118"/>
      <c r="E192" s="118"/>
      <c r="F192" s="118"/>
      <c r="G192" s="119"/>
      <c r="H192" s="119"/>
      <c r="I192" s="119"/>
      <c r="J192" s="119" t="s">
        <v>121</v>
      </c>
      <c r="K192" s="119" t="s">
        <v>68</v>
      </c>
      <c r="L192" s="119" t="s">
        <v>109</v>
      </c>
      <c r="M192" s="51" t="str" cm="1">
        <f t="array" ref="M192">IFERROR(_xlfn.SWITCH(L192,"R-FPA",495,"R-FPB",595,"R-FPC",595,"R-FPD",595,"Custom Carton","input L"),0)</f>
        <v>input L</v>
      </c>
      <c r="N192" s="51" t="str" cm="1">
        <f t="array" ref="N192">IFERROR(_xlfn.SWITCH(L192,"R-FPA",285,"R-FPB",285,"R-FPC",325,"R-FPD",380,"Custom Carton","input W"),0)</f>
        <v>input W</v>
      </c>
      <c r="O192" s="51"/>
      <c r="P192" s="51">
        <f>IFERROR(IF(K192="",0,(M192+N192)*2+15),0)</f>
        <v>0</v>
      </c>
      <c r="Q192" s="51">
        <f>IFERROR(IF(K192="",0,(N192+O192)-10),0)</f>
        <v>0</v>
      </c>
      <c r="R192" s="53">
        <f xml:space="preserve"> P192 * Q192 * (1 + 2.5%) / 1000000</f>
        <v>0</v>
      </c>
      <c r="S192" s="125">
        <f>R192*'[3]RFQ_Matalan Carton'!$M$32</f>
        <v>0</v>
      </c>
      <c r="T192" s="124">
        <f>S192</f>
        <v>0</v>
      </c>
      <c r="U192" s="124">
        <f>I192*T192</f>
        <v>0</v>
      </c>
      <c r="V192" s="123">
        <f>((T192*I192)-W192)*7.5%</f>
        <v>0</v>
      </c>
      <c r="W192" s="124">
        <f>S192*I192*10%</f>
        <v>0</v>
      </c>
      <c r="X192" s="113"/>
    </row>
    <row r="193" spans="1:24">
      <c r="A193" s="118"/>
      <c r="B193" s="118"/>
      <c r="C193" s="119"/>
      <c r="D193" s="118"/>
      <c r="E193" s="118"/>
      <c r="F193" s="118"/>
      <c r="G193" s="119"/>
      <c r="H193" s="119"/>
      <c r="I193" s="119"/>
      <c r="J193" s="119" t="s">
        <v>121</v>
      </c>
      <c r="K193" s="119" t="s">
        <v>68</v>
      </c>
      <c r="L193" s="119" t="s">
        <v>109</v>
      </c>
      <c r="M193" s="51" t="str" cm="1">
        <f t="array" ref="M193">IFERROR(_xlfn.SWITCH(L193,"R-FPA",495,"R-FPB",595,"R-FPC",595,"R-FPD",595,"Custom Carton","input L"),0)</f>
        <v>input L</v>
      </c>
      <c r="N193" s="51" t="str" cm="1">
        <f t="array" ref="N193">IFERROR(_xlfn.SWITCH(L193,"R-FPA",285,"R-FPB",285,"R-FPC",325,"R-FPD",380,"Custom Carton","input W"),0)</f>
        <v>input W</v>
      </c>
      <c r="O193" s="51"/>
      <c r="P193" s="51">
        <f>IFERROR(IF(K193="",0,(M193+N193)*2+15),0)</f>
        <v>0</v>
      </c>
      <c r="Q193" s="51">
        <f>IFERROR(IF(K193="",0,(N193+O193)-10),0)</f>
        <v>0</v>
      </c>
      <c r="R193" s="53">
        <f xml:space="preserve"> P193 * Q193 * (1 + 2.5%) / 1000000</f>
        <v>0</v>
      </c>
      <c r="S193" s="125">
        <f>R193*'[3]RFQ_Matalan Carton'!$M$32</f>
        <v>0</v>
      </c>
      <c r="T193" s="124">
        <f>S193</f>
        <v>0</v>
      </c>
      <c r="U193" s="124">
        <f>I193*T193</f>
        <v>0</v>
      </c>
      <c r="V193" s="123">
        <f>((T193*I193)-W193)*7.5%</f>
        <v>0</v>
      </c>
      <c r="W193" s="124">
        <f>S193*I193*10%</f>
        <v>0</v>
      </c>
      <c r="X193" s="113"/>
    </row>
    <row r="194" spans="1:24">
      <c r="A194" s="118"/>
      <c r="B194" s="118"/>
      <c r="C194" s="119"/>
      <c r="D194" s="118"/>
      <c r="E194" s="118"/>
      <c r="F194" s="118"/>
      <c r="G194" s="119"/>
      <c r="H194" s="119"/>
      <c r="I194" s="119"/>
      <c r="J194" s="119" t="s">
        <v>121</v>
      </c>
      <c r="K194" s="119" t="s">
        <v>68</v>
      </c>
      <c r="L194" s="119" t="s">
        <v>109</v>
      </c>
      <c r="M194" s="51" t="str" cm="1">
        <f t="array" ref="M194">IFERROR(_xlfn.SWITCH(L194,"R-FPA",495,"R-FPB",595,"R-FPC",595,"R-FPD",595,"Custom Carton","input L"),0)</f>
        <v>input L</v>
      </c>
      <c r="N194" s="51" t="str" cm="1">
        <f t="array" ref="N194">IFERROR(_xlfn.SWITCH(L194,"R-FPA",285,"R-FPB",285,"R-FPC",325,"R-FPD",380,"Custom Carton","input W"),0)</f>
        <v>input W</v>
      </c>
      <c r="O194" s="51"/>
      <c r="P194" s="51">
        <f>IFERROR(IF(K194="",0,(M194+N194)*2+15),0)</f>
        <v>0</v>
      </c>
      <c r="Q194" s="51">
        <f>IFERROR(IF(K194="",0,(N194+O194)-10),0)</f>
        <v>0</v>
      </c>
      <c r="R194" s="53">
        <f xml:space="preserve"> P194 * Q194 * (1 + 2.5%) / 1000000</f>
        <v>0</v>
      </c>
      <c r="S194" s="125">
        <f>R194*'[3]RFQ_Matalan Carton'!$M$32</f>
        <v>0</v>
      </c>
      <c r="T194" s="124">
        <f>S194</f>
        <v>0</v>
      </c>
      <c r="U194" s="124">
        <f>I194*T194</f>
        <v>0</v>
      </c>
      <c r="V194" s="123">
        <f>((T194*I194)-W194)*7.5%</f>
        <v>0</v>
      </c>
      <c r="W194" s="124">
        <f>S194*I194*10%</f>
        <v>0</v>
      </c>
      <c r="X194" s="113"/>
    </row>
    <row r="195" spans="1:24">
      <c r="A195" s="118"/>
      <c r="B195" s="118"/>
      <c r="C195" s="119"/>
      <c r="D195" s="118"/>
      <c r="E195" s="118"/>
      <c r="F195" s="118"/>
      <c r="G195" s="119"/>
      <c r="H195" s="119"/>
      <c r="I195" s="119"/>
      <c r="J195" s="119" t="s">
        <v>121</v>
      </c>
      <c r="K195" s="119" t="s">
        <v>68</v>
      </c>
      <c r="L195" s="119" t="s">
        <v>109</v>
      </c>
      <c r="M195" s="51" t="str" cm="1">
        <f t="array" ref="M195">IFERROR(_xlfn.SWITCH(L195,"R-FPA",495,"R-FPB",595,"R-FPC",595,"R-FPD",595,"Custom Carton","input L"),0)</f>
        <v>input L</v>
      </c>
      <c r="N195" s="51" t="str" cm="1">
        <f t="array" ref="N195">IFERROR(_xlfn.SWITCH(L195,"R-FPA",285,"R-FPB",285,"R-FPC",325,"R-FPD",380,"Custom Carton","input W"),0)</f>
        <v>input W</v>
      </c>
      <c r="O195" s="51"/>
      <c r="P195" s="51">
        <f>IFERROR(IF(K195="",0,(M195+N195)*2+15),0)</f>
        <v>0</v>
      </c>
      <c r="Q195" s="51">
        <f>IFERROR(IF(K195="",0,(N195+O195)-10),0)</f>
        <v>0</v>
      </c>
      <c r="R195" s="53">
        <f xml:space="preserve"> P195 * Q195 * (1 + 2.5%) / 1000000</f>
        <v>0</v>
      </c>
      <c r="S195" s="125">
        <f>R195*'[3]RFQ_Matalan Carton'!$M$32</f>
        <v>0</v>
      </c>
      <c r="T195" s="124">
        <f>S195</f>
        <v>0</v>
      </c>
      <c r="U195" s="124">
        <f>I195*T195</f>
        <v>0</v>
      </c>
      <c r="V195" s="123">
        <f>((T195*I195)-W195)*7.5%</f>
        <v>0</v>
      </c>
      <c r="W195" s="124">
        <f>S195*I195*10%</f>
        <v>0</v>
      </c>
      <c r="X195" s="113"/>
    </row>
    <row r="196" spans="1:24">
      <c r="A196" s="118"/>
      <c r="B196" s="118"/>
      <c r="C196" s="119"/>
      <c r="D196" s="118"/>
      <c r="E196" s="118"/>
      <c r="F196" s="118"/>
      <c r="G196" s="119"/>
      <c r="H196" s="119"/>
      <c r="I196" s="119"/>
      <c r="J196" s="119" t="s">
        <v>121</v>
      </c>
      <c r="K196" s="119" t="s">
        <v>68</v>
      </c>
      <c r="L196" s="119" t="s">
        <v>109</v>
      </c>
      <c r="M196" s="51" t="str" cm="1">
        <f t="array" ref="M196">IFERROR(_xlfn.SWITCH(L196,"R-FPA",495,"R-FPB",595,"R-FPC",595,"R-FPD",595,"Custom Carton","input L"),0)</f>
        <v>input L</v>
      </c>
      <c r="N196" s="51" t="str" cm="1">
        <f t="array" ref="N196">IFERROR(_xlfn.SWITCH(L196,"R-FPA",285,"R-FPB",285,"R-FPC",325,"R-FPD",380,"Custom Carton","input W"),0)</f>
        <v>input W</v>
      </c>
      <c r="O196" s="51"/>
      <c r="P196" s="51">
        <f>IFERROR(IF(K196="",0,(M196+N196)*2+15),0)</f>
        <v>0</v>
      </c>
      <c r="Q196" s="51">
        <f>IFERROR(IF(K196="",0,(N196+O196)-10),0)</f>
        <v>0</v>
      </c>
      <c r="R196" s="53">
        <f xml:space="preserve"> P196 * Q196 * (1 + 2.5%) / 1000000</f>
        <v>0</v>
      </c>
      <c r="S196" s="125">
        <f>R196*'[3]RFQ_Matalan Carton'!$M$32</f>
        <v>0</v>
      </c>
      <c r="T196" s="124">
        <f>S196</f>
        <v>0</v>
      </c>
      <c r="U196" s="124">
        <f>I196*T196</f>
        <v>0</v>
      </c>
      <c r="V196" s="123">
        <f>((T196*I196)-W196)*7.5%</f>
        <v>0</v>
      </c>
      <c r="W196" s="124">
        <f>S196*I196*10%</f>
        <v>0</v>
      </c>
      <c r="X196" s="113"/>
    </row>
    <row r="197" spans="1:24">
      <c r="A197" s="118"/>
      <c r="B197" s="118"/>
      <c r="C197" s="119"/>
      <c r="D197" s="118"/>
      <c r="E197" s="118"/>
      <c r="F197" s="118"/>
      <c r="G197" s="119"/>
      <c r="H197" s="119"/>
      <c r="I197" s="119"/>
      <c r="J197" s="119" t="s">
        <v>121</v>
      </c>
      <c r="K197" s="119" t="s">
        <v>68</v>
      </c>
      <c r="L197" s="119" t="s">
        <v>109</v>
      </c>
      <c r="M197" s="51" t="str" cm="1">
        <f t="array" ref="M197">IFERROR(_xlfn.SWITCH(L197,"R-FPA",495,"R-FPB",595,"R-FPC",595,"R-FPD",595,"Custom Carton","input L"),0)</f>
        <v>input L</v>
      </c>
      <c r="N197" s="51" t="str" cm="1">
        <f t="array" ref="N197">IFERROR(_xlfn.SWITCH(L197,"R-FPA",285,"R-FPB",285,"R-FPC",325,"R-FPD",380,"Custom Carton","input W"),0)</f>
        <v>input W</v>
      </c>
      <c r="O197" s="51"/>
      <c r="P197" s="51">
        <f>IFERROR(IF(K197="",0,(M197+N197)*2+15),0)</f>
        <v>0</v>
      </c>
      <c r="Q197" s="51">
        <f>IFERROR(IF(K197="",0,(N197+O197)-10),0)</f>
        <v>0</v>
      </c>
      <c r="R197" s="53">
        <f xml:space="preserve"> P197 * Q197 * (1 + 2.5%) / 1000000</f>
        <v>0</v>
      </c>
      <c r="S197" s="125">
        <f>R197*'[3]RFQ_Matalan Carton'!$M$32</f>
        <v>0</v>
      </c>
      <c r="T197" s="124">
        <f>S197</f>
        <v>0</v>
      </c>
      <c r="U197" s="124">
        <f>I197*T197</f>
        <v>0</v>
      </c>
      <c r="V197" s="123">
        <f>((T197*I197)-W197)*7.5%</f>
        <v>0</v>
      </c>
      <c r="W197" s="124">
        <f>S197*I197*10%</f>
        <v>0</v>
      </c>
      <c r="X197" s="113"/>
    </row>
    <row r="198" spans="1:24">
      <c r="A198" s="118"/>
      <c r="B198" s="118"/>
      <c r="C198" s="119"/>
      <c r="D198" s="118"/>
      <c r="E198" s="118"/>
      <c r="F198" s="118"/>
      <c r="G198" s="119"/>
      <c r="H198" s="119"/>
      <c r="I198" s="119"/>
      <c r="J198" s="119" t="s">
        <v>121</v>
      </c>
      <c r="K198" s="119" t="s">
        <v>68</v>
      </c>
      <c r="L198" s="119" t="s">
        <v>109</v>
      </c>
      <c r="M198" s="51" t="str" cm="1">
        <f t="array" ref="M198">IFERROR(_xlfn.SWITCH(L198,"R-FPA",495,"R-FPB",595,"R-FPC",595,"R-FPD",595,"Custom Carton","input L"),0)</f>
        <v>input L</v>
      </c>
      <c r="N198" s="51" t="str" cm="1">
        <f t="array" ref="N198">IFERROR(_xlfn.SWITCH(L198,"R-FPA",285,"R-FPB",285,"R-FPC",325,"R-FPD",380,"Custom Carton","input W"),0)</f>
        <v>input W</v>
      </c>
      <c r="O198" s="51"/>
      <c r="P198" s="51">
        <f>IFERROR(IF(K198="",0,(M198+N198)*2+15),0)</f>
        <v>0</v>
      </c>
      <c r="Q198" s="51">
        <f>IFERROR(IF(K198="",0,(N198+O198)-10),0)</f>
        <v>0</v>
      </c>
      <c r="R198" s="53">
        <f xml:space="preserve"> P198 * Q198 * (1 + 2.5%) / 1000000</f>
        <v>0</v>
      </c>
      <c r="S198" s="125">
        <f>R198*'[3]RFQ_Matalan Carton'!$M$32</f>
        <v>0</v>
      </c>
      <c r="T198" s="124">
        <f>S198</f>
        <v>0</v>
      </c>
      <c r="U198" s="124">
        <f>I198*T198</f>
        <v>0</v>
      </c>
      <c r="V198" s="123">
        <f>((T198*I198)-W198)*7.5%</f>
        <v>0</v>
      </c>
      <c r="W198" s="124">
        <f>S198*I198*10%</f>
        <v>0</v>
      </c>
      <c r="X198" s="113"/>
    </row>
    <row r="199" spans="1:24">
      <c r="A199" s="118"/>
      <c r="B199" s="118"/>
      <c r="C199" s="119"/>
      <c r="D199" s="118"/>
      <c r="E199" s="118"/>
      <c r="F199" s="118"/>
      <c r="G199" s="119"/>
      <c r="H199" s="119"/>
      <c r="I199" s="119"/>
      <c r="J199" s="119" t="s">
        <v>121</v>
      </c>
      <c r="K199" s="119" t="s">
        <v>68</v>
      </c>
      <c r="L199" s="119" t="s">
        <v>109</v>
      </c>
      <c r="M199" s="51" t="str" cm="1">
        <f t="array" ref="M199">IFERROR(_xlfn.SWITCH(L199,"R-FPA",495,"R-FPB",595,"R-FPC",595,"R-FPD",595,"Custom Carton","input L"),0)</f>
        <v>input L</v>
      </c>
      <c r="N199" s="51" t="str" cm="1">
        <f t="array" ref="N199">IFERROR(_xlfn.SWITCH(L199,"R-FPA",285,"R-FPB",285,"R-FPC",325,"R-FPD",380,"Custom Carton","input W"),0)</f>
        <v>input W</v>
      </c>
      <c r="O199" s="51"/>
      <c r="P199" s="51">
        <f>IFERROR(IF(K199="",0,(M199+N199)*2+15),0)</f>
        <v>0</v>
      </c>
      <c r="Q199" s="51">
        <f>IFERROR(IF(K199="",0,(N199+O199)-10),0)</f>
        <v>0</v>
      </c>
      <c r="R199" s="53">
        <f xml:space="preserve"> P199 * Q199 * (1 + 2.5%) / 1000000</f>
        <v>0</v>
      </c>
      <c r="S199" s="125">
        <f>R199*'[3]RFQ_Matalan Carton'!$M$32</f>
        <v>0</v>
      </c>
      <c r="T199" s="124">
        <f>S199</f>
        <v>0</v>
      </c>
      <c r="U199" s="124">
        <f>I199*T199</f>
        <v>0</v>
      </c>
      <c r="V199" s="123">
        <f>((T199*I199)-W199)*7.5%</f>
        <v>0</v>
      </c>
      <c r="W199" s="124">
        <f>S199*I199*10%</f>
        <v>0</v>
      </c>
      <c r="X199" s="113"/>
    </row>
    <row r="200" spans="1:24">
      <c r="A200" s="118"/>
      <c r="B200" s="118"/>
      <c r="C200" s="119"/>
      <c r="D200" s="118"/>
      <c r="E200" s="118"/>
      <c r="F200" s="118"/>
      <c r="G200" s="119"/>
      <c r="H200" s="119"/>
      <c r="I200" s="119"/>
      <c r="J200" s="119" t="s">
        <v>121</v>
      </c>
      <c r="K200" s="119" t="s">
        <v>68</v>
      </c>
      <c r="L200" s="119" t="s">
        <v>109</v>
      </c>
      <c r="M200" s="51" t="str" cm="1">
        <f t="array" ref="M200">IFERROR(_xlfn.SWITCH(L200,"R-FPA",495,"R-FPB",595,"R-FPC",595,"R-FPD",595,"Custom Carton","input L"),0)</f>
        <v>input L</v>
      </c>
      <c r="N200" s="51" t="str" cm="1">
        <f t="array" ref="N200">IFERROR(_xlfn.SWITCH(L200,"R-FPA",285,"R-FPB",285,"R-FPC",325,"R-FPD",380,"Custom Carton","input W"),0)</f>
        <v>input W</v>
      </c>
      <c r="O200" s="51"/>
      <c r="P200" s="51">
        <f>IFERROR(IF(K200="",0,(M200+N200)*2+15),0)</f>
        <v>0</v>
      </c>
      <c r="Q200" s="51">
        <f>IFERROR(IF(K200="",0,(N200+O200)-10),0)</f>
        <v>0</v>
      </c>
      <c r="R200" s="53">
        <f xml:space="preserve"> P200 * Q200 * (1 + 2.5%) / 1000000</f>
        <v>0</v>
      </c>
      <c r="S200" s="125">
        <f>R200*'[3]RFQ_Matalan Carton'!$M$32</f>
        <v>0</v>
      </c>
      <c r="T200" s="124">
        <f>S200</f>
        <v>0</v>
      </c>
      <c r="U200" s="124">
        <f>I200*T200</f>
        <v>0</v>
      </c>
      <c r="V200" s="123">
        <f>((T200*I200)-W200)*7.5%</f>
        <v>0</v>
      </c>
      <c r="W200" s="124">
        <f>S200*I200*10%</f>
        <v>0</v>
      </c>
      <c r="X200" s="113"/>
    </row>
    <row r="201" spans="1:24">
      <c r="A201" s="118"/>
      <c r="B201" s="118"/>
      <c r="C201" s="119"/>
      <c r="D201" s="118"/>
      <c r="E201" s="118"/>
      <c r="F201" s="118"/>
      <c r="G201" s="119"/>
      <c r="H201" s="119"/>
      <c r="I201" s="119"/>
      <c r="J201" s="119" t="s">
        <v>121</v>
      </c>
      <c r="K201" s="119" t="s">
        <v>68</v>
      </c>
      <c r="L201" s="119" t="s">
        <v>109</v>
      </c>
      <c r="M201" s="51" t="str" cm="1">
        <f t="array" ref="M201">IFERROR(_xlfn.SWITCH(L201,"R-FPA",495,"R-FPB",595,"R-FPC",595,"R-FPD",595,"Custom Carton","input L"),0)</f>
        <v>input L</v>
      </c>
      <c r="N201" s="51" t="str" cm="1">
        <f t="array" ref="N201">IFERROR(_xlfn.SWITCH(L201,"R-FPA",285,"R-FPB",285,"R-FPC",325,"R-FPD",380,"Custom Carton","input W"),0)</f>
        <v>input W</v>
      </c>
      <c r="O201" s="51"/>
      <c r="P201" s="51">
        <f>IFERROR(IF(K201="",0,(M201+N201)*2+15),0)</f>
        <v>0</v>
      </c>
      <c r="Q201" s="51">
        <f>IFERROR(IF(K201="",0,(N201+O201)-10),0)</f>
        <v>0</v>
      </c>
      <c r="R201" s="53">
        <f xml:space="preserve"> P201 * Q201 * (1 + 2.5%) / 1000000</f>
        <v>0</v>
      </c>
      <c r="S201" s="125">
        <f>R201*'[3]RFQ_Matalan Carton'!$M$32</f>
        <v>0</v>
      </c>
      <c r="T201" s="124">
        <f>S201</f>
        <v>0</v>
      </c>
      <c r="U201" s="124">
        <f>I201*T201</f>
        <v>0</v>
      </c>
      <c r="V201" s="123">
        <f>((T201*I201)-W201)*7.5%</f>
        <v>0</v>
      </c>
      <c r="W201" s="124">
        <f>S201*I201*10%</f>
        <v>0</v>
      </c>
      <c r="X201" s="113"/>
    </row>
    <row r="202" spans="1:24">
      <c r="A202" s="118"/>
      <c r="B202" s="118"/>
      <c r="C202" s="119"/>
      <c r="D202" s="118"/>
      <c r="E202" s="118"/>
      <c r="F202" s="118"/>
      <c r="G202" s="119"/>
      <c r="H202" s="119"/>
      <c r="I202" s="119"/>
      <c r="J202" s="119" t="s">
        <v>121</v>
      </c>
      <c r="K202" s="119" t="s">
        <v>68</v>
      </c>
      <c r="L202" s="119" t="s">
        <v>109</v>
      </c>
      <c r="M202" s="51" t="str" cm="1">
        <f t="array" ref="M202">IFERROR(_xlfn.SWITCH(L202,"R-FPA",495,"R-FPB",595,"R-FPC",595,"R-FPD",595,"Custom Carton","input L"),0)</f>
        <v>input L</v>
      </c>
      <c r="N202" s="51" t="str" cm="1">
        <f t="array" ref="N202">IFERROR(_xlfn.SWITCH(L202,"R-FPA",285,"R-FPB",285,"R-FPC",325,"R-FPD",380,"Custom Carton","input W"),0)</f>
        <v>input W</v>
      </c>
      <c r="O202" s="51"/>
      <c r="P202" s="51">
        <f>IFERROR(IF(K202="",0,(M202+N202)*2+15),0)</f>
        <v>0</v>
      </c>
      <c r="Q202" s="51">
        <f>IFERROR(IF(K202="",0,(N202+O202)-10),0)</f>
        <v>0</v>
      </c>
      <c r="R202" s="53">
        <f xml:space="preserve"> P202 * Q202 * (1 + 2.5%) / 1000000</f>
        <v>0</v>
      </c>
      <c r="S202" s="125">
        <f>R202*'[3]RFQ_Matalan Carton'!$M$32</f>
        <v>0</v>
      </c>
      <c r="T202" s="124">
        <f>S202</f>
        <v>0</v>
      </c>
      <c r="U202" s="124">
        <f>I202*T202</f>
        <v>0</v>
      </c>
      <c r="V202" s="123">
        <f>((T202*I202)-W202)*7.5%</f>
        <v>0</v>
      </c>
      <c r="W202" s="124">
        <f>S202*I202*10%</f>
        <v>0</v>
      </c>
      <c r="X202" s="113"/>
    </row>
    <row r="203" spans="1:24">
      <c r="A203" s="118"/>
      <c r="B203" s="118"/>
      <c r="C203" s="119"/>
      <c r="D203" s="118"/>
      <c r="E203" s="118"/>
      <c r="F203" s="118"/>
      <c r="G203" s="119"/>
      <c r="H203" s="119"/>
      <c r="I203" s="119"/>
      <c r="J203" s="119" t="s">
        <v>121</v>
      </c>
      <c r="K203" s="119" t="s">
        <v>68</v>
      </c>
      <c r="L203" s="119" t="s">
        <v>109</v>
      </c>
      <c r="M203" s="51" t="str" cm="1">
        <f t="array" ref="M203">IFERROR(_xlfn.SWITCH(L203,"R-FPA",495,"R-FPB",595,"R-FPC",595,"R-FPD",595,"Custom Carton","input L"),0)</f>
        <v>input L</v>
      </c>
      <c r="N203" s="51" t="str" cm="1">
        <f t="array" ref="N203">IFERROR(_xlfn.SWITCH(L203,"R-FPA",285,"R-FPB",285,"R-FPC",325,"R-FPD",380,"Custom Carton","input W"),0)</f>
        <v>input W</v>
      </c>
      <c r="O203" s="51"/>
      <c r="P203" s="51">
        <f>IFERROR(IF(K203="",0,(M203+N203)*2+15),0)</f>
        <v>0</v>
      </c>
      <c r="Q203" s="51">
        <f>IFERROR(IF(K203="",0,(N203+O203)-10),0)</f>
        <v>0</v>
      </c>
      <c r="R203" s="53">
        <f xml:space="preserve"> P203 * Q203 * (1 + 2.5%) / 1000000</f>
        <v>0</v>
      </c>
      <c r="S203" s="125">
        <f>R203*'[3]RFQ_Matalan Carton'!$M$32</f>
        <v>0</v>
      </c>
      <c r="T203" s="124">
        <f>S203</f>
        <v>0</v>
      </c>
      <c r="U203" s="124">
        <f>I203*T203</f>
        <v>0</v>
      </c>
      <c r="V203" s="123">
        <f>((T203*I203)-W203)*7.5%</f>
        <v>0</v>
      </c>
      <c r="W203" s="124">
        <f>S203*I203*10%</f>
        <v>0</v>
      </c>
      <c r="X203" s="113"/>
    </row>
    <row r="204" spans="1:24">
      <c r="A204" s="118"/>
      <c r="B204" s="118"/>
      <c r="C204" s="119"/>
      <c r="D204" s="118"/>
      <c r="E204" s="118"/>
      <c r="F204" s="118"/>
      <c r="G204" s="119"/>
      <c r="H204" s="119"/>
      <c r="I204" s="119"/>
      <c r="J204" s="119" t="s">
        <v>121</v>
      </c>
      <c r="K204" s="119" t="s">
        <v>68</v>
      </c>
      <c r="L204" s="119" t="s">
        <v>109</v>
      </c>
      <c r="M204" s="51" t="str" cm="1">
        <f t="array" ref="M204">IFERROR(_xlfn.SWITCH(L204,"R-FPA",495,"R-FPB",595,"R-FPC",595,"R-FPD",595,"Custom Carton","input L"),0)</f>
        <v>input L</v>
      </c>
      <c r="N204" s="51" t="str" cm="1">
        <f t="array" ref="N204">IFERROR(_xlfn.SWITCH(L204,"R-FPA",285,"R-FPB",285,"R-FPC",325,"R-FPD",380,"Custom Carton","input W"),0)</f>
        <v>input W</v>
      </c>
      <c r="O204" s="51"/>
      <c r="P204" s="51">
        <f>IFERROR(IF(K204="",0,(M204+N204)*2+15),0)</f>
        <v>0</v>
      </c>
      <c r="Q204" s="51">
        <f>IFERROR(IF(K204="",0,(N204+O204)-10),0)</f>
        <v>0</v>
      </c>
      <c r="R204" s="53">
        <f xml:space="preserve"> P204 * Q204 * (1 + 2.5%) / 1000000</f>
        <v>0</v>
      </c>
      <c r="S204" s="125">
        <f>R204*'[3]RFQ_Matalan Carton'!$M$32</f>
        <v>0</v>
      </c>
      <c r="T204" s="124">
        <f>S204</f>
        <v>0</v>
      </c>
      <c r="U204" s="124">
        <f>I204*T204</f>
        <v>0</v>
      </c>
      <c r="V204" s="123">
        <f>((T204*I204)-W204)*7.5%</f>
        <v>0</v>
      </c>
      <c r="W204" s="124">
        <f>S204*I204*10%</f>
        <v>0</v>
      </c>
      <c r="X204" s="113"/>
    </row>
    <row r="205" spans="1:24">
      <c r="A205" s="118"/>
      <c r="B205" s="118"/>
      <c r="C205" s="119"/>
      <c r="D205" s="118"/>
      <c r="E205" s="118"/>
      <c r="F205" s="118"/>
      <c r="G205" s="119"/>
      <c r="H205" s="119"/>
      <c r="I205" s="119"/>
      <c r="J205" s="119" t="s">
        <v>121</v>
      </c>
      <c r="K205" s="119" t="s">
        <v>68</v>
      </c>
      <c r="L205" s="119" t="s">
        <v>109</v>
      </c>
      <c r="M205" s="51" t="str" cm="1">
        <f t="array" ref="M205">IFERROR(_xlfn.SWITCH(L205,"R-FPA",495,"R-FPB",595,"R-FPC",595,"R-FPD",595,"Custom Carton","input L"),0)</f>
        <v>input L</v>
      </c>
      <c r="N205" s="51" t="str" cm="1">
        <f t="array" ref="N205">IFERROR(_xlfn.SWITCH(L205,"R-FPA",285,"R-FPB",285,"R-FPC",325,"R-FPD",380,"Custom Carton","input W"),0)</f>
        <v>input W</v>
      </c>
      <c r="O205" s="51"/>
      <c r="P205" s="51">
        <f>IFERROR(IF(K205="",0,(M205+N205)*2+15),0)</f>
        <v>0</v>
      </c>
      <c r="Q205" s="51">
        <f>IFERROR(IF(K205="",0,(N205+O205)-10),0)</f>
        <v>0</v>
      </c>
      <c r="R205" s="53">
        <f xml:space="preserve"> P205 * Q205 * (1 + 2.5%) / 1000000</f>
        <v>0</v>
      </c>
      <c r="S205" s="125">
        <f>R205*'[3]RFQ_Matalan Carton'!$M$32</f>
        <v>0</v>
      </c>
      <c r="T205" s="124">
        <f>S205</f>
        <v>0</v>
      </c>
      <c r="U205" s="124">
        <f>I205*T205</f>
        <v>0</v>
      </c>
      <c r="V205" s="123">
        <f>((T205*I205)-W205)*7.5%</f>
        <v>0</v>
      </c>
      <c r="W205" s="124">
        <f>S205*I205*10%</f>
        <v>0</v>
      </c>
      <c r="X205" s="113"/>
    </row>
    <row r="206" spans="1:24">
      <c r="A206" s="118"/>
      <c r="B206" s="118"/>
      <c r="C206" s="119"/>
      <c r="D206" s="118"/>
      <c r="E206" s="118"/>
      <c r="F206" s="118"/>
      <c r="G206" s="119"/>
      <c r="H206" s="119"/>
      <c r="I206" s="119"/>
      <c r="J206" s="119" t="s">
        <v>121</v>
      </c>
      <c r="K206" s="119" t="s">
        <v>68</v>
      </c>
      <c r="L206" s="119" t="s">
        <v>109</v>
      </c>
      <c r="M206" s="51" t="str" cm="1">
        <f t="array" ref="M206">IFERROR(_xlfn.SWITCH(L206,"R-FPA",495,"R-FPB",595,"R-FPC",595,"R-FPD",595,"Custom Carton","input L"),0)</f>
        <v>input L</v>
      </c>
      <c r="N206" s="51" t="str" cm="1">
        <f t="array" ref="N206">IFERROR(_xlfn.SWITCH(L206,"R-FPA",285,"R-FPB",285,"R-FPC",325,"R-FPD",380,"Custom Carton","input W"),0)</f>
        <v>input W</v>
      </c>
      <c r="O206" s="51"/>
      <c r="P206" s="51">
        <f>IFERROR(IF(K206="",0,(M206+N206)*2+15),0)</f>
        <v>0</v>
      </c>
      <c r="Q206" s="51">
        <f>IFERROR(IF(K206="",0,(N206+O206)-10),0)</f>
        <v>0</v>
      </c>
      <c r="R206" s="53">
        <f xml:space="preserve"> P206 * Q206 * (1 + 2.5%) / 1000000</f>
        <v>0</v>
      </c>
      <c r="S206" s="125">
        <f>R206*'[3]RFQ_Matalan Carton'!$M$32</f>
        <v>0</v>
      </c>
      <c r="T206" s="124">
        <f>S206</f>
        <v>0</v>
      </c>
      <c r="U206" s="124">
        <f>I206*T206</f>
        <v>0</v>
      </c>
      <c r="V206" s="123">
        <f>((T206*I206)-W206)*7.5%</f>
        <v>0</v>
      </c>
      <c r="W206" s="124">
        <f>S206*I206*10%</f>
        <v>0</v>
      </c>
      <c r="X206" s="113"/>
    </row>
    <row r="207" spans="1:24">
      <c r="A207" s="118"/>
      <c r="B207" s="118"/>
      <c r="C207" s="119"/>
      <c r="D207" s="118"/>
      <c r="E207" s="118"/>
      <c r="F207" s="118"/>
      <c r="G207" s="119"/>
      <c r="H207" s="119"/>
      <c r="I207" s="119"/>
      <c r="J207" s="119" t="s">
        <v>121</v>
      </c>
      <c r="K207" s="119" t="s">
        <v>68</v>
      </c>
      <c r="L207" s="119" t="s">
        <v>109</v>
      </c>
      <c r="M207" s="51" t="str" cm="1">
        <f t="array" ref="M207">IFERROR(_xlfn.SWITCH(L207,"R-FPA",495,"R-FPB",595,"R-FPC",595,"R-FPD",595,"Custom Carton","input L"),0)</f>
        <v>input L</v>
      </c>
      <c r="N207" s="51" t="str" cm="1">
        <f t="array" ref="N207">IFERROR(_xlfn.SWITCH(L207,"R-FPA",285,"R-FPB",285,"R-FPC",325,"R-FPD",380,"Custom Carton","input W"),0)</f>
        <v>input W</v>
      </c>
      <c r="O207" s="51"/>
      <c r="P207" s="51">
        <f>IFERROR(IF(K207="",0,(M207+N207)*2+15),0)</f>
        <v>0</v>
      </c>
      <c r="Q207" s="51">
        <f>IFERROR(IF(K207="",0,(N207+O207)-10),0)</f>
        <v>0</v>
      </c>
      <c r="R207" s="53">
        <f xml:space="preserve"> P207 * Q207 * (1 + 2.5%) / 1000000</f>
        <v>0</v>
      </c>
      <c r="S207" s="125">
        <f>R207*'[3]RFQ_Matalan Carton'!$M$32</f>
        <v>0</v>
      </c>
      <c r="T207" s="124">
        <f>S207</f>
        <v>0</v>
      </c>
      <c r="U207" s="124">
        <f>I207*T207</f>
        <v>0</v>
      </c>
      <c r="V207" s="123">
        <f>((T207*I207)-W207)*7.5%</f>
        <v>0</v>
      </c>
      <c r="W207" s="124">
        <f>S207*I207*10%</f>
        <v>0</v>
      </c>
      <c r="X207" s="113"/>
    </row>
    <row r="208" spans="1:24">
      <c r="A208" s="118"/>
      <c r="B208" s="118"/>
      <c r="C208" s="119"/>
      <c r="D208" s="118"/>
      <c r="E208" s="118"/>
      <c r="F208" s="118"/>
      <c r="G208" s="119"/>
      <c r="H208" s="119"/>
      <c r="I208" s="119"/>
      <c r="J208" s="119" t="s">
        <v>121</v>
      </c>
      <c r="K208" s="119" t="s">
        <v>68</v>
      </c>
      <c r="L208" s="119" t="s">
        <v>109</v>
      </c>
      <c r="M208" s="51" t="str" cm="1">
        <f t="array" ref="M208">IFERROR(_xlfn.SWITCH(L208,"R-FPA",495,"R-FPB",595,"R-FPC",595,"R-FPD",595,"Custom Carton","input L"),0)</f>
        <v>input L</v>
      </c>
      <c r="N208" s="51" t="str" cm="1">
        <f t="array" ref="N208">IFERROR(_xlfn.SWITCH(L208,"R-FPA",285,"R-FPB",285,"R-FPC",325,"R-FPD",380,"Custom Carton","input W"),0)</f>
        <v>input W</v>
      </c>
      <c r="O208" s="51"/>
      <c r="P208" s="51">
        <f>IFERROR(IF(K208="",0,(M208+N208)*2+15),0)</f>
        <v>0</v>
      </c>
      <c r="Q208" s="51">
        <f>IFERROR(IF(K208="",0,(N208+O208)-10),0)</f>
        <v>0</v>
      </c>
      <c r="R208" s="53">
        <f xml:space="preserve"> P208 * Q208 * (1 + 2.5%) / 1000000</f>
        <v>0</v>
      </c>
      <c r="S208" s="125">
        <f>R208*'[3]RFQ_Matalan Carton'!$M$32</f>
        <v>0</v>
      </c>
      <c r="T208" s="124">
        <f>S208</f>
        <v>0</v>
      </c>
      <c r="U208" s="124">
        <f>I208*T208</f>
        <v>0</v>
      </c>
      <c r="V208" s="123">
        <f>((T208*I208)-W208)*7.5%</f>
        <v>0</v>
      </c>
      <c r="W208" s="124">
        <f>S208*I208*10%</f>
        <v>0</v>
      </c>
      <c r="X208" s="113"/>
    </row>
    <row r="209" spans="1:24">
      <c r="A209" s="118"/>
      <c r="B209" s="118"/>
      <c r="C209" s="119"/>
      <c r="D209" s="118"/>
      <c r="E209" s="118"/>
      <c r="F209" s="118"/>
      <c r="G209" s="119"/>
      <c r="H209" s="119"/>
      <c r="I209" s="119"/>
      <c r="J209" s="119" t="s">
        <v>121</v>
      </c>
      <c r="K209" s="119" t="s">
        <v>68</v>
      </c>
      <c r="L209" s="119" t="s">
        <v>109</v>
      </c>
      <c r="M209" s="51" t="str" cm="1">
        <f t="array" ref="M209">IFERROR(_xlfn.SWITCH(L209,"R-FPA",495,"R-FPB",595,"R-FPC",595,"R-FPD",595,"Custom Carton","input L"),0)</f>
        <v>input L</v>
      </c>
      <c r="N209" s="51" t="str" cm="1">
        <f t="array" ref="N209">IFERROR(_xlfn.SWITCH(L209,"R-FPA",285,"R-FPB",285,"R-FPC",325,"R-FPD",380,"Custom Carton","input W"),0)</f>
        <v>input W</v>
      </c>
      <c r="O209" s="51"/>
      <c r="P209" s="51">
        <f>IFERROR(IF(K209="",0,(M209+N209)*2+15),0)</f>
        <v>0</v>
      </c>
      <c r="Q209" s="51">
        <f>IFERROR(IF(K209="",0,(N209+O209)-10),0)</f>
        <v>0</v>
      </c>
      <c r="R209" s="53">
        <f xml:space="preserve"> P209 * Q209 * (1 + 2.5%) / 1000000</f>
        <v>0</v>
      </c>
      <c r="S209" s="125">
        <f>R209*'[3]RFQ_Matalan Carton'!$M$32</f>
        <v>0</v>
      </c>
      <c r="T209" s="124">
        <f>S209</f>
        <v>0</v>
      </c>
      <c r="U209" s="124">
        <f>I209*T209</f>
        <v>0</v>
      </c>
      <c r="V209" s="123">
        <f>((T209*I209)-W209)*7.5%</f>
        <v>0</v>
      </c>
      <c r="W209" s="124">
        <f>S209*I209*10%</f>
        <v>0</v>
      </c>
      <c r="X209" s="113"/>
    </row>
    <row r="210" spans="1:24">
      <c r="A210" s="118"/>
      <c r="B210" s="118"/>
      <c r="C210" s="119"/>
      <c r="D210" s="118"/>
      <c r="E210" s="118"/>
      <c r="F210" s="118"/>
      <c r="G210" s="119"/>
      <c r="H210" s="119"/>
      <c r="I210" s="119"/>
      <c r="J210" s="119" t="s">
        <v>121</v>
      </c>
      <c r="K210" s="119" t="s">
        <v>68</v>
      </c>
      <c r="L210" s="119" t="s">
        <v>109</v>
      </c>
      <c r="M210" s="51" t="str" cm="1">
        <f t="array" ref="M210">IFERROR(_xlfn.SWITCH(L210,"R-FPA",495,"R-FPB",595,"R-FPC",595,"R-FPD",595,"Custom Carton","input L"),0)</f>
        <v>input L</v>
      </c>
      <c r="N210" s="51" t="str" cm="1">
        <f t="array" ref="N210">IFERROR(_xlfn.SWITCH(L210,"R-FPA",285,"R-FPB",285,"R-FPC",325,"R-FPD",380,"Custom Carton","input W"),0)</f>
        <v>input W</v>
      </c>
      <c r="O210" s="51"/>
      <c r="P210" s="51">
        <f>IFERROR(IF(K210="",0,(M210+N210)*2+15),0)</f>
        <v>0</v>
      </c>
      <c r="Q210" s="51">
        <f>IFERROR(IF(K210="",0,(N210+O210)-10),0)</f>
        <v>0</v>
      </c>
      <c r="R210" s="53">
        <f xml:space="preserve"> P210 * Q210 * (1 + 2.5%) / 1000000</f>
        <v>0</v>
      </c>
      <c r="S210" s="125">
        <f>R210*'[3]RFQ_Matalan Carton'!$M$32</f>
        <v>0</v>
      </c>
      <c r="T210" s="124">
        <f>S210</f>
        <v>0</v>
      </c>
      <c r="U210" s="124">
        <f>I210*T210</f>
        <v>0</v>
      </c>
      <c r="V210" s="123">
        <f>((T210*I210)-W210)*7.5%</f>
        <v>0</v>
      </c>
      <c r="W210" s="124">
        <f>S210*I210*10%</f>
        <v>0</v>
      </c>
      <c r="X210" s="113"/>
    </row>
    <row r="211" spans="1:24">
      <c r="A211" s="118"/>
      <c r="B211" s="118"/>
      <c r="C211" s="119"/>
      <c r="D211" s="118"/>
      <c r="E211" s="118"/>
      <c r="F211" s="118"/>
      <c r="G211" s="119"/>
      <c r="H211" s="119"/>
      <c r="I211" s="119"/>
      <c r="J211" s="119" t="s">
        <v>121</v>
      </c>
      <c r="K211" s="119" t="s">
        <v>68</v>
      </c>
      <c r="L211" s="119" t="s">
        <v>109</v>
      </c>
      <c r="M211" s="51" t="str" cm="1">
        <f t="array" ref="M211">IFERROR(_xlfn.SWITCH(L211,"R-FPA",495,"R-FPB",595,"R-FPC",595,"R-FPD",595,"Custom Carton","input L"),0)</f>
        <v>input L</v>
      </c>
      <c r="N211" s="51" t="str" cm="1">
        <f t="array" ref="N211">IFERROR(_xlfn.SWITCH(L211,"R-FPA",285,"R-FPB",285,"R-FPC",325,"R-FPD",380,"Custom Carton","input W"),0)</f>
        <v>input W</v>
      </c>
      <c r="O211" s="51"/>
      <c r="P211" s="51">
        <f>IFERROR(IF(K211="",0,(M211+N211)*2+15),0)</f>
        <v>0</v>
      </c>
      <c r="Q211" s="51">
        <f>IFERROR(IF(K211="",0,(N211+O211)-10),0)</f>
        <v>0</v>
      </c>
      <c r="R211" s="53">
        <f xml:space="preserve"> P211 * Q211 * (1 + 2.5%) / 1000000</f>
        <v>0</v>
      </c>
      <c r="S211" s="125">
        <f>R211*'[3]RFQ_Matalan Carton'!$M$32</f>
        <v>0</v>
      </c>
      <c r="T211" s="124">
        <f>S211</f>
        <v>0</v>
      </c>
      <c r="U211" s="124">
        <f>I211*T211</f>
        <v>0</v>
      </c>
      <c r="V211" s="123">
        <f>((T211*I211)-W211)*7.5%</f>
        <v>0</v>
      </c>
      <c r="W211" s="124">
        <f>S211*I211*10%</f>
        <v>0</v>
      </c>
      <c r="X211" s="113"/>
    </row>
    <row r="212" spans="1:24">
      <c r="A212" s="118"/>
      <c r="B212" s="118"/>
      <c r="C212" s="119"/>
      <c r="D212" s="118"/>
      <c r="E212" s="118"/>
      <c r="F212" s="118"/>
      <c r="G212" s="119"/>
      <c r="H212" s="119"/>
      <c r="I212" s="119"/>
      <c r="J212" s="119" t="s">
        <v>121</v>
      </c>
      <c r="K212" s="119" t="s">
        <v>68</v>
      </c>
      <c r="L212" s="119" t="s">
        <v>109</v>
      </c>
      <c r="M212" s="51" t="str" cm="1">
        <f t="array" ref="M212">IFERROR(_xlfn.SWITCH(L212,"R-FPA",495,"R-FPB",595,"R-FPC",595,"R-FPD",595,"Custom Carton","input L"),0)</f>
        <v>input L</v>
      </c>
      <c r="N212" s="51" t="str" cm="1">
        <f t="array" ref="N212">IFERROR(_xlfn.SWITCH(L212,"R-FPA",285,"R-FPB",285,"R-FPC",325,"R-FPD",380,"Custom Carton","input W"),0)</f>
        <v>input W</v>
      </c>
      <c r="O212" s="51"/>
      <c r="P212" s="51">
        <f>IFERROR(IF(K212="",0,(M212+N212)*2+15),0)</f>
        <v>0</v>
      </c>
      <c r="Q212" s="51">
        <f>IFERROR(IF(K212="",0,(N212+O212)-10),0)</f>
        <v>0</v>
      </c>
      <c r="R212" s="53">
        <f xml:space="preserve"> P212 * Q212 * (1 + 2.5%) / 1000000</f>
        <v>0</v>
      </c>
      <c r="S212" s="125">
        <f>R212*'[3]RFQ_Matalan Carton'!$M$32</f>
        <v>0</v>
      </c>
      <c r="T212" s="124">
        <f>S212</f>
        <v>0</v>
      </c>
      <c r="U212" s="124">
        <f>I212*T212</f>
        <v>0</v>
      </c>
      <c r="V212" s="123">
        <f>((T212*I212)-W212)*7.5%</f>
        <v>0</v>
      </c>
      <c r="W212" s="124">
        <f>S212*I212*10%</f>
        <v>0</v>
      </c>
      <c r="X212" s="113"/>
    </row>
    <row r="213" spans="1:24">
      <c r="A213" s="118"/>
      <c r="B213" s="118"/>
      <c r="C213" s="119"/>
      <c r="D213" s="118"/>
      <c r="E213" s="118"/>
      <c r="F213" s="118"/>
      <c r="G213" s="119"/>
      <c r="H213" s="119"/>
      <c r="I213" s="119"/>
      <c r="J213" s="119" t="s">
        <v>121</v>
      </c>
      <c r="K213" s="119" t="s">
        <v>68</v>
      </c>
      <c r="L213" s="119" t="s">
        <v>109</v>
      </c>
      <c r="M213" s="51" t="str" cm="1">
        <f t="array" ref="M213">IFERROR(_xlfn.SWITCH(L213,"R-FPA",495,"R-FPB",595,"R-FPC",595,"R-FPD",595,"Custom Carton","input L"),0)</f>
        <v>input L</v>
      </c>
      <c r="N213" s="51" t="str" cm="1">
        <f t="array" ref="N213">IFERROR(_xlfn.SWITCH(L213,"R-FPA",285,"R-FPB",285,"R-FPC",325,"R-FPD",380,"Custom Carton","input W"),0)</f>
        <v>input W</v>
      </c>
      <c r="O213" s="51"/>
      <c r="P213" s="51">
        <f>IFERROR(IF(K213="",0,(M213+N213)*2+15),0)</f>
        <v>0</v>
      </c>
      <c r="Q213" s="51">
        <f>IFERROR(IF(K213="",0,(N213+O213)-10),0)</f>
        <v>0</v>
      </c>
      <c r="R213" s="53">
        <f xml:space="preserve"> P213 * Q213 * (1 + 2.5%) / 1000000</f>
        <v>0</v>
      </c>
      <c r="S213" s="125">
        <f>R213*'[3]RFQ_Matalan Carton'!$M$32</f>
        <v>0</v>
      </c>
      <c r="T213" s="124">
        <f>S213</f>
        <v>0</v>
      </c>
      <c r="U213" s="124">
        <f>I213*T213</f>
        <v>0</v>
      </c>
      <c r="V213" s="123">
        <f>((T213*I213)-W213)*7.5%</f>
        <v>0</v>
      </c>
      <c r="W213" s="124">
        <f>S213*I213*10%</f>
        <v>0</v>
      </c>
      <c r="X213" s="113"/>
    </row>
    <row r="214" spans="1:24">
      <c r="A214" s="118"/>
      <c r="B214" s="118"/>
      <c r="C214" s="119"/>
      <c r="D214" s="118"/>
      <c r="E214" s="118"/>
      <c r="F214" s="118"/>
      <c r="G214" s="119"/>
      <c r="H214" s="119"/>
      <c r="I214" s="119"/>
      <c r="J214" s="119" t="s">
        <v>121</v>
      </c>
      <c r="K214" s="119" t="s">
        <v>68</v>
      </c>
      <c r="L214" s="119" t="s">
        <v>109</v>
      </c>
      <c r="M214" s="51" t="str" cm="1">
        <f t="array" ref="M214">IFERROR(_xlfn.SWITCH(L214,"R-FPA",495,"R-FPB",595,"R-FPC",595,"R-FPD",595,"Custom Carton","input L"),0)</f>
        <v>input L</v>
      </c>
      <c r="N214" s="51" t="str" cm="1">
        <f t="array" ref="N214">IFERROR(_xlfn.SWITCH(L214,"R-FPA",285,"R-FPB",285,"R-FPC",325,"R-FPD",380,"Custom Carton","input W"),0)</f>
        <v>input W</v>
      </c>
      <c r="O214" s="51"/>
      <c r="P214" s="51">
        <f>IFERROR(IF(K214="",0,(M214+N214)*2+15),0)</f>
        <v>0</v>
      </c>
      <c r="Q214" s="51">
        <f>IFERROR(IF(K214="",0,(N214+O214)-10),0)</f>
        <v>0</v>
      </c>
      <c r="R214" s="53">
        <f xml:space="preserve"> P214 * Q214 * (1 + 2.5%) / 1000000</f>
        <v>0</v>
      </c>
      <c r="S214" s="125">
        <f>R214*'[3]RFQ_Matalan Carton'!$M$32</f>
        <v>0</v>
      </c>
      <c r="T214" s="124">
        <f>S214</f>
        <v>0</v>
      </c>
      <c r="U214" s="124">
        <f>I214*T214</f>
        <v>0</v>
      </c>
      <c r="V214" s="123">
        <f>((T214*I214)-W214)*7.5%</f>
        <v>0</v>
      </c>
      <c r="W214" s="124">
        <f>S214*I214*10%</f>
        <v>0</v>
      </c>
      <c r="X214" s="113"/>
    </row>
    <row r="215" spans="1:24">
      <c r="A215" s="118"/>
      <c r="B215" s="118"/>
      <c r="C215" s="119"/>
      <c r="D215" s="118"/>
      <c r="E215" s="118"/>
      <c r="F215" s="118"/>
      <c r="G215" s="119"/>
      <c r="H215" s="119"/>
      <c r="I215" s="119"/>
      <c r="J215" s="119" t="s">
        <v>121</v>
      </c>
      <c r="K215" s="119" t="s">
        <v>68</v>
      </c>
      <c r="L215" s="119" t="s">
        <v>109</v>
      </c>
      <c r="M215" s="51" t="str" cm="1">
        <f t="array" ref="M215">IFERROR(_xlfn.SWITCH(L215,"R-FPA",495,"R-FPB",595,"R-FPC",595,"R-FPD",595,"Custom Carton","input L"),0)</f>
        <v>input L</v>
      </c>
      <c r="N215" s="51" t="str" cm="1">
        <f t="array" ref="N215">IFERROR(_xlfn.SWITCH(L215,"R-FPA",285,"R-FPB",285,"R-FPC",325,"R-FPD",380,"Custom Carton","input W"),0)</f>
        <v>input W</v>
      </c>
      <c r="O215" s="51"/>
      <c r="P215" s="51">
        <f>IFERROR(IF(K215="",0,(M215+N215)*2+15),0)</f>
        <v>0</v>
      </c>
      <c r="Q215" s="51">
        <f>IFERROR(IF(K215="",0,(N215+O215)-10),0)</f>
        <v>0</v>
      </c>
      <c r="R215" s="53">
        <f xml:space="preserve"> P215 * Q215 * (1 + 2.5%) / 1000000</f>
        <v>0</v>
      </c>
      <c r="S215" s="125">
        <f>R215*'[3]RFQ_Matalan Carton'!$M$32</f>
        <v>0</v>
      </c>
      <c r="T215" s="124">
        <f>S215</f>
        <v>0</v>
      </c>
      <c r="U215" s="124">
        <f>I215*T215</f>
        <v>0</v>
      </c>
      <c r="V215" s="123">
        <f>((T215*I215)-W215)*7.5%</f>
        <v>0</v>
      </c>
      <c r="W215" s="124">
        <f>S215*I215*10%</f>
        <v>0</v>
      </c>
      <c r="X215" s="113"/>
    </row>
    <row r="216" spans="1:24">
      <c r="A216" s="118"/>
      <c r="B216" s="118"/>
      <c r="C216" s="119"/>
      <c r="D216" s="118"/>
      <c r="E216" s="118"/>
      <c r="F216" s="118"/>
      <c r="G216" s="119"/>
      <c r="H216" s="119"/>
      <c r="I216" s="119"/>
      <c r="J216" s="119" t="s">
        <v>121</v>
      </c>
      <c r="K216" s="119" t="s">
        <v>68</v>
      </c>
      <c r="L216" s="119" t="s">
        <v>109</v>
      </c>
      <c r="M216" s="51" t="str" cm="1">
        <f t="array" ref="M216">IFERROR(_xlfn.SWITCH(L216,"R-FPA",495,"R-FPB",595,"R-FPC",595,"R-FPD",595,"Custom Carton","input L"),0)</f>
        <v>input L</v>
      </c>
      <c r="N216" s="51" t="str" cm="1">
        <f t="array" ref="N216">IFERROR(_xlfn.SWITCH(L216,"R-FPA",285,"R-FPB",285,"R-FPC",325,"R-FPD",380,"Custom Carton","input W"),0)</f>
        <v>input W</v>
      </c>
      <c r="O216" s="51"/>
      <c r="P216" s="51">
        <f>IFERROR(IF(K216="",0,(M216+N216)*2+15),0)</f>
        <v>0</v>
      </c>
      <c r="Q216" s="51">
        <f>IFERROR(IF(K216="",0,(N216+O216)-10),0)</f>
        <v>0</v>
      </c>
      <c r="R216" s="53">
        <f xml:space="preserve"> P216 * Q216 * (1 + 2.5%) / 1000000</f>
        <v>0</v>
      </c>
      <c r="S216" s="125">
        <f>R216*'[3]RFQ_Matalan Carton'!$M$32</f>
        <v>0</v>
      </c>
      <c r="T216" s="124">
        <f>S216</f>
        <v>0</v>
      </c>
      <c r="U216" s="124">
        <f>I216*T216</f>
        <v>0</v>
      </c>
      <c r="V216" s="123">
        <f>((T216*I216)-W216)*7.5%</f>
        <v>0</v>
      </c>
      <c r="W216" s="124">
        <f>S216*I216*10%</f>
        <v>0</v>
      </c>
      <c r="X216" s="113"/>
    </row>
    <row r="217" spans="1:24">
      <c r="A217" s="118"/>
      <c r="B217" s="120"/>
      <c r="C217" s="119"/>
      <c r="D217" s="118"/>
      <c r="E217" s="118"/>
      <c r="F217" s="118"/>
      <c r="G217" s="119"/>
      <c r="H217" s="119"/>
      <c r="I217" s="119"/>
      <c r="J217" s="119" t="s">
        <v>121</v>
      </c>
      <c r="K217" s="119" t="s">
        <v>68</v>
      </c>
      <c r="L217" s="119" t="s">
        <v>109</v>
      </c>
      <c r="M217" s="51" t="str" cm="1">
        <f t="array" ref="M217">IFERROR(_xlfn.SWITCH(L217,"R-FPA",495,"R-FPB",595,"R-FPC",595,"R-FPD",595,"Custom Carton","input L"),0)</f>
        <v>input L</v>
      </c>
      <c r="N217" s="51" t="str" cm="1">
        <f t="array" ref="N217">IFERROR(_xlfn.SWITCH(L217,"R-FPA",285,"R-FPB",285,"R-FPC",325,"R-FPD",380,"Custom Carton","input W"),0)</f>
        <v>input W</v>
      </c>
      <c r="O217" s="51"/>
      <c r="P217" s="51">
        <f>IFERROR(IF(K217="",0,(M217+N217)*2+15),0)</f>
        <v>0</v>
      </c>
      <c r="Q217" s="51">
        <f>IFERROR(IF(K217="",0,(N217+O217)-10),0)</f>
        <v>0</v>
      </c>
      <c r="R217" s="53">
        <f xml:space="preserve"> P217 * Q217 * (1 + 2.5%) / 1000000</f>
        <v>0</v>
      </c>
      <c r="S217" s="125">
        <f>R217*'[3]RFQ_Matalan Carton'!$M$32</f>
        <v>0</v>
      </c>
      <c r="T217" s="124">
        <f>S217</f>
        <v>0</v>
      </c>
      <c r="U217" s="124">
        <f>I217*T217</f>
        <v>0</v>
      </c>
      <c r="V217" s="123">
        <f>((T217*I217)-W217)*7.5%</f>
        <v>0</v>
      </c>
      <c r="W217" s="124">
        <f>S217*I217*10%</f>
        <v>0</v>
      </c>
      <c r="X217" s="113"/>
    </row>
    <row r="218" spans="1:24">
      <c r="A218" s="118"/>
      <c r="B218" s="118"/>
      <c r="C218" s="119"/>
      <c r="D218" s="118"/>
      <c r="E218" s="118"/>
      <c r="F218" s="118"/>
      <c r="G218" s="119"/>
      <c r="H218" s="119"/>
      <c r="I218" s="119"/>
      <c r="J218" s="119" t="s">
        <v>121</v>
      </c>
      <c r="K218" s="119" t="s">
        <v>68</v>
      </c>
      <c r="L218" s="119" t="s">
        <v>109</v>
      </c>
      <c r="M218" s="51" t="str" cm="1">
        <f t="array" ref="M218">IFERROR(_xlfn.SWITCH(L218,"R-FPA",495,"R-FPB",595,"R-FPC",595,"R-FPD",595,"Custom Carton","input L"),0)</f>
        <v>input L</v>
      </c>
      <c r="N218" s="51" t="str" cm="1">
        <f t="array" ref="N218">IFERROR(_xlfn.SWITCH(L218,"R-FPA",285,"R-FPB",285,"R-FPC",325,"R-FPD",380,"Custom Carton","input W"),0)</f>
        <v>input W</v>
      </c>
      <c r="O218" s="51"/>
      <c r="P218" s="51">
        <f>IFERROR(IF(K218="",0,(M218+N218)*2+15),0)</f>
        <v>0</v>
      </c>
      <c r="Q218" s="51">
        <f>IFERROR(IF(K218="",0,(N218+O218)-10),0)</f>
        <v>0</v>
      </c>
      <c r="R218" s="53">
        <f xml:space="preserve"> P218 * Q218 * (1 + 2.5%) / 1000000</f>
        <v>0</v>
      </c>
      <c r="S218" s="125">
        <f>R218*'[3]RFQ_Matalan Carton'!$M$32</f>
        <v>0</v>
      </c>
      <c r="T218" s="124">
        <f>S218</f>
        <v>0</v>
      </c>
      <c r="U218" s="124">
        <f>I218*T218</f>
        <v>0</v>
      </c>
      <c r="V218" s="123">
        <f>((T218*I218)-W218)*7.5%</f>
        <v>0</v>
      </c>
      <c r="W218" s="124">
        <f>S218*I218*10%</f>
        <v>0</v>
      </c>
      <c r="X218" s="113"/>
    </row>
    <row r="219" spans="1:24">
      <c r="A219" s="118"/>
      <c r="B219" s="118"/>
      <c r="C219" s="119"/>
      <c r="D219" s="118"/>
      <c r="E219" s="118"/>
      <c r="F219" s="118"/>
      <c r="G219" s="119"/>
      <c r="H219" s="119"/>
      <c r="I219" s="119"/>
      <c r="J219" s="119" t="s">
        <v>121</v>
      </c>
      <c r="K219" s="119" t="s">
        <v>68</v>
      </c>
      <c r="L219" s="119" t="s">
        <v>109</v>
      </c>
      <c r="M219" s="51" t="str" cm="1">
        <f t="array" ref="M219">IFERROR(_xlfn.SWITCH(L219,"R-FPA",495,"R-FPB",595,"R-FPC",595,"R-FPD",595,"Custom Carton","input L"),0)</f>
        <v>input L</v>
      </c>
      <c r="N219" s="51" t="str" cm="1">
        <f t="array" ref="N219">IFERROR(_xlfn.SWITCH(L219,"R-FPA",285,"R-FPB",285,"R-FPC",325,"R-FPD",380,"Custom Carton","input W"),0)</f>
        <v>input W</v>
      </c>
      <c r="O219" s="51"/>
      <c r="P219" s="51">
        <f>IFERROR(IF(K219="",0,(M219+N219)*2+15),0)</f>
        <v>0</v>
      </c>
      <c r="Q219" s="51">
        <f>IFERROR(IF(K219="",0,(N219+O219)-10),0)</f>
        <v>0</v>
      </c>
      <c r="R219" s="53">
        <f xml:space="preserve"> P219 * Q219 * (1 + 2.5%) / 1000000</f>
        <v>0</v>
      </c>
      <c r="S219" s="125">
        <f>R219*'[3]RFQ_Matalan Carton'!$M$32</f>
        <v>0</v>
      </c>
      <c r="T219" s="124">
        <f>S219</f>
        <v>0</v>
      </c>
      <c r="U219" s="124">
        <f>I219*T219</f>
        <v>0</v>
      </c>
      <c r="V219" s="123">
        <f>((T219*I219)-W219)*7.5%</f>
        <v>0</v>
      </c>
      <c r="W219" s="124">
        <f>S219*I219*10%</f>
        <v>0</v>
      </c>
      <c r="X219" s="113"/>
    </row>
    <row r="220" spans="1:24">
      <c r="A220" s="118"/>
      <c r="B220" s="118"/>
      <c r="C220" s="119"/>
      <c r="D220" s="118"/>
      <c r="E220" s="118"/>
      <c r="F220" s="118"/>
      <c r="G220" s="119"/>
      <c r="H220" s="119"/>
      <c r="I220" s="119"/>
      <c r="J220" s="119" t="s">
        <v>121</v>
      </c>
      <c r="K220" s="119" t="s">
        <v>68</v>
      </c>
      <c r="L220" s="119" t="s">
        <v>109</v>
      </c>
      <c r="M220" s="51" t="str" cm="1">
        <f t="array" ref="M220">IFERROR(_xlfn.SWITCH(L220,"R-FPA",495,"R-FPB",595,"R-FPC",595,"R-FPD",595,"Custom Carton","input L"),0)</f>
        <v>input L</v>
      </c>
      <c r="N220" s="51" t="str" cm="1">
        <f t="array" ref="N220">IFERROR(_xlfn.SWITCH(L220,"R-FPA",285,"R-FPB",285,"R-FPC",325,"R-FPD",380,"Custom Carton","input W"),0)</f>
        <v>input W</v>
      </c>
      <c r="O220" s="51"/>
      <c r="P220" s="51">
        <f>IFERROR(IF(K220="",0,(M220+N220)*2+15),0)</f>
        <v>0</v>
      </c>
      <c r="Q220" s="51">
        <f>IFERROR(IF(K220="",0,(N220+O220)-10),0)</f>
        <v>0</v>
      </c>
      <c r="R220" s="53">
        <f xml:space="preserve"> P220 * Q220 * (1 + 2.5%) / 1000000</f>
        <v>0</v>
      </c>
      <c r="S220" s="125">
        <f>R220*'[3]RFQ_Matalan Carton'!$M$32</f>
        <v>0</v>
      </c>
      <c r="T220" s="124">
        <f>S220</f>
        <v>0</v>
      </c>
      <c r="U220" s="124">
        <f>I220*T220</f>
        <v>0</v>
      </c>
      <c r="V220" s="123">
        <f>((T220*I220)-W220)*7.5%</f>
        <v>0</v>
      </c>
      <c r="W220" s="124">
        <f>S220*I220*10%</f>
        <v>0</v>
      </c>
      <c r="X220" s="113"/>
    </row>
    <row r="221" spans="1:24">
      <c r="A221" s="118"/>
      <c r="B221" s="118"/>
      <c r="C221" s="119"/>
      <c r="D221" s="118"/>
      <c r="E221" s="118"/>
      <c r="F221" s="118"/>
      <c r="G221" s="119"/>
      <c r="H221" s="119"/>
      <c r="I221" s="119"/>
      <c r="J221" s="119" t="s">
        <v>121</v>
      </c>
      <c r="K221" s="119" t="s">
        <v>68</v>
      </c>
      <c r="L221" s="119" t="s">
        <v>109</v>
      </c>
      <c r="M221" s="51" t="str" cm="1">
        <f t="array" ref="M221">IFERROR(_xlfn.SWITCH(L221,"R-FPA",495,"R-FPB",595,"R-FPC",595,"R-FPD",595,"Custom Carton","input L"),0)</f>
        <v>input L</v>
      </c>
      <c r="N221" s="51" t="str" cm="1">
        <f t="array" ref="N221">IFERROR(_xlfn.SWITCH(L221,"R-FPA",285,"R-FPB",285,"R-FPC",325,"R-FPD",380,"Custom Carton","input W"),0)</f>
        <v>input W</v>
      </c>
      <c r="O221" s="51"/>
      <c r="P221" s="51">
        <f>IFERROR(IF(K221="",0,(M221+N221)*2+15),0)</f>
        <v>0</v>
      </c>
      <c r="Q221" s="51">
        <f>IFERROR(IF(K221="",0,(N221+O221)-10),0)</f>
        <v>0</v>
      </c>
      <c r="R221" s="53">
        <f xml:space="preserve"> P221 * Q221 * (1 + 2.5%) / 1000000</f>
        <v>0</v>
      </c>
      <c r="S221" s="125">
        <f>R221*'[3]RFQ_Matalan Carton'!$M$32</f>
        <v>0</v>
      </c>
      <c r="T221" s="124">
        <f>S221</f>
        <v>0</v>
      </c>
      <c r="U221" s="124">
        <f>I221*T221</f>
        <v>0</v>
      </c>
      <c r="V221" s="123">
        <f>((T221*I221)-W221)*7.5%</f>
        <v>0</v>
      </c>
      <c r="W221" s="124">
        <f>S221*I221*10%</f>
        <v>0</v>
      </c>
      <c r="X221" s="113"/>
    </row>
    <row r="222" spans="1:24">
      <c r="A222" s="118"/>
      <c r="B222" s="118"/>
      <c r="C222" s="119"/>
      <c r="D222" s="118"/>
      <c r="E222" s="118"/>
      <c r="F222" s="118"/>
      <c r="G222" s="119"/>
      <c r="H222" s="119"/>
      <c r="I222" s="119"/>
      <c r="J222" s="119" t="s">
        <v>121</v>
      </c>
      <c r="K222" s="119" t="s">
        <v>68</v>
      </c>
      <c r="L222" s="119" t="s">
        <v>109</v>
      </c>
      <c r="M222" s="51" t="str" cm="1">
        <f t="array" ref="M222">IFERROR(_xlfn.SWITCH(L222,"R-FPA",495,"R-FPB",595,"R-FPC",595,"R-FPD",595,"Custom Carton","input L"),0)</f>
        <v>input L</v>
      </c>
      <c r="N222" s="51" t="str" cm="1">
        <f t="array" ref="N222">IFERROR(_xlfn.SWITCH(L222,"R-FPA",285,"R-FPB",285,"R-FPC",325,"R-FPD",380,"Custom Carton","input W"),0)</f>
        <v>input W</v>
      </c>
      <c r="O222" s="51"/>
      <c r="P222" s="51">
        <f>IFERROR(IF(K222="",0,(M222+N222)*2+15),0)</f>
        <v>0</v>
      </c>
      <c r="Q222" s="51">
        <f>IFERROR(IF(K222="",0,(N222+O222)-10),0)</f>
        <v>0</v>
      </c>
      <c r="R222" s="53">
        <f xml:space="preserve"> P222 * Q222 * (1 + 2.5%) / 1000000</f>
        <v>0</v>
      </c>
      <c r="S222" s="125">
        <f>R222*'[3]RFQ_Matalan Carton'!$M$32</f>
        <v>0</v>
      </c>
      <c r="T222" s="124">
        <f>S222</f>
        <v>0</v>
      </c>
      <c r="U222" s="124">
        <f>I222*T222</f>
        <v>0</v>
      </c>
      <c r="V222" s="123">
        <f>((T222*I222)-W222)*7.5%</f>
        <v>0</v>
      </c>
      <c r="W222" s="124">
        <f>S222*I222*10%</f>
        <v>0</v>
      </c>
      <c r="X222" s="113"/>
    </row>
    <row r="223" spans="1:24">
      <c r="A223" s="118"/>
      <c r="B223" s="118"/>
      <c r="C223" s="119"/>
      <c r="D223" s="118"/>
      <c r="E223" s="118"/>
      <c r="F223" s="118"/>
      <c r="G223" s="119"/>
      <c r="H223" s="119"/>
      <c r="I223" s="119"/>
      <c r="J223" s="119" t="s">
        <v>121</v>
      </c>
      <c r="K223" s="119" t="s">
        <v>68</v>
      </c>
      <c r="L223" s="119" t="s">
        <v>109</v>
      </c>
      <c r="M223" s="51" t="str" cm="1">
        <f t="array" ref="M223">IFERROR(_xlfn.SWITCH(L223,"R-FPA",495,"R-FPB",595,"R-FPC",595,"R-FPD",595,"Custom Carton","input L"),0)</f>
        <v>input L</v>
      </c>
      <c r="N223" s="51" t="str" cm="1">
        <f t="array" ref="N223">IFERROR(_xlfn.SWITCH(L223,"R-FPA",285,"R-FPB",285,"R-FPC",325,"R-FPD",380,"Custom Carton","input W"),0)</f>
        <v>input W</v>
      </c>
      <c r="O223" s="51"/>
      <c r="P223" s="51">
        <f>IFERROR(IF(K223="",0,(M223+N223)*2+15),0)</f>
        <v>0</v>
      </c>
      <c r="Q223" s="51">
        <f>IFERROR(IF(K223="",0,(N223+O223)-10),0)</f>
        <v>0</v>
      </c>
      <c r="R223" s="53">
        <f xml:space="preserve"> P223 * Q223 * (1 + 2.5%) / 1000000</f>
        <v>0</v>
      </c>
      <c r="S223" s="125">
        <f>R223*'[3]RFQ_Matalan Carton'!$M$32</f>
        <v>0</v>
      </c>
      <c r="T223" s="124">
        <f>S223</f>
        <v>0</v>
      </c>
      <c r="U223" s="124">
        <f>I223*T223</f>
        <v>0</v>
      </c>
      <c r="V223" s="123">
        <f>((T223*I223)-W223)*7.5%</f>
        <v>0</v>
      </c>
      <c r="W223" s="124">
        <f>S223*I223*10%</f>
        <v>0</v>
      </c>
      <c r="X223" s="113"/>
    </row>
    <row r="224" spans="1:24">
      <c r="A224" s="118"/>
      <c r="B224" s="118"/>
      <c r="C224" s="119"/>
      <c r="D224" s="118"/>
      <c r="E224" s="118"/>
      <c r="F224" s="118"/>
      <c r="G224" s="119"/>
      <c r="H224" s="119"/>
      <c r="I224" s="119"/>
      <c r="J224" s="119" t="s">
        <v>121</v>
      </c>
      <c r="K224" s="119" t="s">
        <v>68</v>
      </c>
      <c r="L224" s="119" t="s">
        <v>109</v>
      </c>
      <c r="M224" s="51" t="str" cm="1">
        <f t="array" ref="M224">IFERROR(_xlfn.SWITCH(L224,"R-FPA",495,"R-FPB",595,"R-FPC",595,"R-FPD",595,"Custom Carton","input L"),0)</f>
        <v>input L</v>
      </c>
      <c r="N224" s="51" t="str" cm="1">
        <f t="array" ref="N224">IFERROR(_xlfn.SWITCH(L224,"R-FPA",285,"R-FPB",285,"R-FPC",325,"R-FPD",380,"Custom Carton","input W"),0)</f>
        <v>input W</v>
      </c>
      <c r="O224" s="51"/>
      <c r="P224" s="51">
        <f>IFERROR(IF(K224="",0,(M224+N224)*2+15),0)</f>
        <v>0</v>
      </c>
      <c r="Q224" s="51">
        <f>IFERROR(IF(K224="",0,(N224+O224)-10),0)</f>
        <v>0</v>
      </c>
      <c r="R224" s="53">
        <f xml:space="preserve"> P224 * Q224 * (1 + 2.5%) / 1000000</f>
        <v>0</v>
      </c>
      <c r="S224" s="125">
        <f>R224*'[3]RFQ_Matalan Carton'!$M$32</f>
        <v>0</v>
      </c>
      <c r="T224" s="124">
        <f>S224</f>
        <v>0</v>
      </c>
      <c r="U224" s="124">
        <f>I224*T224</f>
        <v>0</v>
      </c>
      <c r="V224" s="123">
        <f>((T224*I224)-W224)*7.5%</f>
        <v>0</v>
      </c>
      <c r="W224" s="124">
        <f>S224*I224*10%</f>
        <v>0</v>
      </c>
      <c r="X224" s="113"/>
    </row>
    <row r="225" spans="1:24">
      <c r="A225" s="118"/>
      <c r="B225" s="118"/>
      <c r="C225" s="119"/>
      <c r="D225" s="118"/>
      <c r="E225" s="118"/>
      <c r="F225" s="118"/>
      <c r="G225" s="119"/>
      <c r="H225" s="119"/>
      <c r="I225" s="119"/>
      <c r="J225" s="119" t="s">
        <v>121</v>
      </c>
      <c r="K225" s="119" t="s">
        <v>68</v>
      </c>
      <c r="L225" s="119" t="s">
        <v>109</v>
      </c>
      <c r="M225" s="51" t="str" cm="1">
        <f t="array" ref="M225">IFERROR(_xlfn.SWITCH(L225,"R-FPA",495,"R-FPB",595,"R-FPC",595,"R-FPD",595,"Custom Carton","input L"),0)</f>
        <v>input L</v>
      </c>
      <c r="N225" s="51" t="str" cm="1">
        <f t="array" ref="N225">IFERROR(_xlfn.SWITCH(L225,"R-FPA",285,"R-FPB",285,"R-FPC",325,"R-FPD",380,"Custom Carton","input W"),0)</f>
        <v>input W</v>
      </c>
      <c r="O225" s="51"/>
      <c r="P225" s="51">
        <f>IFERROR(IF(K225="",0,(M225+N225)*2+15),0)</f>
        <v>0</v>
      </c>
      <c r="Q225" s="51">
        <f>IFERROR(IF(K225="",0,(N225+O225)-10),0)</f>
        <v>0</v>
      </c>
      <c r="R225" s="53">
        <f xml:space="preserve"> P225 * Q225 * (1 + 2.5%) / 1000000</f>
        <v>0</v>
      </c>
      <c r="S225" s="125">
        <f>R225*'[3]RFQ_Matalan Carton'!$M$32</f>
        <v>0</v>
      </c>
      <c r="T225" s="124">
        <f>S225</f>
        <v>0</v>
      </c>
      <c r="U225" s="124">
        <f>I225*T225</f>
        <v>0</v>
      </c>
      <c r="V225" s="123">
        <f>((T225*I225)-W225)*7.5%</f>
        <v>0</v>
      </c>
      <c r="W225" s="124">
        <f>S225*I225*10%</f>
        <v>0</v>
      </c>
      <c r="X225" s="113"/>
    </row>
    <row r="226" spans="1:24">
      <c r="A226" s="118"/>
      <c r="B226" s="118"/>
      <c r="C226" s="119"/>
      <c r="D226" s="118"/>
      <c r="E226" s="118"/>
      <c r="F226" s="118"/>
      <c r="G226" s="119"/>
      <c r="H226" s="119"/>
      <c r="I226" s="119"/>
      <c r="J226" s="119" t="s">
        <v>121</v>
      </c>
      <c r="K226" s="119" t="s">
        <v>68</v>
      </c>
      <c r="L226" s="119" t="s">
        <v>109</v>
      </c>
      <c r="M226" s="51" t="str" cm="1">
        <f t="array" ref="M226">IFERROR(_xlfn.SWITCH(L226,"R-FPA",495,"R-FPB",595,"R-FPC",595,"R-FPD",595,"Custom Carton","input L"),0)</f>
        <v>input L</v>
      </c>
      <c r="N226" s="51" t="str" cm="1">
        <f t="array" ref="N226">IFERROR(_xlfn.SWITCH(L226,"R-FPA",285,"R-FPB",285,"R-FPC",325,"R-FPD",380,"Custom Carton","input W"),0)</f>
        <v>input W</v>
      </c>
      <c r="O226" s="51"/>
      <c r="P226" s="51">
        <f>IFERROR(IF(K226="",0,(M226+N226)*2+15),0)</f>
        <v>0</v>
      </c>
      <c r="Q226" s="51">
        <f>IFERROR(IF(K226="",0,(N226+O226)-10),0)</f>
        <v>0</v>
      </c>
      <c r="R226" s="53">
        <f xml:space="preserve"> P226 * Q226 * (1 + 2.5%) / 1000000</f>
        <v>0</v>
      </c>
      <c r="S226" s="125">
        <f>R226*'[3]RFQ_Matalan Carton'!$M$32</f>
        <v>0</v>
      </c>
      <c r="T226" s="124">
        <f>S226</f>
        <v>0</v>
      </c>
      <c r="U226" s="124">
        <f>I226*T226</f>
        <v>0</v>
      </c>
      <c r="V226" s="123">
        <f>((T226*I226)-W226)*7.5%</f>
        <v>0</v>
      </c>
      <c r="W226" s="124">
        <f>S226*I226*10%</f>
        <v>0</v>
      </c>
      <c r="X226" s="113"/>
    </row>
    <row r="227" spans="1:24">
      <c r="A227" s="118"/>
      <c r="B227" s="122"/>
      <c r="C227" s="119"/>
      <c r="D227" s="118"/>
      <c r="E227" s="118"/>
      <c r="F227" s="118"/>
      <c r="G227" s="119"/>
      <c r="H227" s="119"/>
      <c r="I227" s="119"/>
      <c r="J227" s="119" t="s">
        <v>121</v>
      </c>
      <c r="K227" s="119" t="s">
        <v>68</v>
      </c>
      <c r="L227" s="119" t="s">
        <v>109</v>
      </c>
      <c r="M227" s="51" t="str" cm="1">
        <f t="array" ref="M227">IFERROR(_xlfn.SWITCH(L227,"R-FPA",495,"R-FPB",595,"R-FPC",595,"R-FPD",595,"Custom Carton","input L"),0)</f>
        <v>input L</v>
      </c>
      <c r="N227" s="51" t="str" cm="1">
        <f t="array" ref="N227">IFERROR(_xlfn.SWITCH(L227,"R-FPA",285,"R-FPB",285,"R-FPC",325,"R-FPD",380,"Custom Carton","input W"),0)</f>
        <v>input W</v>
      </c>
      <c r="O227" s="51"/>
      <c r="P227" s="51">
        <f>IFERROR(IF(K227="",0,(M227+N227)*2+15),0)</f>
        <v>0</v>
      </c>
      <c r="Q227" s="51">
        <f>IFERROR(IF(K227="",0,(N227+O227)-10),0)</f>
        <v>0</v>
      </c>
      <c r="R227" s="53">
        <f xml:space="preserve"> P227 * Q227 * (1 + 2.5%) / 1000000</f>
        <v>0</v>
      </c>
      <c r="S227" s="125">
        <f>R227*'[3]RFQ_Matalan Carton'!$M$32</f>
        <v>0</v>
      </c>
      <c r="T227" s="124">
        <f>S227</f>
        <v>0</v>
      </c>
      <c r="U227" s="124">
        <f>I227*T227</f>
        <v>0</v>
      </c>
      <c r="V227" s="123">
        <f>((T227*I227)-W227)*7.5%</f>
        <v>0</v>
      </c>
      <c r="W227" s="124">
        <f>S227*I227*10%</f>
        <v>0</v>
      </c>
      <c r="X227" s="113"/>
    </row>
    <row r="228" spans="1:24">
      <c r="A228" s="118"/>
      <c r="B228" s="118"/>
      <c r="C228" s="119"/>
      <c r="D228" s="118"/>
      <c r="E228" s="118"/>
      <c r="F228" s="118"/>
      <c r="G228" s="119"/>
      <c r="H228" s="119"/>
      <c r="I228" s="119"/>
      <c r="J228" s="119" t="s">
        <v>121</v>
      </c>
      <c r="K228" s="119" t="s">
        <v>68</v>
      </c>
      <c r="L228" s="119" t="s">
        <v>109</v>
      </c>
      <c r="M228" s="51" t="str" cm="1">
        <f t="array" ref="M228">IFERROR(_xlfn.SWITCH(L228,"R-FPA",495,"R-FPB",595,"R-FPC",595,"R-FPD",595,"Custom Carton","input L"),0)</f>
        <v>input L</v>
      </c>
      <c r="N228" s="51" t="str" cm="1">
        <f t="array" ref="N228">IFERROR(_xlfn.SWITCH(L228,"R-FPA",285,"R-FPB",285,"R-FPC",325,"R-FPD",380,"Custom Carton","input W"),0)</f>
        <v>input W</v>
      </c>
      <c r="O228" s="51"/>
      <c r="P228" s="51">
        <f>IFERROR(IF(K228="",0,(M228+N228)*2+15),0)</f>
        <v>0</v>
      </c>
      <c r="Q228" s="51">
        <f>IFERROR(IF(K228="",0,(N228+O228)-10),0)</f>
        <v>0</v>
      </c>
      <c r="R228" s="53">
        <f xml:space="preserve"> P228 * Q228 * (1 + 2.5%) / 1000000</f>
        <v>0</v>
      </c>
      <c r="S228" s="125">
        <f>R228*'[3]RFQ_Matalan Carton'!$M$32</f>
        <v>0</v>
      </c>
      <c r="T228" s="124">
        <f>S228</f>
        <v>0</v>
      </c>
      <c r="U228" s="124">
        <f>I228*T228</f>
        <v>0</v>
      </c>
      <c r="V228" s="123">
        <f>((T228*I228)-W228)*7.5%</f>
        <v>0</v>
      </c>
      <c r="W228" s="124">
        <f>S228*I228*10%</f>
        <v>0</v>
      </c>
      <c r="X228" s="113"/>
    </row>
    <row r="229" spans="1:24">
      <c r="A229" s="118"/>
      <c r="B229" s="118"/>
      <c r="C229" s="119"/>
      <c r="D229" s="118"/>
      <c r="E229" s="118"/>
      <c r="F229" s="118"/>
      <c r="G229" s="119"/>
      <c r="H229" s="119"/>
      <c r="I229" s="119"/>
      <c r="J229" s="119" t="s">
        <v>121</v>
      </c>
      <c r="K229" s="119" t="s">
        <v>68</v>
      </c>
      <c r="L229" s="119" t="s">
        <v>109</v>
      </c>
      <c r="M229" s="51" t="str" cm="1">
        <f t="array" ref="M229">IFERROR(_xlfn.SWITCH(L229,"R-FPA",495,"R-FPB",595,"R-FPC",595,"R-FPD",595,"Custom Carton","input L"),0)</f>
        <v>input L</v>
      </c>
      <c r="N229" s="51" t="str" cm="1">
        <f t="array" ref="N229">IFERROR(_xlfn.SWITCH(L229,"R-FPA",285,"R-FPB",285,"R-FPC",325,"R-FPD",380,"Custom Carton","input W"),0)</f>
        <v>input W</v>
      </c>
      <c r="O229" s="51"/>
      <c r="P229" s="51">
        <f>IFERROR(IF(K229="",0,(M229+N229)*2+15),0)</f>
        <v>0</v>
      </c>
      <c r="Q229" s="51">
        <f>IFERROR(IF(K229="",0,(N229+O229)-10),0)</f>
        <v>0</v>
      </c>
      <c r="R229" s="53">
        <f xml:space="preserve"> P229 * Q229 * (1 + 2.5%) / 1000000</f>
        <v>0</v>
      </c>
      <c r="S229" s="125">
        <f>R229*'[3]RFQ_Matalan Carton'!$M$32</f>
        <v>0</v>
      </c>
      <c r="T229" s="124">
        <f>S229</f>
        <v>0</v>
      </c>
      <c r="U229" s="124">
        <f>I229*T229</f>
        <v>0</v>
      </c>
      <c r="V229" s="123">
        <f>((T229*I229)-W229)*7.5%</f>
        <v>0</v>
      </c>
      <c r="W229" s="124">
        <f>S229*I229*10%</f>
        <v>0</v>
      </c>
      <c r="X229" s="113"/>
    </row>
    <row r="230" spans="1:24">
      <c r="A230" s="118"/>
      <c r="B230" s="118"/>
      <c r="C230" s="119"/>
      <c r="D230" s="118"/>
      <c r="E230" s="118"/>
      <c r="F230" s="118"/>
      <c r="G230" s="119"/>
      <c r="H230" s="119"/>
      <c r="I230" s="119"/>
      <c r="J230" s="119" t="s">
        <v>121</v>
      </c>
      <c r="K230" s="119" t="s">
        <v>68</v>
      </c>
      <c r="L230" s="119" t="s">
        <v>109</v>
      </c>
      <c r="M230" s="51" t="str" cm="1">
        <f t="array" ref="M230">IFERROR(_xlfn.SWITCH(L230,"R-FPA",495,"R-FPB",595,"R-FPC",595,"R-FPD",595,"Custom Carton","input L"),0)</f>
        <v>input L</v>
      </c>
      <c r="N230" s="51" t="str" cm="1">
        <f t="array" ref="N230">IFERROR(_xlfn.SWITCH(L230,"R-FPA",285,"R-FPB",285,"R-FPC",325,"R-FPD",380,"Custom Carton","input W"),0)</f>
        <v>input W</v>
      </c>
      <c r="O230" s="51"/>
      <c r="P230" s="51">
        <f>IFERROR(IF(K230="",0,(M230+N230)*2+15),0)</f>
        <v>0</v>
      </c>
      <c r="Q230" s="51">
        <f>IFERROR(IF(K230="",0,(N230+O230)-10),0)</f>
        <v>0</v>
      </c>
      <c r="R230" s="53">
        <f xml:space="preserve"> P230 * Q230 * (1 + 2.5%) / 1000000</f>
        <v>0</v>
      </c>
      <c r="S230" s="125">
        <f>R230*'[3]RFQ_Matalan Carton'!$M$32</f>
        <v>0</v>
      </c>
      <c r="T230" s="124">
        <f>S230</f>
        <v>0</v>
      </c>
      <c r="U230" s="124">
        <f>I230*T230</f>
        <v>0</v>
      </c>
      <c r="V230" s="123">
        <f>((T230*I230)-W230)*7.5%</f>
        <v>0</v>
      </c>
      <c r="W230" s="124">
        <f>S230*I230*10%</f>
        <v>0</v>
      </c>
      <c r="X230" s="113"/>
    </row>
    <row r="231" spans="1:24">
      <c r="A231" s="118"/>
      <c r="B231" s="118"/>
      <c r="C231" s="119"/>
      <c r="D231" s="118"/>
      <c r="E231" s="118"/>
      <c r="F231" s="118"/>
      <c r="G231" s="119"/>
      <c r="H231" s="119"/>
      <c r="I231" s="119"/>
      <c r="J231" s="119" t="s">
        <v>121</v>
      </c>
      <c r="K231" s="119" t="s">
        <v>68</v>
      </c>
      <c r="L231" s="119" t="s">
        <v>109</v>
      </c>
      <c r="M231" s="51" t="str" cm="1">
        <f t="array" ref="M231">IFERROR(_xlfn.SWITCH(L231,"R-FPA",495,"R-FPB",595,"R-FPC",595,"R-FPD",595,"Custom Carton","input L"),0)</f>
        <v>input L</v>
      </c>
      <c r="N231" s="51" t="str" cm="1">
        <f t="array" ref="N231">IFERROR(_xlfn.SWITCH(L231,"R-FPA",285,"R-FPB",285,"R-FPC",325,"R-FPD",380,"Custom Carton","input W"),0)</f>
        <v>input W</v>
      </c>
      <c r="O231" s="51"/>
      <c r="P231" s="51">
        <f>IFERROR(IF(K231="",0,(M231+N231)*2+15),0)</f>
        <v>0</v>
      </c>
      <c r="Q231" s="51">
        <f>IFERROR(IF(K231="",0,(N231+O231)-10),0)</f>
        <v>0</v>
      </c>
      <c r="R231" s="53">
        <f xml:space="preserve"> P231 * Q231 * (1 + 2.5%) / 1000000</f>
        <v>0</v>
      </c>
      <c r="S231" s="125">
        <f>R231*'[3]RFQ_Matalan Carton'!$M$32</f>
        <v>0</v>
      </c>
      <c r="T231" s="124">
        <f>S231</f>
        <v>0</v>
      </c>
      <c r="U231" s="124">
        <f>I231*T231</f>
        <v>0</v>
      </c>
      <c r="V231" s="123">
        <f>((T231*I231)-W231)*7.5%</f>
        <v>0</v>
      </c>
      <c r="W231" s="124">
        <f>S231*I231*10%</f>
        <v>0</v>
      </c>
      <c r="X231" s="113"/>
    </row>
    <row r="232" spans="1:24">
      <c r="A232" s="118"/>
      <c r="B232" s="118"/>
      <c r="C232" s="119"/>
      <c r="D232" s="118"/>
      <c r="E232" s="118"/>
      <c r="F232" s="118"/>
      <c r="G232" s="119"/>
      <c r="H232" s="121"/>
      <c r="I232" s="121"/>
      <c r="J232" s="119" t="s">
        <v>121</v>
      </c>
      <c r="K232" s="119" t="s">
        <v>68</v>
      </c>
      <c r="L232" s="119" t="s">
        <v>109</v>
      </c>
      <c r="M232" s="51" t="str" cm="1">
        <f t="array" ref="M232">IFERROR(_xlfn.SWITCH(L232,"R-FPA",495,"R-FPB",595,"R-FPC",595,"R-FPD",595,"Custom Carton","input L"),0)</f>
        <v>input L</v>
      </c>
      <c r="N232" s="51" t="str" cm="1">
        <f t="array" ref="N232">IFERROR(_xlfn.SWITCH(L232,"R-FPA",285,"R-FPB",285,"R-FPC",325,"R-FPD",380,"Custom Carton","input W"),0)</f>
        <v>input W</v>
      </c>
      <c r="O232" s="51"/>
      <c r="P232" s="51">
        <f>IFERROR(IF(K232="",0,(M232+N232)*2+15),0)</f>
        <v>0</v>
      </c>
      <c r="Q232" s="51">
        <f>IFERROR(IF(K232="",0,(N232+O232)-10),0)</f>
        <v>0</v>
      </c>
      <c r="R232" s="53">
        <f xml:space="preserve"> P232 * Q232 * (1 + 2.5%) / 1000000</f>
        <v>0</v>
      </c>
      <c r="S232" s="125">
        <f>R232*'[3]RFQ_Matalan Carton'!$M$32</f>
        <v>0</v>
      </c>
      <c r="T232" s="124">
        <f>S232</f>
        <v>0</v>
      </c>
      <c r="U232" s="124">
        <f>I232*T232</f>
        <v>0</v>
      </c>
      <c r="V232" s="123">
        <f>((T232*I232)-W232)*7.5%</f>
        <v>0</v>
      </c>
      <c r="W232" s="124">
        <f>S232*I232*10%</f>
        <v>0</v>
      </c>
      <c r="X232" s="113"/>
    </row>
    <row r="233" spans="1:24">
      <c r="A233" s="118"/>
      <c r="B233" s="118"/>
      <c r="C233" s="119"/>
      <c r="D233" s="118"/>
      <c r="E233" s="118"/>
      <c r="F233" s="118"/>
      <c r="G233" s="119"/>
      <c r="H233" s="119"/>
      <c r="I233" s="119"/>
      <c r="J233" s="119" t="s">
        <v>121</v>
      </c>
      <c r="K233" s="119" t="s">
        <v>68</v>
      </c>
      <c r="L233" s="119" t="s">
        <v>109</v>
      </c>
      <c r="M233" s="51" t="str" cm="1">
        <f t="array" ref="M233">IFERROR(_xlfn.SWITCH(L233,"R-FPA",495,"R-FPB",595,"R-FPC",595,"R-FPD",595,"Custom Carton","input L"),0)</f>
        <v>input L</v>
      </c>
      <c r="N233" s="51" t="str" cm="1">
        <f t="array" ref="N233">IFERROR(_xlfn.SWITCH(L233,"R-FPA",285,"R-FPB",285,"R-FPC",325,"R-FPD",380,"Custom Carton","input W"),0)</f>
        <v>input W</v>
      </c>
      <c r="O233" s="51"/>
      <c r="P233" s="51">
        <f>IFERROR(IF(K233="",0,(M233+N233)*2+15),0)</f>
        <v>0</v>
      </c>
      <c r="Q233" s="51">
        <f>IFERROR(IF(K233="",0,(N233+O233)-10),0)</f>
        <v>0</v>
      </c>
      <c r="R233" s="53">
        <f xml:space="preserve"> P233 * Q233 * (1 + 2.5%) / 1000000</f>
        <v>0</v>
      </c>
      <c r="S233" s="125">
        <f>R233*'[3]RFQ_Matalan Carton'!$M$32</f>
        <v>0</v>
      </c>
      <c r="T233" s="124">
        <f>S233</f>
        <v>0</v>
      </c>
      <c r="U233" s="124">
        <f>I233*T233</f>
        <v>0</v>
      </c>
      <c r="V233" s="123">
        <f>((T233*I233)-W233)*7.5%</f>
        <v>0</v>
      </c>
      <c r="W233" s="124">
        <f>S233*I233*10%</f>
        <v>0</v>
      </c>
      <c r="X233" s="113"/>
    </row>
    <row r="234" spans="1:24">
      <c r="A234" s="118"/>
      <c r="B234" s="118"/>
      <c r="C234" s="119"/>
      <c r="D234" s="118"/>
      <c r="E234" s="118"/>
      <c r="F234" s="118"/>
      <c r="G234" s="119"/>
      <c r="H234" s="119"/>
      <c r="I234" s="119"/>
      <c r="J234" s="119" t="s">
        <v>121</v>
      </c>
      <c r="K234" s="119" t="s">
        <v>68</v>
      </c>
      <c r="L234" s="119" t="s">
        <v>109</v>
      </c>
      <c r="M234" s="51" t="str" cm="1">
        <f t="array" ref="M234">IFERROR(_xlfn.SWITCH(L234,"R-FPA",495,"R-FPB",595,"R-FPC",595,"R-FPD",595,"Custom Carton","input L"),0)</f>
        <v>input L</v>
      </c>
      <c r="N234" s="51" t="str" cm="1">
        <f t="array" ref="N234">IFERROR(_xlfn.SWITCH(L234,"R-FPA",285,"R-FPB",285,"R-FPC",325,"R-FPD",380,"Custom Carton","input W"),0)</f>
        <v>input W</v>
      </c>
      <c r="O234" s="51"/>
      <c r="P234" s="51">
        <f>IFERROR(IF(K234="",0,(M234+N234)*2+15),0)</f>
        <v>0</v>
      </c>
      <c r="Q234" s="51">
        <f>IFERROR(IF(K234="",0,(N234+O234)-10),0)</f>
        <v>0</v>
      </c>
      <c r="R234" s="53">
        <f xml:space="preserve"> P234 * Q234 * (1 + 2.5%) / 1000000</f>
        <v>0</v>
      </c>
      <c r="S234" s="125">
        <f>R234*'[3]RFQ_Matalan Carton'!$M$32</f>
        <v>0</v>
      </c>
      <c r="T234" s="124">
        <f>S234</f>
        <v>0</v>
      </c>
      <c r="U234" s="124">
        <f>I234*T234</f>
        <v>0</v>
      </c>
      <c r="V234" s="123">
        <f>((T234*I234)-W234)*7.5%</f>
        <v>0</v>
      </c>
      <c r="W234" s="124">
        <f>S234*I234*10%</f>
        <v>0</v>
      </c>
      <c r="X234" s="113"/>
    </row>
    <row r="235" spans="1:24">
      <c r="A235" s="118"/>
      <c r="B235" s="118"/>
      <c r="C235" s="119"/>
      <c r="D235" s="118"/>
      <c r="E235" s="118"/>
      <c r="F235" s="118"/>
      <c r="G235" s="119"/>
      <c r="H235" s="119"/>
      <c r="I235" s="119"/>
      <c r="J235" s="119" t="s">
        <v>121</v>
      </c>
      <c r="K235" s="119" t="s">
        <v>68</v>
      </c>
      <c r="L235" s="119" t="s">
        <v>109</v>
      </c>
      <c r="M235" s="51" t="str" cm="1">
        <f t="array" ref="M235">IFERROR(_xlfn.SWITCH(L235,"R-FPA",495,"R-FPB",595,"R-FPC",595,"R-FPD",595,"Custom Carton","input L"),0)</f>
        <v>input L</v>
      </c>
      <c r="N235" s="51" t="str" cm="1">
        <f t="array" ref="N235">IFERROR(_xlfn.SWITCH(L235,"R-FPA",285,"R-FPB",285,"R-FPC",325,"R-FPD",380,"Custom Carton","input W"),0)</f>
        <v>input W</v>
      </c>
      <c r="O235" s="51"/>
      <c r="P235" s="51">
        <f>IFERROR(IF(K235="",0,(M235+N235)*2+15),0)</f>
        <v>0</v>
      </c>
      <c r="Q235" s="51">
        <f>IFERROR(IF(K235="",0,(N235+O235)-10),0)</f>
        <v>0</v>
      </c>
      <c r="R235" s="53">
        <f xml:space="preserve"> P235 * Q235 * (1 + 2.5%) / 1000000</f>
        <v>0</v>
      </c>
      <c r="S235" s="125">
        <f>R235*'[3]RFQ_Matalan Carton'!$M$32</f>
        <v>0</v>
      </c>
      <c r="T235" s="124">
        <f>S235</f>
        <v>0</v>
      </c>
      <c r="U235" s="124">
        <f>I235*T235</f>
        <v>0</v>
      </c>
      <c r="V235" s="123">
        <f>((T235*I235)-W235)*7.5%</f>
        <v>0</v>
      </c>
      <c r="W235" s="124">
        <f>S235*I235*10%</f>
        <v>0</v>
      </c>
      <c r="X235" s="113"/>
    </row>
    <row r="236" spans="1:24">
      <c r="A236" s="118"/>
      <c r="B236" s="118"/>
      <c r="C236" s="119"/>
      <c r="D236" s="118"/>
      <c r="E236" s="118"/>
      <c r="F236" s="118"/>
      <c r="G236" s="119"/>
      <c r="H236" s="119"/>
      <c r="I236" s="119"/>
      <c r="J236" s="119" t="s">
        <v>121</v>
      </c>
      <c r="K236" s="119" t="s">
        <v>68</v>
      </c>
      <c r="L236" s="119" t="s">
        <v>109</v>
      </c>
      <c r="M236" s="51" t="str" cm="1">
        <f t="array" ref="M236">IFERROR(_xlfn.SWITCH(L236,"R-FPA",495,"R-FPB",595,"R-FPC",595,"R-FPD",595,"Custom Carton","input L"),0)</f>
        <v>input L</v>
      </c>
      <c r="N236" s="51" t="str" cm="1">
        <f t="array" ref="N236">IFERROR(_xlfn.SWITCH(L236,"R-FPA",285,"R-FPB",285,"R-FPC",325,"R-FPD",380,"Custom Carton","input W"),0)</f>
        <v>input W</v>
      </c>
      <c r="O236" s="51"/>
      <c r="P236" s="51">
        <f>IFERROR(IF(K236="",0,(M236+N236)*2+15),0)</f>
        <v>0</v>
      </c>
      <c r="Q236" s="51">
        <f>IFERROR(IF(K236="",0,(N236+O236)-10),0)</f>
        <v>0</v>
      </c>
      <c r="R236" s="53">
        <f xml:space="preserve"> P236 * Q236 * (1 + 2.5%) / 1000000</f>
        <v>0</v>
      </c>
      <c r="S236" s="125">
        <f>R236*'[3]RFQ_Matalan Carton'!$M$32</f>
        <v>0</v>
      </c>
      <c r="T236" s="124">
        <f>S236</f>
        <v>0</v>
      </c>
      <c r="U236" s="124">
        <f>I236*T236</f>
        <v>0</v>
      </c>
      <c r="V236" s="123">
        <f>((T236*I236)-W236)*7.5%</f>
        <v>0</v>
      </c>
      <c r="W236" s="124">
        <f>S236*I236*10%</f>
        <v>0</v>
      </c>
      <c r="X236" s="113"/>
    </row>
    <row r="237" spans="1:24">
      <c r="A237" s="118"/>
      <c r="B237" s="118"/>
      <c r="C237" s="119"/>
      <c r="D237" s="118"/>
      <c r="E237" s="118"/>
      <c r="F237" s="118"/>
      <c r="G237" s="119"/>
      <c r="H237" s="119"/>
      <c r="I237" s="119"/>
      <c r="J237" s="119" t="s">
        <v>121</v>
      </c>
      <c r="K237" s="119" t="s">
        <v>68</v>
      </c>
      <c r="L237" s="119" t="s">
        <v>109</v>
      </c>
      <c r="M237" s="51" t="str" cm="1">
        <f t="array" ref="M237">IFERROR(_xlfn.SWITCH(L237,"R-FPA",495,"R-FPB",595,"R-FPC",595,"R-FPD",595,"Custom Carton","input L"),0)</f>
        <v>input L</v>
      </c>
      <c r="N237" s="51" t="str" cm="1">
        <f t="array" ref="N237">IFERROR(_xlfn.SWITCH(L237,"R-FPA",285,"R-FPB",285,"R-FPC",325,"R-FPD",380,"Custom Carton","input W"),0)</f>
        <v>input W</v>
      </c>
      <c r="O237" s="51"/>
      <c r="P237" s="51">
        <f>IFERROR(IF(K237="",0,(M237+N237)*2+15),0)</f>
        <v>0</v>
      </c>
      <c r="Q237" s="51">
        <f>IFERROR(IF(K237="",0,(N237+O237)-10),0)</f>
        <v>0</v>
      </c>
      <c r="R237" s="53">
        <f xml:space="preserve"> P237 * Q237 * (1 + 2.5%) / 1000000</f>
        <v>0</v>
      </c>
      <c r="S237" s="125">
        <f>R237*'[3]RFQ_Matalan Carton'!$M$32</f>
        <v>0</v>
      </c>
      <c r="T237" s="124">
        <f>S237</f>
        <v>0</v>
      </c>
      <c r="U237" s="124">
        <f>I237*T237</f>
        <v>0</v>
      </c>
      <c r="V237" s="123">
        <f>((T237*I237)-W237)*7.5%</f>
        <v>0</v>
      </c>
      <c r="W237" s="124">
        <f>S237*I237*10%</f>
        <v>0</v>
      </c>
      <c r="X237" s="113"/>
    </row>
    <row r="238" spans="1:24">
      <c r="A238" s="118"/>
      <c r="B238" s="118"/>
      <c r="C238" s="119"/>
      <c r="D238" s="118"/>
      <c r="E238" s="118"/>
      <c r="F238" s="118"/>
      <c r="G238" s="119"/>
      <c r="H238" s="119"/>
      <c r="I238" s="119"/>
      <c r="J238" s="119" t="s">
        <v>121</v>
      </c>
      <c r="K238" s="119" t="s">
        <v>68</v>
      </c>
      <c r="L238" s="119" t="s">
        <v>109</v>
      </c>
      <c r="M238" s="51" t="str" cm="1">
        <f t="array" ref="M238">IFERROR(_xlfn.SWITCH(L238,"R-FPA",495,"R-FPB",595,"R-FPC",595,"R-FPD",595,"Custom Carton","input L"),0)</f>
        <v>input L</v>
      </c>
      <c r="N238" s="51" t="str" cm="1">
        <f t="array" ref="N238">IFERROR(_xlfn.SWITCH(L238,"R-FPA",285,"R-FPB",285,"R-FPC",325,"R-FPD",380,"Custom Carton","input W"),0)</f>
        <v>input W</v>
      </c>
      <c r="O238" s="51"/>
      <c r="P238" s="51">
        <f>IFERROR(IF(K238="",0,(M238+N238)*2+15),0)</f>
        <v>0</v>
      </c>
      <c r="Q238" s="51">
        <f>IFERROR(IF(K238="",0,(N238+O238)-10),0)</f>
        <v>0</v>
      </c>
      <c r="R238" s="53">
        <f xml:space="preserve"> P238 * Q238 * (1 + 2.5%) / 1000000</f>
        <v>0</v>
      </c>
      <c r="S238" s="125">
        <f>R238*'[3]RFQ_Matalan Carton'!$M$32</f>
        <v>0</v>
      </c>
      <c r="T238" s="124">
        <f>S238</f>
        <v>0</v>
      </c>
      <c r="U238" s="124">
        <f>I238*T238</f>
        <v>0</v>
      </c>
      <c r="V238" s="123">
        <f>((T238*I238)-W238)*7.5%</f>
        <v>0</v>
      </c>
      <c r="W238" s="124">
        <f>S238*I238*10%</f>
        <v>0</v>
      </c>
      <c r="X238" s="113"/>
    </row>
    <row r="239" spans="1:24">
      <c r="A239" s="118"/>
      <c r="B239" s="118"/>
      <c r="C239" s="119"/>
      <c r="D239" s="118"/>
      <c r="E239" s="118"/>
      <c r="F239" s="118"/>
      <c r="G239" s="119"/>
      <c r="H239" s="119"/>
      <c r="I239" s="119"/>
      <c r="J239" s="119" t="s">
        <v>121</v>
      </c>
      <c r="K239" s="119" t="s">
        <v>68</v>
      </c>
      <c r="L239" s="119" t="s">
        <v>109</v>
      </c>
      <c r="M239" s="51" t="str" cm="1">
        <f t="array" ref="M239">IFERROR(_xlfn.SWITCH(L239,"R-FPA",495,"R-FPB",595,"R-FPC",595,"R-FPD",595,"Custom Carton","input L"),0)</f>
        <v>input L</v>
      </c>
      <c r="N239" s="51" t="str" cm="1">
        <f t="array" ref="N239">IFERROR(_xlfn.SWITCH(L239,"R-FPA",285,"R-FPB",285,"R-FPC",325,"R-FPD",380,"Custom Carton","input W"),0)</f>
        <v>input W</v>
      </c>
      <c r="O239" s="51"/>
      <c r="P239" s="51">
        <f>IFERROR(IF(K239="",0,(M239+N239)*2+15),0)</f>
        <v>0</v>
      </c>
      <c r="Q239" s="51">
        <f>IFERROR(IF(K239="",0,(N239+O239)-10),0)</f>
        <v>0</v>
      </c>
      <c r="R239" s="53">
        <f xml:space="preserve"> P239 * Q239 * (1 + 2.5%) / 1000000</f>
        <v>0</v>
      </c>
      <c r="S239" s="125">
        <f>R239*'[3]RFQ_Matalan Carton'!$M$32</f>
        <v>0</v>
      </c>
      <c r="T239" s="124">
        <f>S239</f>
        <v>0</v>
      </c>
      <c r="U239" s="124">
        <f>I239*T239</f>
        <v>0</v>
      </c>
      <c r="V239" s="123">
        <f>((T239*I239)-W239)*7.5%</f>
        <v>0</v>
      </c>
      <c r="W239" s="124">
        <f>S239*I239*10%</f>
        <v>0</v>
      </c>
      <c r="X239" s="113"/>
    </row>
    <row r="240" spans="1:24">
      <c r="A240" s="118"/>
      <c r="B240" s="118"/>
      <c r="C240" s="119"/>
      <c r="D240" s="118"/>
      <c r="E240" s="118"/>
      <c r="F240" s="118"/>
      <c r="G240" s="121"/>
      <c r="H240" s="121"/>
      <c r="I240" s="121"/>
      <c r="J240" s="119" t="s">
        <v>121</v>
      </c>
      <c r="K240" s="119" t="s">
        <v>68</v>
      </c>
      <c r="L240" s="119" t="s">
        <v>109</v>
      </c>
      <c r="M240" s="51" t="str" cm="1">
        <f t="array" ref="M240">IFERROR(_xlfn.SWITCH(L240,"R-FPA",495,"R-FPB",595,"R-FPC",595,"R-FPD",595,"Custom Carton","input L"),0)</f>
        <v>input L</v>
      </c>
      <c r="N240" s="51" t="str" cm="1">
        <f t="array" ref="N240">IFERROR(_xlfn.SWITCH(L240,"R-FPA",285,"R-FPB",285,"R-FPC",325,"R-FPD",380,"Custom Carton","input W"),0)</f>
        <v>input W</v>
      </c>
      <c r="O240" s="51"/>
      <c r="P240" s="51">
        <f>IFERROR(IF(K240="",0,(M240+N240)*2+15),0)</f>
        <v>0</v>
      </c>
      <c r="Q240" s="51">
        <f>IFERROR(IF(K240="",0,(N240+O240)-10),0)</f>
        <v>0</v>
      </c>
      <c r="R240" s="53">
        <f xml:space="preserve"> P240 * Q240 * (1 + 2.5%) / 1000000</f>
        <v>0</v>
      </c>
      <c r="S240" s="125">
        <f>R240*'[3]RFQ_Matalan Carton'!$M$32</f>
        <v>0</v>
      </c>
      <c r="T240" s="124">
        <f>S240</f>
        <v>0</v>
      </c>
      <c r="U240" s="124">
        <f>I240*T240</f>
        <v>0</v>
      </c>
      <c r="V240" s="123">
        <f>((T240*I240)-W240)*7.5%</f>
        <v>0</v>
      </c>
      <c r="W240" s="124">
        <f>S240*I240*10%</f>
        <v>0</v>
      </c>
      <c r="X240" s="113"/>
    </row>
    <row r="241" spans="1:24">
      <c r="A241" s="118"/>
      <c r="B241" s="118"/>
      <c r="C241" s="119"/>
      <c r="D241" s="118"/>
      <c r="E241" s="118"/>
      <c r="F241" s="118"/>
      <c r="G241" s="119"/>
      <c r="H241" s="119"/>
      <c r="I241" s="119"/>
      <c r="J241" s="119" t="s">
        <v>121</v>
      </c>
      <c r="K241" s="119" t="s">
        <v>68</v>
      </c>
      <c r="L241" s="119" t="s">
        <v>109</v>
      </c>
      <c r="M241" s="51" t="str" cm="1">
        <f t="array" ref="M241">IFERROR(_xlfn.SWITCH(L241,"R-FPA",495,"R-FPB",595,"R-FPC",595,"R-FPD",595,"Custom Carton","input L"),0)</f>
        <v>input L</v>
      </c>
      <c r="N241" s="51" t="str" cm="1">
        <f t="array" ref="N241">IFERROR(_xlfn.SWITCH(L241,"R-FPA",285,"R-FPB",285,"R-FPC",325,"R-FPD",380,"Custom Carton","input W"),0)</f>
        <v>input W</v>
      </c>
      <c r="O241" s="51"/>
      <c r="P241" s="51">
        <f>IFERROR(IF(K241="",0,(M241+N241)*2+15),0)</f>
        <v>0</v>
      </c>
      <c r="Q241" s="51">
        <f>IFERROR(IF(K241="",0,(N241+O241)-10),0)</f>
        <v>0</v>
      </c>
      <c r="R241" s="53">
        <f xml:space="preserve"> P241 * Q241 * (1 + 2.5%) / 1000000</f>
        <v>0</v>
      </c>
      <c r="S241" s="125">
        <f>R241*'[3]RFQ_Matalan Carton'!$M$32</f>
        <v>0</v>
      </c>
      <c r="T241" s="124">
        <f>S241</f>
        <v>0</v>
      </c>
      <c r="U241" s="124">
        <f>I241*T241</f>
        <v>0</v>
      </c>
      <c r="V241" s="123">
        <f>((T241*I241)-W241)*7.5%</f>
        <v>0</v>
      </c>
      <c r="W241" s="124">
        <f>S241*I241*10%</f>
        <v>0</v>
      </c>
      <c r="X241" s="113"/>
    </row>
    <row r="242" spans="1:24">
      <c r="A242" s="118"/>
      <c r="B242" s="118"/>
      <c r="C242" s="119"/>
      <c r="D242" s="118"/>
      <c r="E242" s="118"/>
      <c r="F242" s="118"/>
      <c r="G242" s="119"/>
      <c r="H242" s="119"/>
      <c r="I242" s="119"/>
      <c r="J242" s="119" t="s">
        <v>121</v>
      </c>
      <c r="K242" s="119" t="s">
        <v>68</v>
      </c>
      <c r="L242" s="119" t="s">
        <v>109</v>
      </c>
      <c r="M242" s="51" t="str" cm="1">
        <f t="array" ref="M242">IFERROR(_xlfn.SWITCH(L242,"R-FPA",495,"R-FPB",595,"R-FPC",595,"R-FPD",595,"Custom Carton","input L"),0)</f>
        <v>input L</v>
      </c>
      <c r="N242" s="51" t="str" cm="1">
        <f t="array" ref="N242">IFERROR(_xlfn.SWITCH(L242,"R-FPA",285,"R-FPB",285,"R-FPC",325,"R-FPD",380,"Custom Carton","input W"),0)</f>
        <v>input W</v>
      </c>
      <c r="O242" s="51"/>
      <c r="P242" s="51">
        <f>IFERROR(IF(K242="",0,(M242+N242)*2+15),0)</f>
        <v>0</v>
      </c>
      <c r="Q242" s="51">
        <f>IFERROR(IF(K242="",0,(N242+O242)-10),0)</f>
        <v>0</v>
      </c>
      <c r="R242" s="53">
        <f xml:space="preserve"> P242 * Q242 * (1 + 2.5%) / 1000000</f>
        <v>0</v>
      </c>
      <c r="S242" s="125">
        <f>R242*'[3]RFQ_Matalan Carton'!$M$32</f>
        <v>0</v>
      </c>
      <c r="T242" s="124">
        <f>S242</f>
        <v>0</v>
      </c>
      <c r="U242" s="124">
        <f>I242*T242</f>
        <v>0</v>
      </c>
      <c r="V242" s="123">
        <f>((T242*I242)-W242)*7.5%</f>
        <v>0</v>
      </c>
      <c r="W242" s="124">
        <f>S242*I242*10%</f>
        <v>0</v>
      </c>
      <c r="X242" s="113"/>
    </row>
    <row r="243" spans="1:24">
      <c r="A243" s="118"/>
      <c r="B243" s="118"/>
      <c r="C243" s="119"/>
      <c r="D243" s="118"/>
      <c r="E243" s="118"/>
      <c r="F243" s="118"/>
      <c r="G243" s="119"/>
      <c r="H243" s="119"/>
      <c r="I243" s="119"/>
      <c r="J243" s="119" t="s">
        <v>121</v>
      </c>
      <c r="K243" s="119" t="s">
        <v>68</v>
      </c>
      <c r="L243" s="119" t="s">
        <v>109</v>
      </c>
      <c r="M243" s="51" t="str" cm="1">
        <f t="array" ref="M243">IFERROR(_xlfn.SWITCH(L243,"R-FPA",495,"R-FPB",595,"R-FPC",595,"R-FPD",595,"Custom Carton","input L"),0)</f>
        <v>input L</v>
      </c>
      <c r="N243" s="51" t="str" cm="1">
        <f t="array" ref="N243">IFERROR(_xlfn.SWITCH(L243,"R-FPA",285,"R-FPB",285,"R-FPC",325,"R-FPD",380,"Custom Carton","input W"),0)</f>
        <v>input W</v>
      </c>
      <c r="O243" s="51"/>
      <c r="P243" s="51">
        <f>IFERROR(IF(K243="",0,(M243+N243)*2+15),0)</f>
        <v>0</v>
      </c>
      <c r="Q243" s="51">
        <f>IFERROR(IF(K243="",0,(N243+O243)-10),0)</f>
        <v>0</v>
      </c>
      <c r="R243" s="53">
        <f xml:space="preserve"> P243 * Q243 * (1 + 2.5%) / 1000000</f>
        <v>0</v>
      </c>
      <c r="S243" s="125">
        <f>R243*'[3]RFQ_Matalan Carton'!$M$32</f>
        <v>0</v>
      </c>
      <c r="T243" s="124">
        <f>S243</f>
        <v>0</v>
      </c>
      <c r="U243" s="124">
        <f>I243*T243</f>
        <v>0</v>
      </c>
      <c r="V243" s="123">
        <f>((T243*I243)-W243)*7.5%</f>
        <v>0</v>
      </c>
      <c r="W243" s="124">
        <f>S243*I243*10%</f>
        <v>0</v>
      </c>
      <c r="X243" s="113"/>
    </row>
    <row r="244" spans="1:24">
      <c r="A244" s="118"/>
      <c r="B244" s="118"/>
      <c r="C244" s="119"/>
      <c r="D244" s="118"/>
      <c r="E244" s="118"/>
      <c r="F244" s="118"/>
      <c r="G244" s="119"/>
      <c r="H244" s="119"/>
      <c r="I244" s="119"/>
      <c r="J244" s="119" t="s">
        <v>121</v>
      </c>
      <c r="K244" s="119" t="s">
        <v>68</v>
      </c>
      <c r="L244" s="119" t="s">
        <v>109</v>
      </c>
      <c r="M244" s="51" t="str" cm="1">
        <f t="array" ref="M244">IFERROR(_xlfn.SWITCH(L244,"R-FPA",495,"R-FPB",595,"R-FPC",595,"R-FPD",595,"Custom Carton","input L"),0)</f>
        <v>input L</v>
      </c>
      <c r="N244" s="51" t="str" cm="1">
        <f t="array" ref="N244">IFERROR(_xlfn.SWITCH(L244,"R-FPA",285,"R-FPB",285,"R-FPC",325,"R-FPD",380,"Custom Carton","input W"),0)</f>
        <v>input W</v>
      </c>
      <c r="O244" s="51"/>
      <c r="P244" s="51">
        <f>IFERROR(IF(K244="",0,(M244+N244)*2+15),0)</f>
        <v>0</v>
      </c>
      <c r="Q244" s="51">
        <f>IFERROR(IF(K244="",0,(N244+O244)-10),0)</f>
        <v>0</v>
      </c>
      <c r="R244" s="53">
        <f xml:space="preserve"> P244 * Q244 * (1 + 2.5%) / 1000000</f>
        <v>0</v>
      </c>
      <c r="S244" s="125">
        <f>R244*'[3]RFQ_Matalan Carton'!$M$32</f>
        <v>0</v>
      </c>
      <c r="T244" s="124">
        <f>S244</f>
        <v>0</v>
      </c>
      <c r="U244" s="124">
        <f>I244*T244</f>
        <v>0</v>
      </c>
      <c r="V244" s="123">
        <f>((T244*I244)-W244)*7.5%</f>
        <v>0</v>
      </c>
      <c r="W244" s="124">
        <f>S244*I244*10%</f>
        <v>0</v>
      </c>
      <c r="X244" s="113"/>
    </row>
    <row r="245" spans="1:24">
      <c r="A245" s="118"/>
      <c r="B245" s="118"/>
      <c r="C245" s="119"/>
      <c r="D245" s="118"/>
      <c r="E245" s="118"/>
      <c r="F245" s="118"/>
      <c r="G245" s="119"/>
      <c r="H245" s="119"/>
      <c r="I245" s="119"/>
      <c r="J245" s="119" t="s">
        <v>121</v>
      </c>
      <c r="K245" s="119" t="s">
        <v>68</v>
      </c>
      <c r="L245" s="119" t="s">
        <v>109</v>
      </c>
      <c r="M245" s="51" t="str" cm="1">
        <f t="array" ref="M245">IFERROR(_xlfn.SWITCH(L245,"R-FPA",495,"R-FPB",595,"R-FPC",595,"R-FPD",595,"Custom Carton","input L"),0)</f>
        <v>input L</v>
      </c>
      <c r="N245" s="51" t="str" cm="1">
        <f t="array" ref="N245">IFERROR(_xlfn.SWITCH(L245,"R-FPA",285,"R-FPB",285,"R-FPC",325,"R-FPD",380,"Custom Carton","input W"),0)</f>
        <v>input W</v>
      </c>
      <c r="O245" s="51"/>
      <c r="P245" s="51">
        <f>IFERROR(IF(K245="",0,(M245+N245)*2+15),0)</f>
        <v>0</v>
      </c>
      <c r="Q245" s="51">
        <f>IFERROR(IF(K245="",0,(N245+O245)-10),0)</f>
        <v>0</v>
      </c>
      <c r="R245" s="53">
        <f xml:space="preserve"> P245 * Q245 * (1 + 2.5%) / 1000000</f>
        <v>0</v>
      </c>
      <c r="S245" s="125">
        <f>R245*'[3]RFQ_Matalan Carton'!$M$32</f>
        <v>0</v>
      </c>
      <c r="T245" s="124">
        <f>S245</f>
        <v>0</v>
      </c>
      <c r="U245" s="124">
        <f>I245*T245</f>
        <v>0</v>
      </c>
      <c r="V245" s="123">
        <f>((T245*I245)-W245)*7.5%</f>
        <v>0</v>
      </c>
      <c r="W245" s="124">
        <f>S245*I245*10%</f>
        <v>0</v>
      </c>
      <c r="X245" s="113"/>
    </row>
    <row r="246" spans="1:24">
      <c r="A246" s="118"/>
      <c r="B246" s="118"/>
      <c r="C246" s="119"/>
      <c r="D246" s="118"/>
      <c r="E246" s="118"/>
      <c r="F246" s="118"/>
      <c r="G246" s="119"/>
      <c r="H246" s="119"/>
      <c r="I246" s="119"/>
      <c r="J246" s="119" t="s">
        <v>121</v>
      </c>
      <c r="K246" s="119" t="s">
        <v>68</v>
      </c>
      <c r="L246" s="119" t="s">
        <v>109</v>
      </c>
      <c r="M246" s="51" t="str" cm="1">
        <f t="array" ref="M246">IFERROR(_xlfn.SWITCH(L246,"R-FPA",495,"R-FPB",595,"R-FPC",595,"R-FPD",595,"Custom Carton","input L"),0)</f>
        <v>input L</v>
      </c>
      <c r="N246" s="51" t="str" cm="1">
        <f t="array" ref="N246">IFERROR(_xlfn.SWITCH(L246,"R-FPA",285,"R-FPB",285,"R-FPC",325,"R-FPD",380,"Custom Carton","input W"),0)</f>
        <v>input W</v>
      </c>
      <c r="O246" s="51"/>
      <c r="P246" s="51">
        <f>IFERROR(IF(K246="",0,(M246+N246)*2+15),0)</f>
        <v>0</v>
      </c>
      <c r="Q246" s="51">
        <f>IFERROR(IF(K246="",0,(N246+O246)-10),0)</f>
        <v>0</v>
      </c>
      <c r="R246" s="53">
        <f xml:space="preserve"> P246 * Q246 * (1 + 2.5%) / 1000000</f>
        <v>0</v>
      </c>
      <c r="S246" s="125">
        <f>R246*'[3]RFQ_Matalan Carton'!$M$32</f>
        <v>0</v>
      </c>
      <c r="T246" s="124">
        <f>S246</f>
        <v>0</v>
      </c>
      <c r="U246" s="124">
        <f>I246*T246</f>
        <v>0</v>
      </c>
      <c r="V246" s="123">
        <f>((T246*I246)-W246)*7.5%</f>
        <v>0</v>
      </c>
      <c r="W246" s="124">
        <f>S246*I246*10%</f>
        <v>0</v>
      </c>
      <c r="X246" s="113"/>
    </row>
    <row r="247" spans="1:24">
      <c r="A247" s="118"/>
      <c r="B247" s="118"/>
      <c r="C247" s="119"/>
      <c r="D247" s="118"/>
      <c r="E247" s="118"/>
      <c r="F247" s="118"/>
      <c r="G247" s="119"/>
      <c r="H247" s="119"/>
      <c r="I247" s="119"/>
      <c r="J247" s="119" t="s">
        <v>121</v>
      </c>
      <c r="K247" s="119" t="s">
        <v>68</v>
      </c>
      <c r="L247" s="119" t="s">
        <v>109</v>
      </c>
      <c r="M247" s="51" t="str" cm="1">
        <f t="array" ref="M247">IFERROR(_xlfn.SWITCH(L247,"R-FPA",495,"R-FPB",595,"R-FPC",595,"R-FPD",595,"Custom Carton","input L"),0)</f>
        <v>input L</v>
      </c>
      <c r="N247" s="51" t="str" cm="1">
        <f t="array" ref="N247">IFERROR(_xlfn.SWITCH(L247,"R-FPA",285,"R-FPB",285,"R-FPC",325,"R-FPD",380,"Custom Carton","input W"),0)</f>
        <v>input W</v>
      </c>
      <c r="O247" s="51"/>
      <c r="P247" s="51">
        <f>IFERROR(IF(K247="",0,(M247+N247)*2+15),0)</f>
        <v>0</v>
      </c>
      <c r="Q247" s="51">
        <f>IFERROR(IF(K247="",0,(N247+O247)-10),0)</f>
        <v>0</v>
      </c>
      <c r="R247" s="53">
        <f xml:space="preserve"> P247 * Q247 * (1 + 2.5%) / 1000000</f>
        <v>0</v>
      </c>
      <c r="S247" s="125">
        <f>R247*'[3]RFQ_Matalan Carton'!$M$32</f>
        <v>0</v>
      </c>
      <c r="T247" s="124">
        <f>S247</f>
        <v>0</v>
      </c>
      <c r="U247" s="124">
        <f>I247*T247</f>
        <v>0</v>
      </c>
      <c r="V247" s="123">
        <f>((T247*I247)-W247)*7.5%</f>
        <v>0</v>
      </c>
      <c r="W247" s="124">
        <f>S247*I247*10%</f>
        <v>0</v>
      </c>
      <c r="X247" s="113"/>
    </row>
    <row r="248" spans="1:24">
      <c r="A248" s="118"/>
      <c r="B248" s="118"/>
      <c r="C248" s="119"/>
      <c r="D248" s="118"/>
      <c r="E248" s="118"/>
      <c r="F248" s="118"/>
      <c r="G248" s="119"/>
      <c r="H248" s="119"/>
      <c r="I248" s="119"/>
      <c r="J248" s="119" t="s">
        <v>121</v>
      </c>
      <c r="K248" s="119" t="s">
        <v>68</v>
      </c>
      <c r="L248" s="119" t="s">
        <v>109</v>
      </c>
      <c r="M248" s="51" t="str" cm="1">
        <f t="array" ref="M248">IFERROR(_xlfn.SWITCH(L248,"R-FPA",495,"R-FPB",595,"R-FPC",595,"R-FPD",595,"Custom Carton","input L"),0)</f>
        <v>input L</v>
      </c>
      <c r="N248" s="51" t="str" cm="1">
        <f t="array" ref="N248">IFERROR(_xlfn.SWITCH(L248,"R-FPA",285,"R-FPB",285,"R-FPC",325,"R-FPD",380,"Custom Carton","input W"),0)</f>
        <v>input W</v>
      </c>
      <c r="O248" s="51"/>
      <c r="P248" s="51">
        <f>IFERROR(IF(K248="",0,(M248+N248)*2+15),0)</f>
        <v>0</v>
      </c>
      <c r="Q248" s="51">
        <f>IFERROR(IF(K248="",0,(N248+O248)-10),0)</f>
        <v>0</v>
      </c>
      <c r="R248" s="53">
        <f xml:space="preserve"> P248 * Q248 * (1 + 2.5%) / 1000000</f>
        <v>0</v>
      </c>
      <c r="S248" s="125">
        <f>R248*'[3]RFQ_Matalan Carton'!$M$32</f>
        <v>0</v>
      </c>
      <c r="T248" s="124">
        <f>S248</f>
        <v>0</v>
      </c>
      <c r="U248" s="124">
        <f>I248*T248</f>
        <v>0</v>
      </c>
      <c r="V248" s="123">
        <f>((T248*I248)-W248)*7.5%</f>
        <v>0</v>
      </c>
      <c r="W248" s="124">
        <f>S248*I248*10%</f>
        <v>0</v>
      </c>
      <c r="X248" s="113"/>
    </row>
    <row r="249" spans="1:24">
      <c r="A249" s="118"/>
      <c r="B249" s="118"/>
      <c r="C249" s="119"/>
      <c r="D249" s="118"/>
      <c r="E249" s="118"/>
      <c r="F249" s="118"/>
      <c r="G249" s="119"/>
      <c r="H249" s="119"/>
      <c r="I249" s="119"/>
      <c r="J249" s="119" t="s">
        <v>121</v>
      </c>
      <c r="K249" s="119" t="s">
        <v>68</v>
      </c>
      <c r="L249" s="119" t="s">
        <v>109</v>
      </c>
      <c r="M249" s="51" t="str" cm="1">
        <f t="array" ref="M249">IFERROR(_xlfn.SWITCH(L249,"R-FPA",495,"R-FPB",595,"R-FPC",595,"R-FPD",595,"Custom Carton","input L"),0)</f>
        <v>input L</v>
      </c>
      <c r="N249" s="51" t="str" cm="1">
        <f t="array" ref="N249">IFERROR(_xlfn.SWITCH(L249,"R-FPA",285,"R-FPB",285,"R-FPC",325,"R-FPD",380,"Custom Carton","input W"),0)</f>
        <v>input W</v>
      </c>
      <c r="O249" s="51"/>
      <c r="P249" s="51">
        <f>IFERROR(IF(K249="",0,(M249+N249)*2+15),0)</f>
        <v>0</v>
      </c>
      <c r="Q249" s="51">
        <f>IFERROR(IF(K249="",0,(N249+O249)-10),0)</f>
        <v>0</v>
      </c>
      <c r="R249" s="53">
        <f xml:space="preserve"> P249 * Q249 * (1 + 2.5%) / 1000000</f>
        <v>0</v>
      </c>
      <c r="S249" s="125">
        <f>R249*'[3]RFQ_Matalan Carton'!$M$32</f>
        <v>0</v>
      </c>
      <c r="T249" s="124">
        <f>S249</f>
        <v>0</v>
      </c>
      <c r="U249" s="124">
        <f>I249*T249</f>
        <v>0</v>
      </c>
      <c r="V249" s="123">
        <f>((T249*I249)-W249)*7.5%</f>
        <v>0</v>
      </c>
      <c r="W249" s="124">
        <f>S249*I249*10%</f>
        <v>0</v>
      </c>
      <c r="X249" s="113"/>
    </row>
    <row r="250" spans="1:24">
      <c r="A250" s="118"/>
      <c r="B250" s="118"/>
      <c r="C250" s="119"/>
      <c r="D250" s="118"/>
      <c r="E250" s="118"/>
      <c r="F250" s="118"/>
      <c r="G250" s="119"/>
      <c r="H250" s="119"/>
      <c r="I250" s="119"/>
      <c r="J250" s="119" t="s">
        <v>121</v>
      </c>
      <c r="K250" s="119" t="s">
        <v>68</v>
      </c>
      <c r="L250" s="119" t="s">
        <v>109</v>
      </c>
      <c r="M250" s="51" t="str" cm="1">
        <f t="array" ref="M250">IFERROR(_xlfn.SWITCH(L250,"R-FPA",495,"R-FPB",595,"R-FPC",595,"R-FPD",595,"Custom Carton","input L"),0)</f>
        <v>input L</v>
      </c>
      <c r="N250" s="51" t="str" cm="1">
        <f t="array" ref="N250">IFERROR(_xlfn.SWITCH(L250,"R-FPA",285,"R-FPB",285,"R-FPC",325,"R-FPD",380,"Custom Carton","input W"),0)</f>
        <v>input W</v>
      </c>
      <c r="O250" s="51"/>
      <c r="P250" s="51">
        <f>IFERROR(IF(K250="",0,(M250+N250)*2+15),0)</f>
        <v>0</v>
      </c>
      <c r="Q250" s="51">
        <f>IFERROR(IF(K250="",0,(N250+O250)-10),0)</f>
        <v>0</v>
      </c>
      <c r="R250" s="53">
        <f xml:space="preserve"> P250 * Q250 * (1 + 2.5%) / 1000000</f>
        <v>0</v>
      </c>
      <c r="S250" s="125">
        <f>R250*'[3]RFQ_Matalan Carton'!$M$32</f>
        <v>0</v>
      </c>
      <c r="T250" s="124">
        <f>S250</f>
        <v>0</v>
      </c>
      <c r="U250" s="124">
        <f>I250*T250</f>
        <v>0</v>
      </c>
      <c r="V250" s="123">
        <f>((T250*I250)-W250)*7.5%</f>
        <v>0</v>
      </c>
      <c r="W250" s="124">
        <f>S250*I250*10%</f>
        <v>0</v>
      </c>
      <c r="X250" s="113"/>
    </row>
    <row r="251" spans="1:24">
      <c r="A251" s="118"/>
      <c r="B251" s="118"/>
      <c r="C251" s="119"/>
      <c r="D251" s="118"/>
      <c r="E251" s="118"/>
      <c r="F251" s="118"/>
      <c r="G251" s="119"/>
      <c r="H251" s="119"/>
      <c r="I251" s="119"/>
      <c r="J251" s="119" t="s">
        <v>121</v>
      </c>
      <c r="K251" s="119" t="s">
        <v>68</v>
      </c>
      <c r="L251" s="119" t="s">
        <v>109</v>
      </c>
      <c r="M251" s="51" t="str" cm="1">
        <f t="array" ref="M251">IFERROR(_xlfn.SWITCH(L251,"R-FPA",495,"R-FPB",595,"R-FPC",595,"R-FPD",595,"Custom Carton","input L"),0)</f>
        <v>input L</v>
      </c>
      <c r="N251" s="51" t="str" cm="1">
        <f t="array" ref="N251">IFERROR(_xlfn.SWITCH(L251,"R-FPA",285,"R-FPB",285,"R-FPC",325,"R-FPD",380,"Custom Carton","input W"),0)</f>
        <v>input W</v>
      </c>
      <c r="O251" s="51"/>
      <c r="P251" s="51">
        <f>IFERROR(IF(K251="",0,(M251+N251)*2+15),0)</f>
        <v>0</v>
      </c>
      <c r="Q251" s="51">
        <f>IFERROR(IF(K251="",0,(N251+O251)-10),0)</f>
        <v>0</v>
      </c>
      <c r="R251" s="53">
        <f xml:space="preserve"> P251 * Q251 * (1 + 2.5%) / 1000000</f>
        <v>0</v>
      </c>
      <c r="S251" s="125">
        <f>R251*'[3]RFQ_Matalan Carton'!$M$32</f>
        <v>0</v>
      </c>
      <c r="T251" s="124">
        <f>S251</f>
        <v>0</v>
      </c>
      <c r="U251" s="124">
        <f>I251*T251</f>
        <v>0</v>
      </c>
      <c r="V251" s="123">
        <f>((T251*I251)-W251)*7.5%</f>
        <v>0</v>
      </c>
      <c r="W251" s="124">
        <f>S251*I251*10%</f>
        <v>0</v>
      </c>
      <c r="X251" s="113"/>
    </row>
    <row r="252" spans="1:24">
      <c r="A252" s="118"/>
      <c r="B252" s="118"/>
      <c r="C252" s="119"/>
      <c r="D252" s="118"/>
      <c r="E252" s="118"/>
      <c r="F252" s="118"/>
      <c r="G252" s="119"/>
      <c r="H252" s="119"/>
      <c r="I252" s="119"/>
      <c r="J252" s="119" t="s">
        <v>121</v>
      </c>
      <c r="K252" s="119" t="s">
        <v>68</v>
      </c>
      <c r="L252" s="119" t="s">
        <v>109</v>
      </c>
      <c r="M252" s="51" t="str" cm="1">
        <f t="array" ref="M252">IFERROR(_xlfn.SWITCH(L252,"R-FPA",495,"R-FPB",595,"R-FPC",595,"R-FPD",595,"Custom Carton","input L"),0)</f>
        <v>input L</v>
      </c>
      <c r="N252" s="51" t="str" cm="1">
        <f t="array" ref="N252">IFERROR(_xlfn.SWITCH(L252,"R-FPA",285,"R-FPB",285,"R-FPC",325,"R-FPD",380,"Custom Carton","input W"),0)</f>
        <v>input W</v>
      </c>
      <c r="O252" s="51"/>
      <c r="P252" s="51">
        <f>IFERROR(IF(K252="",0,(M252+N252)*2+15),0)</f>
        <v>0</v>
      </c>
      <c r="Q252" s="51">
        <f>IFERROR(IF(K252="",0,(N252+O252)-10),0)</f>
        <v>0</v>
      </c>
      <c r="R252" s="53">
        <f xml:space="preserve"> P252 * Q252 * (1 + 2.5%) / 1000000</f>
        <v>0</v>
      </c>
      <c r="S252" s="125">
        <f>R252*'[3]RFQ_Matalan Carton'!$M$32</f>
        <v>0</v>
      </c>
      <c r="T252" s="124">
        <f>S252</f>
        <v>0</v>
      </c>
      <c r="U252" s="124">
        <f>I252*T252</f>
        <v>0</v>
      </c>
      <c r="V252" s="123">
        <f>((T252*I252)-W252)*7.5%</f>
        <v>0</v>
      </c>
      <c r="W252" s="124">
        <f>S252*I252*10%</f>
        <v>0</v>
      </c>
      <c r="X252" s="113"/>
    </row>
    <row r="253" spans="1:24">
      <c r="A253" s="118"/>
      <c r="B253" s="118"/>
      <c r="C253" s="119"/>
      <c r="D253" s="118"/>
      <c r="E253" s="118"/>
      <c r="F253" s="118"/>
      <c r="G253" s="119"/>
      <c r="H253" s="119"/>
      <c r="I253" s="119"/>
      <c r="J253" s="119" t="s">
        <v>121</v>
      </c>
      <c r="K253" s="119" t="s">
        <v>68</v>
      </c>
      <c r="L253" s="119" t="s">
        <v>109</v>
      </c>
      <c r="M253" s="51" t="str" cm="1">
        <f t="array" ref="M253">IFERROR(_xlfn.SWITCH(L253,"R-FPA",495,"R-FPB",595,"R-FPC",595,"R-FPD",595,"Custom Carton","input L"),0)</f>
        <v>input L</v>
      </c>
      <c r="N253" s="51" t="str" cm="1">
        <f t="array" ref="N253">IFERROR(_xlfn.SWITCH(L253,"R-FPA",285,"R-FPB",285,"R-FPC",325,"R-FPD",380,"Custom Carton","input W"),0)</f>
        <v>input W</v>
      </c>
      <c r="O253" s="51"/>
      <c r="P253" s="51">
        <f>IFERROR(IF(K253="",0,(M253+N253)*2+15),0)</f>
        <v>0</v>
      </c>
      <c r="Q253" s="51">
        <f>IFERROR(IF(K253="",0,(N253+O253)-10),0)</f>
        <v>0</v>
      </c>
      <c r="R253" s="53">
        <f xml:space="preserve"> P253 * Q253 * (1 + 2.5%) / 1000000</f>
        <v>0</v>
      </c>
      <c r="S253" s="125">
        <f>R253*'[3]RFQ_Matalan Carton'!$M$32</f>
        <v>0</v>
      </c>
      <c r="T253" s="124">
        <f>S253</f>
        <v>0</v>
      </c>
      <c r="U253" s="124">
        <f>I253*T253</f>
        <v>0</v>
      </c>
      <c r="V253" s="123">
        <f>((T253*I253)-W253)*7.5%</f>
        <v>0</v>
      </c>
      <c r="W253" s="124">
        <f>S253*I253*10%</f>
        <v>0</v>
      </c>
      <c r="X253" s="113"/>
    </row>
    <row r="254" spans="1:24">
      <c r="A254" s="118"/>
      <c r="B254" s="118"/>
      <c r="C254" s="119"/>
      <c r="D254" s="118"/>
      <c r="E254" s="118"/>
      <c r="F254" s="118"/>
      <c r="G254" s="119"/>
      <c r="H254" s="119"/>
      <c r="I254" s="119"/>
      <c r="J254" s="119" t="s">
        <v>121</v>
      </c>
      <c r="K254" s="119" t="s">
        <v>68</v>
      </c>
      <c r="L254" s="119" t="s">
        <v>109</v>
      </c>
      <c r="M254" s="51" t="str" cm="1">
        <f t="array" ref="M254">IFERROR(_xlfn.SWITCH(L254,"R-FPA",495,"R-FPB",595,"R-FPC",595,"R-FPD",595,"Custom Carton","input L"),0)</f>
        <v>input L</v>
      </c>
      <c r="N254" s="51" t="str" cm="1">
        <f t="array" ref="N254">IFERROR(_xlfn.SWITCH(L254,"R-FPA",285,"R-FPB",285,"R-FPC",325,"R-FPD",380,"Custom Carton","input W"),0)</f>
        <v>input W</v>
      </c>
      <c r="O254" s="51"/>
      <c r="P254" s="51">
        <f>IFERROR(IF(K254="",0,(M254+N254)*2+15),0)</f>
        <v>0</v>
      </c>
      <c r="Q254" s="51">
        <f>IFERROR(IF(K254="",0,(N254+O254)-10),0)</f>
        <v>0</v>
      </c>
      <c r="R254" s="53">
        <f xml:space="preserve"> P254 * Q254 * (1 + 2.5%) / 1000000</f>
        <v>0</v>
      </c>
      <c r="S254" s="125">
        <f>R254*'[3]RFQ_Matalan Carton'!$M$32</f>
        <v>0</v>
      </c>
      <c r="T254" s="124">
        <f>S254</f>
        <v>0</v>
      </c>
      <c r="U254" s="124">
        <f>I254*T254</f>
        <v>0</v>
      </c>
      <c r="V254" s="123">
        <f>((T254*I254)-W254)*7.5%</f>
        <v>0</v>
      </c>
      <c r="W254" s="124">
        <f>S254*I254*10%</f>
        <v>0</v>
      </c>
      <c r="X254" s="113"/>
    </row>
    <row r="255" spans="1:24">
      <c r="A255" s="118"/>
      <c r="B255" s="118"/>
      <c r="C255" s="119"/>
      <c r="D255" s="118"/>
      <c r="E255" s="118"/>
      <c r="F255" s="118"/>
      <c r="G255" s="119"/>
      <c r="H255" s="119"/>
      <c r="I255" s="119"/>
      <c r="J255" s="119" t="s">
        <v>121</v>
      </c>
      <c r="K255" s="119" t="s">
        <v>68</v>
      </c>
      <c r="L255" s="119" t="s">
        <v>109</v>
      </c>
      <c r="M255" s="51" t="str" cm="1">
        <f t="array" ref="M255">IFERROR(_xlfn.SWITCH(L255,"R-FPA",495,"R-FPB",595,"R-FPC",595,"R-FPD",595,"Custom Carton","input L"),0)</f>
        <v>input L</v>
      </c>
      <c r="N255" s="51" t="str" cm="1">
        <f t="array" ref="N255">IFERROR(_xlfn.SWITCH(L255,"R-FPA",285,"R-FPB",285,"R-FPC",325,"R-FPD",380,"Custom Carton","input W"),0)</f>
        <v>input W</v>
      </c>
      <c r="O255" s="51"/>
      <c r="P255" s="51">
        <f>IFERROR(IF(K255="",0,(M255+N255)*2+15),0)</f>
        <v>0</v>
      </c>
      <c r="Q255" s="51">
        <f>IFERROR(IF(K255="",0,(N255+O255)-10),0)</f>
        <v>0</v>
      </c>
      <c r="R255" s="53">
        <f xml:space="preserve"> P255 * Q255 * (1 + 2.5%) / 1000000</f>
        <v>0</v>
      </c>
      <c r="S255" s="125">
        <f>R255*'[3]RFQ_Matalan Carton'!$M$32</f>
        <v>0</v>
      </c>
      <c r="T255" s="124">
        <f>S255</f>
        <v>0</v>
      </c>
      <c r="U255" s="124">
        <f>I255*T255</f>
        <v>0</v>
      </c>
      <c r="V255" s="123">
        <f>((T255*I255)-W255)*7.5%</f>
        <v>0</v>
      </c>
      <c r="W255" s="124">
        <f>S255*I255*10%</f>
        <v>0</v>
      </c>
      <c r="X255" s="113"/>
    </row>
    <row r="256" spans="1:24">
      <c r="A256" s="118"/>
      <c r="B256" s="118"/>
      <c r="C256" s="119"/>
      <c r="D256" s="118"/>
      <c r="E256" s="118"/>
      <c r="F256" s="118"/>
      <c r="G256" s="119"/>
      <c r="H256" s="119"/>
      <c r="I256" s="119"/>
      <c r="J256" s="119" t="s">
        <v>121</v>
      </c>
      <c r="K256" s="119" t="s">
        <v>68</v>
      </c>
      <c r="L256" s="119" t="s">
        <v>109</v>
      </c>
      <c r="M256" s="51" t="str" cm="1">
        <f t="array" ref="M256">IFERROR(_xlfn.SWITCH(L256,"R-FPA",495,"R-FPB",595,"R-FPC",595,"R-FPD",595,"Custom Carton","input L"),0)</f>
        <v>input L</v>
      </c>
      <c r="N256" s="51" t="str" cm="1">
        <f t="array" ref="N256">IFERROR(_xlfn.SWITCH(L256,"R-FPA",285,"R-FPB",285,"R-FPC",325,"R-FPD",380,"Custom Carton","input W"),0)</f>
        <v>input W</v>
      </c>
      <c r="O256" s="51"/>
      <c r="P256" s="51">
        <f>IFERROR(IF(K256="",0,(M256+N256)*2+15),0)</f>
        <v>0</v>
      </c>
      <c r="Q256" s="51">
        <f>IFERROR(IF(K256="",0,(N256+O256)-10),0)</f>
        <v>0</v>
      </c>
      <c r="R256" s="53">
        <f xml:space="preserve"> P256 * Q256 * (1 + 2.5%) / 1000000</f>
        <v>0</v>
      </c>
      <c r="S256" s="125">
        <f>R256*'[3]RFQ_Matalan Carton'!$M$32</f>
        <v>0</v>
      </c>
      <c r="T256" s="124">
        <f>S256</f>
        <v>0</v>
      </c>
      <c r="U256" s="124">
        <f>I256*T256</f>
        <v>0</v>
      </c>
      <c r="V256" s="123">
        <f>((T256*I256)-W256)*7.5%</f>
        <v>0</v>
      </c>
      <c r="W256" s="124">
        <f>S256*I256*10%</f>
        <v>0</v>
      </c>
      <c r="X256" s="113"/>
    </row>
    <row r="257" spans="1:24">
      <c r="A257" s="118"/>
      <c r="B257" s="118"/>
      <c r="C257" s="119"/>
      <c r="D257" s="118"/>
      <c r="E257" s="118"/>
      <c r="F257" s="118"/>
      <c r="G257" s="119"/>
      <c r="H257" s="119"/>
      <c r="I257" s="119"/>
      <c r="J257" s="119" t="s">
        <v>121</v>
      </c>
      <c r="K257" s="119" t="s">
        <v>68</v>
      </c>
      <c r="L257" s="119" t="s">
        <v>109</v>
      </c>
      <c r="M257" s="51" t="str" cm="1">
        <f t="array" ref="M257">IFERROR(_xlfn.SWITCH(L257,"R-FPA",495,"R-FPB",595,"R-FPC",595,"R-FPD",595,"Custom Carton","input L"),0)</f>
        <v>input L</v>
      </c>
      <c r="N257" s="51" t="str" cm="1">
        <f t="array" ref="N257">IFERROR(_xlfn.SWITCH(L257,"R-FPA",285,"R-FPB",285,"R-FPC",325,"R-FPD",380,"Custom Carton","input W"),0)</f>
        <v>input W</v>
      </c>
      <c r="O257" s="51"/>
      <c r="P257" s="51">
        <f>IFERROR(IF(K257="",0,(M257+N257)*2+15),0)</f>
        <v>0</v>
      </c>
      <c r="Q257" s="51">
        <f>IFERROR(IF(K257="",0,(N257+O257)-10),0)</f>
        <v>0</v>
      </c>
      <c r="R257" s="53">
        <f xml:space="preserve"> P257 * Q257 * (1 + 2.5%) / 1000000</f>
        <v>0</v>
      </c>
      <c r="S257" s="125">
        <f>R257*'[3]RFQ_Matalan Carton'!$M$32</f>
        <v>0</v>
      </c>
      <c r="T257" s="124">
        <f>S257</f>
        <v>0</v>
      </c>
      <c r="U257" s="124">
        <f>I257*T257</f>
        <v>0</v>
      </c>
      <c r="V257" s="123">
        <f>((T257*I257)-W257)*7.5%</f>
        <v>0</v>
      </c>
      <c r="W257" s="124">
        <f>S257*I257*10%</f>
        <v>0</v>
      </c>
      <c r="X257" s="113"/>
    </row>
    <row r="258" spans="1:24">
      <c r="A258" s="118"/>
      <c r="B258" s="118"/>
      <c r="C258" s="119"/>
      <c r="D258" s="118"/>
      <c r="E258" s="118"/>
      <c r="F258" s="118"/>
      <c r="G258" s="119"/>
      <c r="H258" s="119"/>
      <c r="I258" s="119"/>
      <c r="J258" s="119" t="s">
        <v>121</v>
      </c>
      <c r="K258" s="119" t="s">
        <v>68</v>
      </c>
      <c r="L258" s="119" t="s">
        <v>109</v>
      </c>
      <c r="M258" s="51" t="str" cm="1">
        <f t="array" ref="M258">IFERROR(_xlfn.SWITCH(L258,"R-FPA",495,"R-FPB",595,"R-FPC",595,"R-FPD",595,"Custom Carton","input L"),0)</f>
        <v>input L</v>
      </c>
      <c r="N258" s="51" t="str" cm="1">
        <f t="array" ref="N258">IFERROR(_xlfn.SWITCH(L258,"R-FPA",285,"R-FPB",285,"R-FPC",325,"R-FPD",380,"Custom Carton","input W"),0)</f>
        <v>input W</v>
      </c>
      <c r="O258" s="51"/>
      <c r="P258" s="51">
        <f>IFERROR(IF(K258="",0,(M258+N258)*2+15),0)</f>
        <v>0</v>
      </c>
      <c r="Q258" s="51">
        <f>IFERROR(IF(K258="",0,(N258+O258)-10),0)</f>
        <v>0</v>
      </c>
      <c r="R258" s="53">
        <f xml:space="preserve"> P258 * Q258 * (1 + 2.5%) / 1000000</f>
        <v>0</v>
      </c>
      <c r="S258" s="125">
        <f>R258*'[3]RFQ_Matalan Carton'!$M$32</f>
        <v>0</v>
      </c>
      <c r="T258" s="124">
        <f>S258</f>
        <v>0</v>
      </c>
      <c r="U258" s="124">
        <f>I258*T258</f>
        <v>0</v>
      </c>
      <c r="V258" s="123">
        <f>((T258*I258)-W258)*7.5%</f>
        <v>0</v>
      </c>
      <c r="W258" s="124">
        <f>S258*I258*10%</f>
        <v>0</v>
      </c>
      <c r="X258" s="113"/>
    </row>
    <row r="259" spans="1:24">
      <c r="A259" s="118"/>
      <c r="B259" s="118"/>
      <c r="C259" s="119"/>
      <c r="D259" s="118"/>
      <c r="E259" s="118"/>
      <c r="F259" s="118"/>
      <c r="G259" s="119"/>
      <c r="H259" s="119"/>
      <c r="I259" s="119"/>
      <c r="J259" s="119" t="s">
        <v>121</v>
      </c>
      <c r="K259" s="119" t="s">
        <v>68</v>
      </c>
      <c r="L259" s="119" t="s">
        <v>109</v>
      </c>
      <c r="M259" s="51" t="str" cm="1">
        <f t="array" ref="M259">IFERROR(_xlfn.SWITCH(L259,"R-FPA",495,"R-FPB",595,"R-FPC",595,"R-FPD",595,"Custom Carton","input L"),0)</f>
        <v>input L</v>
      </c>
      <c r="N259" s="51" t="str" cm="1">
        <f t="array" ref="N259">IFERROR(_xlfn.SWITCH(L259,"R-FPA",285,"R-FPB",285,"R-FPC",325,"R-FPD",380,"Custom Carton","input W"),0)</f>
        <v>input W</v>
      </c>
      <c r="O259" s="51"/>
      <c r="P259" s="51">
        <f>IFERROR(IF(K259="",0,(M259+N259)*2+15),0)</f>
        <v>0</v>
      </c>
      <c r="Q259" s="51">
        <f>IFERROR(IF(K259="",0,(N259+O259)-10),0)</f>
        <v>0</v>
      </c>
      <c r="R259" s="53">
        <f xml:space="preserve"> P259 * Q259 * (1 + 2.5%) / 1000000</f>
        <v>0</v>
      </c>
      <c r="S259" s="125">
        <f>R259*'[3]RFQ_Matalan Carton'!$M$32</f>
        <v>0</v>
      </c>
      <c r="T259" s="124">
        <f>S259</f>
        <v>0</v>
      </c>
      <c r="U259" s="124">
        <f>I259*T259</f>
        <v>0</v>
      </c>
      <c r="V259" s="123">
        <f>((T259*I259)-W259)*7.5%</f>
        <v>0</v>
      </c>
      <c r="W259" s="124">
        <f>S259*I259*10%</f>
        <v>0</v>
      </c>
      <c r="X259" s="113"/>
    </row>
    <row r="260" spans="1:24">
      <c r="A260" s="118"/>
      <c r="B260" s="118"/>
      <c r="C260" s="119"/>
      <c r="D260" s="118"/>
      <c r="E260" s="118"/>
      <c r="F260" s="118"/>
      <c r="G260" s="119"/>
      <c r="H260" s="119"/>
      <c r="I260" s="119"/>
      <c r="J260" s="119" t="s">
        <v>121</v>
      </c>
      <c r="K260" s="119" t="s">
        <v>68</v>
      </c>
      <c r="L260" s="119" t="s">
        <v>109</v>
      </c>
      <c r="M260" s="51" t="str" cm="1">
        <f t="array" ref="M260">IFERROR(_xlfn.SWITCH(L260,"R-FPA",495,"R-FPB",595,"R-FPC",595,"R-FPD",595,"Custom Carton","input L"),0)</f>
        <v>input L</v>
      </c>
      <c r="N260" s="51" t="str" cm="1">
        <f t="array" ref="N260">IFERROR(_xlfn.SWITCH(L260,"R-FPA",285,"R-FPB",285,"R-FPC",325,"R-FPD",380,"Custom Carton","input W"),0)</f>
        <v>input W</v>
      </c>
      <c r="O260" s="51"/>
      <c r="P260" s="51">
        <f>IFERROR(IF(K260="",0,(M260+N260)*2+15),0)</f>
        <v>0</v>
      </c>
      <c r="Q260" s="51">
        <f>IFERROR(IF(K260="",0,(N260+O260)-10),0)</f>
        <v>0</v>
      </c>
      <c r="R260" s="53">
        <f xml:space="preserve"> P260 * Q260 * (1 + 2.5%) / 1000000</f>
        <v>0</v>
      </c>
      <c r="S260" s="125">
        <f>R260*'[3]RFQ_Matalan Carton'!$M$32</f>
        <v>0</v>
      </c>
      <c r="T260" s="124">
        <f>S260</f>
        <v>0</v>
      </c>
      <c r="U260" s="124">
        <f>I260*T260</f>
        <v>0</v>
      </c>
      <c r="V260" s="123">
        <f>((T260*I260)-W260)*7.5%</f>
        <v>0</v>
      </c>
      <c r="W260" s="124">
        <f>S260*I260*10%</f>
        <v>0</v>
      </c>
      <c r="X260" s="113"/>
    </row>
    <row r="261" spans="1:24">
      <c r="A261" s="118"/>
      <c r="B261" s="118"/>
      <c r="C261" s="119"/>
      <c r="D261" s="118"/>
      <c r="E261" s="118"/>
      <c r="F261" s="118"/>
      <c r="G261" s="119"/>
      <c r="H261" s="119"/>
      <c r="I261" s="119"/>
      <c r="J261" s="119" t="s">
        <v>121</v>
      </c>
      <c r="K261" s="119" t="s">
        <v>68</v>
      </c>
      <c r="L261" s="119" t="s">
        <v>109</v>
      </c>
      <c r="M261" s="51" t="str" cm="1">
        <f t="array" ref="M261">IFERROR(_xlfn.SWITCH(L261,"R-FPA",495,"R-FPB",595,"R-FPC",595,"R-FPD",595,"Custom Carton","input L"),0)</f>
        <v>input L</v>
      </c>
      <c r="N261" s="51" t="str" cm="1">
        <f t="array" ref="N261">IFERROR(_xlfn.SWITCH(L261,"R-FPA",285,"R-FPB",285,"R-FPC",325,"R-FPD",380,"Custom Carton","input W"),0)</f>
        <v>input W</v>
      </c>
      <c r="O261" s="51"/>
      <c r="P261" s="51">
        <f>IFERROR(IF(K261="",0,(M261+N261)*2+15),0)</f>
        <v>0</v>
      </c>
      <c r="Q261" s="51">
        <f>IFERROR(IF(K261="",0,(N261+O261)-10),0)</f>
        <v>0</v>
      </c>
      <c r="R261" s="53">
        <f xml:space="preserve"> P261 * Q261 * (1 + 2.5%) / 1000000</f>
        <v>0</v>
      </c>
      <c r="S261" s="125">
        <f>R261*'[3]RFQ_Matalan Carton'!$M$32</f>
        <v>0</v>
      </c>
      <c r="T261" s="124">
        <f>S261</f>
        <v>0</v>
      </c>
      <c r="U261" s="124">
        <f>I261*T261</f>
        <v>0</v>
      </c>
      <c r="V261" s="123">
        <f>((T261*I261)-W261)*7.5%</f>
        <v>0</v>
      </c>
      <c r="W261" s="124">
        <f>S261*I261*10%</f>
        <v>0</v>
      </c>
      <c r="X261" s="113"/>
    </row>
    <row r="262" spans="1:24">
      <c r="A262" s="118"/>
      <c r="B262" s="118"/>
      <c r="C262" s="119"/>
      <c r="D262" s="118"/>
      <c r="E262" s="118"/>
      <c r="F262" s="118"/>
      <c r="G262" s="119"/>
      <c r="H262" s="119"/>
      <c r="I262" s="119"/>
      <c r="J262" s="119" t="s">
        <v>121</v>
      </c>
      <c r="K262" s="119" t="s">
        <v>68</v>
      </c>
      <c r="L262" s="119" t="s">
        <v>109</v>
      </c>
      <c r="M262" s="51" t="str" cm="1">
        <f t="array" ref="M262">IFERROR(_xlfn.SWITCH(L262,"R-FPA",495,"R-FPB",595,"R-FPC",595,"R-FPD",595,"Custom Carton","input L"),0)</f>
        <v>input L</v>
      </c>
      <c r="N262" s="51" t="str" cm="1">
        <f t="array" ref="N262">IFERROR(_xlfn.SWITCH(L262,"R-FPA",285,"R-FPB",285,"R-FPC",325,"R-FPD",380,"Custom Carton","input W"),0)</f>
        <v>input W</v>
      </c>
      <c r="O262" s="51"/>
      <c r="P262" s="51">
        <f>IFERROR(IF(K262="",0,(M262+N262)*2+15),0)</f>
        <v>0</v>
      </c>
      <c r="Q262" s="51">
        <f>IFERROR(IF(K262="",0,(N262+O262)-10),0)</f>
        <v>0</v>
      </c>
      <c r="R262" s="53">
        <f xml:space="preserve"> P262 * Q262 * (1 + 2.5%) / 1000000</f>
        <v>0</v>
      </c>
      <c r="S262" s="125">
        <f>R262*'[3]RFQ_Matalan Carton'!$M$32</f>
        <v>0</v>
      </c>
      <c r="T262" s="124">
        <f>S262</f>
        <v>0</v>
      </c>
      <c r="U262" s="124">
        <f>I262*T262</f>
        <v>0</v>
      </c>
      <c r="V262" s="123">
        <f>((T262*I262)-W262)*7.5%</f>
        <v>0</v>
      </c>
      <c r="W262" s="124">
        <f>S262*I262*10%</f>
        <v>0</v>
      </c>
      <c r="X262" s="113"/>
    </row>
    <row r="263" spans="1:24">
      <c r="A263" s="118"/>
      <c r="B263" s="118"/>
      <c r="C263" s="119"/>
      <c r="D263" s="118"/>
      <c r="E263" s="118"/>
      <c r="F263" s="118"/>
      <c r="G263" s="119"/>
      <c r="H263" s="119"/>
      <c r="I263" s="119"/>
      <c r="J263" s="119" t="s">
        <v>121</v>
      </c>
      <c r="K263" s="119" t="s">
        <v>68</v>
      </c>
      <c r="L263" s="119" t="s">
        <v>109</v>
      </c>
      <c r="M263" s="51" t="str" cm="1">
        <f t="array" ref="M263">IFERROR(_xlfn.SWITCH(L263,"R-FPA",495,"R-FPB",595,"R-FPC",595,"R-FPD",595,"Custom Carton","input L"),0)</f>
        <v>input L</v>
      </c>
      <c r="N263" s="51" t="str" cm="1">
        <f t="array" ref="N263">IFERROR(_xlfn.SWITCH(L263,"R-FPA",285,"R-FPB",285,"R-FPC",325,"R-FPD",380,"Custom Carton","input W"),0)</f>
        <v>input W</v>
      </c>
      <c r="O263" s="51"/>
      <c r="P263" s="51">
        <f>IFERROR(IF(K263="",0,(M263+N263)*2+15),0)</f>
        <v>0</v>
      </c>
      <c r="Q263" s="51">
        <f>IFERROR(IF(K263="",0,(N263+O263)-10),0)</f>
        <v>0</v>
      </c>
      <c r="R263" s="53">
        <f xml:space="preserve"> P263 * Q263 * (1 + 2.5%) / 1000000</f>
        <v>0</v>
      </c>
      <c r="S263" s="125">
        <f>R263*'[3]RFQ_Matalan Carton'!$M$32</f>
        <v>0</v>
      </c>
      <c r="T263" s="124">
        <f>S263</f>
        <v>0</v>
      </c>
      <c r="U263" s="124">
        <f>I263*T263</f>
        <v>0</v>
      </c>
      <c r="V263" s="123">
        <f>((T263*I263)-W263)*7.5%</f>
        <v>0</v>
      </c>
      <c r="W263" s="124">
        <f>S263*I263*10%</f>
        <v>0</v>
      </c>
      <c r="X263" s="113"/>
    </row>
    <row r="264" spans="1:24">
      <c r="A264" s="118"/>
      <c r="B264" s="118"/>
      <c r="C264" s="119"/>
      <c r="D264" s="118"/>
      <c r="E264" s="118"/>
      <c r="F264" s="118"/>
      <c r="G264" s="119"/>
      <c r="H264" s="119"/>
      <c r="I264" s="119"/>
      <c r="J264" s="119" t="s">
        <v>121</v>
      </c>
      <c r="K264" s="119" t="s">
        <v>68</v>
      </c>
      <c r="L264" s="119" t="s">
        <v>109</v>
      </c>
      <c r="M264" s="51" t="str" cm="1">
        <f t="array" ref="M264">IFERROR(_xlfn.SWITCH(L264,"R-FPA",495,"R-FPB",595,"R-FPC",595,"R-FPD",595,"Custom Carton","input L"),0)</f>
        <v>input L</v>
      </c>
      <c r="N264" s="51" t="str" cm="1">
        <f t="array" ref="N264">IFERROR(_xlfn.SWITCH(L264,"R-FPA",285,"R-FPB",285,"R-FPC",325,"R-FPD",380,"Custom Carton","input W"),0)</f>
        <v>input W</v>
      </c>
      <c r="O264" s="51"/>
      <c r="P264" s="51">
        <f>IFERROR(IF(K264="",0,(M264+N264)*2+15),0)</f>
        <v>0</v>
      </c>
      <c r="Q264" s="51">
        <f>IFERROR(IF(K264="",0,(N264+O264)-10),0)</f>
        <v>0</v>
      </c>
      <c r="R264" s="53">
        <f xml:space="preserve"> P264 * Q264 * (1 + 2.5%) / 1000000</f>
        <v>0</v>
      </c>
      <c r="S264" s="125">
        <f>R264*'[3]RFQ_Matalan Carton'!$M$32</f>
        <v>0</v>
      </c>
      <c r="T264" s="124">
        <f>S264</f>
        <v>0</v>
      </c>
      <c r="U264" s="124">
        <f>I264*T264</f>
        <v>0</v>
      </c>
      <c r="V264" s="123">
        <f>((T264*I264)-W264)*7.5%</f>
        <v>0</v>
      </c>
      <c r="W264" s="124">
        <f>S264*I264*10%</f>
        <v>0</v>
      </c>
      <c r="X264" s="113"/>
    </row>
    <row r="265" spans="1:24">
      <c r="A265" s="118"/>
      <c r="B265" s="118"/>
      <c r="C265" s="119"/>
      <c r="D265" s="118"/>
      <c r="E265" s="118"/>
      <c r="F265" s="118"/>
      <c r="G265" s="119"/>
      <c r="H265" s="119"/>
      <c r="I265" s="119"/>
      <c r="J265" s="119" t="s">
        <v>121</v>
      </c>
      <c r="K265" s="119" t="s">
        <v>68</v>
      </c>
      <c r="L265" s="119" t="s">
        <v>109</v>
      </c>
      <c r="M265" s="51" t="str" cm="1">
        <f t="array" ref="M265">IFERROR(_xlfn.SWITCH(L265,"R-FPA",495,"R-FPB",595,"R-FPC",595,"R-FPD",595,"Custom Carton","input L"),0)</f>
        <v>input L</v>
      </c>
      <c r="N265" s="51" t="str" cm="1">
        <f t="array" ref="N265">IFERROR(_xlfn.SWITCH(L265,"R-FPA",285,"R-FPB",285,"R-FPC",325,"R-FPD",380,"Custom Carton","input W"),0)</f>
        <v>input W</v>
      </c>
      <c r="O265" s="51"/>
      <c r="P265" s="51">
        <f>IFERROR(IF(K265="",0,(M265+N265)*2+15),0)</f>
        <v>0</v>
      </c>
      <c r="Q265" s="51">
        <f>IFERROR(IF(K265="",0,(N265+O265)-10),0)</f>
        <v>0</v>
      </c>
      <c r="R265" s="53">
        <f xml:space="preserve"> P265 * Q265 * (1 + 2.5%) / 1000000</f>
        <v>0</v>
      </c>
      <c r="S265" s="125">
        <f>R265*'[3]RFQ_Matalan Carton'!$M$32</f>
        <v>0</v>
      </c>
      <c r="T265" s="124">
        <f>S265</f>
        <v>0</v>
      </c>
      <c r="U265" s="124">
        <f>I265*T265</f>
        <v>0</v>
      </c>
      <c r="V265" s="123">
        <f>((T265*I265)-W265)*7.5%</f>
        <v>0</v>
      </c>
      <c r="W265" s="124">
        <f>S265*I265*10%</f>
        <v>0</v>
      </c>
      <c r="X265" s="113"/>
    </row>
    <row r="266" spans="1:24">
      <c r="A266" s="118"/>
      <c r="B266" s="118"/>
      <c r="C266" s="119"/>
      <c r="D266" s="118"/>
      <c r="E266" s="118"/>
      <c r="F266" s="118"/>
      <c r="G266" s="119"/>
      <c r="H266" s="119"/>
      <c r="I266" s="119"/>
      <c r="J266" s="119" t="s">
        <v>121</v>
      </c>
      <c r="K266" s="119" t="s">
        <v>68</v>
      </c>
      <c r="L266" s="119" t="s">
        <v>109</v>
      </c>
      <c r="M266" s="51" t="str" cm="1">
        <f t="array" ref="M266">IFERROR(_xlfn.SWITCH(L266,"R-FPA",495,"R-FPB",595,"R-FPC",595,"R-FPD",595,"Custom Carton","input L"),0)</f>
        <v>input L</v>
      </c>
      <c r="N266" s="51" t="str" cm="1">
        <f t="array" ref="N266">IFERROR(_xlfn.SWITCH(L266,"R-FPA",285,"R-FPB",285,"R-FPC",325,"R-FPD",380,"Custom Carton","input W"),0)</f>
        <v>input W</v>
      </c>
      <c r="O266" s="51"/>
      <c r="P266" s="51">
        <f>IFERROR(IF(K266="",0,(M266+N266)*2+15),0)</f>
        <v>0</v>
      </c>
      <c r="Q266" s="51">
        <f>IFERROR(IF(K266="",0,(N266+O266)-10),0)</f>
        <v>0</v>
      </c>
      <c r="R266" s="53">
        <f xml:space="preserve"> P266 * Q266 * (1 + 2.5%) / 1000000</f>
        <v>0</v>
      </c>
      <c r="S266" s="125">
        <f>R266*'[3]RFQ_Matalan Carton'!$M$32</f>
        <v>0</v>
      </c>
      <c r="T266" s="124">
        <f>S266</f>
        <v>0</v>
      </c>
      <c r="U266" s="124">
        <f>I266*T266</f>
        <v>0</v>
      </c>
      <c r="V266" s="123">
        <f>((T266*I266)-W266)*7.5%</f>
        <v>0</v>
      </c>
      <c r="W266" s="124">
        <f>S266*I266*10%</f>
        <v>0</v>
      </c>
      <c r="X266" s="113"/>
    </row>
    <row r="267" spans="1:24">
      <c r="A267" s="118"/>
      <c r="B267" s="118"/>
      <c r="C267" s="119"/>
      <c r="D267" s="118"/>
      <c r="E267" s="118"/>
      <c r="F267" s="118"/>
      <c r="G267" s="119"/>
      <c r="H267" s="119"/>
      <c r="I267" s="119"/>
      <c r="J267" s="119" t="s">
        <v>121</v>
      </c>
      <c r="K267" s="119" t="s">
        <v>68</v>
      </c>
      <c r="L267" s="119" t="s">
        <v>109</v>
      </c>
      <c r="M267" s="51" t="str" cm="1">
        <f t="array" ref="M267">IFERROR(_xlfn.SWITCH(L267,"R-FPA",495,"R-FPB",595,"R-FPC",595,"R-FPD",595,"Custom Carton","input L"),0)</f>
        <v>input L</v>
      </c>
      <c r="N267" s="51" t="str" cm="1">
        <f t="array" ref="N267">IFERROR(_xlfn.SWITCH(L267,"R-FPA",285,"R-FPB",285,"R-FPC",325,"R-FPD",380,"Custom Carton","input W"),0)</f>
        <v>input W</v>
      </c>
      <c r="O267" s="51"/>
      <c r="P267" s="51">
        <f>IFERROR(IF(K267="",0,(M267+N267)*2+15),0)</f>
        <v>0</v>
      </c>
      <c r="Q267" s="51">
        <f>IFERROR(IF(K267="",0,(N267+O267)-10),0)</f>
        <v>0</v>
      </c>
      <c r="R267" s="53">
        <f xml:space="preserve"> P267 * Q267 * (1 + 2.5%) / 1000000</f>
        <v>0</v>
      </c>
      <c r="S267" s="125">
        <f>R267*'[3]RFQ_Matalan Carton'!$M$32</f>
        <v>0</v>
      </c>
      <c r="T267" s="124">
        <f>S267</f>
        <v>0</v>
      </c>
      <c r="U267" s="124">
        <f>I267*T267</f>
        <v>0</v>
      </c>
      <c r="V267" s="123">
        <f>((T267*I267)-W267)*7.5%</f>
        <v>0</v>
      </c>
      <c r="W267" s="124">
        <f>S267*I267*10%</f>
        <v>0</v>
      </c>
      <c r="X267" s="113"/>
    </row>
    <row r="268" spans="1:24">
      <c r="A268" s="118"/>
      <c r="B268" s="118"/>
      <c r="C268" s="119"/>
      <c r="D268" s="118"/>
      <c r="E268" s="118"/>
      <c r="F268" s="118"/>
      <c r="G268" s="119"/>
      <c r="H268" s="119"/>
      <c r="I268" s="119"/>
      <c r="J268" s="119" t="s">
        <v>121</v>
      </c>
      <c r="K268" s="119" t="s">
        <v>68</v>
      </c>
      <c r="L268" s="119" t="s">
        <v>109</v>
      </c>
      <c r="M268" s="51" t="str" cm="1">
        <f t="array" ref="M268">IFERROR(_xlfn.SWITCH(L268,"R-FPA",495,"R-FPB",595,"R-FPC",595,"R-FPD",595,"Custom Carton","input L"),0)</f>
        <v>input L</v>
      </c>
      <c r="N268" s="51" t="str" cm="1">
        <f t="array" ref="N268">IFERROR(_xlfn.SWITCH(L268,"R-FPA",285,"R-FPB",285,"R-FPC",325,"R-FPD",380,"Custom Carton","input W"),0)</f>
        <v>input W</v>
      </c>
      <c r="O268" s="51"/>
      <c r="P268" s="51">
        <f>IFERROR(IF(K268="",0,(M268+N268)*2+15),0)</f>
        <v>0</v>
      </c>
      <c r="Q268" s="51">
        <f>IFERROR(IF(K268="",0,(N268+O268)-10),0)</f>
        <v>0</v>
      </c>
      <c r="R268" s="53">
        <f xml:space="preserve"> P268 * Q268 * (1 + 2.5%) / 1000000</f>
        <v>0</v>
      </c>
      <c r="S268" s="125">
        <f>R268*'[3]RFQ_Matalan Carton'!$M$32</f>
        <v>0</v>
      </c>
      <c r="T268" s="124">
        <f>S268</f>
        <v>0</v>
      </c>
      <c r="U268" s="124">
        <f>I268*T268</f>
        <v>0</v>
      </c>
      <c r="V268" s="123">
        <f>((T268*I268)-W268)*7.5%</f>
        <v>0</v>
      </c>
      <c r="W268" s="124">
        <f>S268*I268*10%</f>
        <v>0</v>
      </c>
      <c r="X268" s="113"/>
    </row>
    <row r="269" spans="1:24">
      <c r="A269" s="118"/>
      <c r="B269" s="118"/>
      <c r="C269" s="119"/>
      <c r="D269" s="118"/>
      <c r="E269" s="118"/>
      <c r="F269" s="118"/>
      <c r="G269" s="119"/>
      <c r="H269" s="119"/>
      <c r="I269" s="119"/>
      <c r="J269" s="119" t="s">
        <v>121</v>
      </c>
      <c r="K269" s="119" t="s">
        <v>68</v>
      </c>
      <c r="L269" s="119" t="s">
        <v>109</v>
      </c>
      <c r="M269" s="51" t="str" cm="1">
        <f t="array" ref="M269">IFERROR(_xlfn.SWITCH(L269,"R-FPA",495,"R-FPB",595,"R-FPC",595,"R-FPD",595,"Custom Carton","input L"),0)</f>
        <v>input L</v>
      </c>
      <c r="N269" s="51" t="str" cm="1">
        <f t="array" ref="N269">IFERROR(_xlfn.SWITCH(L269,"R-FPA",285,"R-FPB",285,"R-FPC",325,"R-FPD",380,"Custom Carton","input W"),0)</f>
        <v>input W</v>
      </c>
      <c r="O269" s="51"/>
      <c r="P269" s="51">
        <f>IFERROR(IF(K269="",0,(M269+N269)*2+15),0)</f>
        <v>0</v>
      </c>
      <c r="Q269" s="51">
        <f>IFERROR(IF(K269="",0,(N269+O269)-10),0)</f>
        <v>0</v>
      </c>
      <c r="R269" s="53">
        <f xml:space="preserve"> P269 * Q269 * (1 + 2.5%) / 1000000</f>
        <v>0</v>
      </c>
      <c r="S269" s="125">
        <f>R269*'[3]RFQ_Matalan Carton'!$M$32</f>
        <v>0</v>
      </c>
      <c r="T269" s="124">
        <f>S269</f>
        <v>0</v>
      </c>
      <c r="U269" s="124">
        <f>I269*T269</f>
        <v>0</v>
      </c>
      <c r="V269" s="123">
        <f>((T269*I269)-W269)*7.5%</f>
        <v>0</v>
      </c>
      <c r="W269" s="124">
        <f>S269*I269*10%</f>
        <v>0</v>
      </c>
      <c r="X269" s="113"/>
    </row>
    <row r="270" spans="1:24">
      <c r="A270" s="118"/>
      <c r="B270" s="118"/>
      <c r="C270" s="119"/>
      <c r="D270" s="118"/>
      <c r="E270" s="118"/>
      <c r="F270" s="118"/>
      <c r="G270" s="119"/>
      <c r="H270" s="119"/>
      <c r="I270" s="119"/>
      <c r="J270" s="119" t="s">
        <v>121</v>
      </c>
      <c r="K270" s="119" t="s">
        <v>68</v>
      </c>
      <c r="L270" s="119" t="s">
        <v>109</v>
      </c>
      <c r="M270" s="51" t="str" cm="1">
        <f t="array" ref="M270">IFERROR(_xlfn.SWITCH(L270,"R-FPA",495,"R-FPB",595,"R-FPC",595,"R-FPD",595,"Custom Carton","input L"),0)</f>
        <v>input L</v>
      </c>
      <c r="N270" s="51" t="str" cm="1">
        <f t="array" ref="N270">IFERROR(_xlfn.SWITCH(L270,"R-FPA",285,"R-FPB",285,"R-FPC",325,"R-FPD",380,"Custom Carton","input W"),0)</f>
        <v>input W</v>
      </c>
      <c r="O270" s="51"/>
      <c r="P270" s="51">
        <f>IFERROR(IF(K270="",0,(M270+N270)*2+15),0)</f>
        <v>0</v>
      </c>
      <c r="Q270" s="51">
        <f>IFERROR(IF(K270="",0,(N270+O270)-10),0)</f>
        <v>0</v>
      </c>
      <c r="R270" s="53">
        <f xml:space="preserve"> P270 * Q270 * (1 + 2.5%) / 1000000</f>
        <v>0</v>
      </c>
      <c r="S270" s="125">
        <f>R270*'[3]RFQ_Matalan Carton'!$M$32</f>
        <v>0</v>
      </c>
      <c r="T270" s="124">
        <f>S270</f>
        <v>0</v>
      </c>
      <c r="U270" s="124">
        <f>I270*T270</f>
        <v>0</v>
      </c>
      <c r="V270" s="123">
        <f>((T270*I270)-W270)*7.5%</f>
        <v>0</v>
      </c>
      <c r="W270" s="124">
        <f>S270*I270*10%</f>
        <v>0</v>
      </c>
      <c r="X270" s="113"/>
    </row>
    <row r="271" spans="1:24">
      <c r="A271" s="118"/>
      <c r="B271" s="118"/>
      <c r="C271" s="119"/>
      <c r="D271" s="118"/>
      <c r="E271" s="118"/>
      <c r="F271" s="118"/>
      <c r="G271" s="119"/>
      <c r="H271" s="119"/>
      <c r="I271" s="119"/>
      <c r="J271" s="119" t="s">
        <v>121</v>
      </c>
      <c r="K271" s="119" t="s">
        <v>68</v>
      </c>
      <c r="L271" s="119" t="s">
        <v>109</v>
      </c>
      <c r="M271" s="51" t="str" cm="1">
        <f t="array" ref="M271">IFERROR(_xlfn.SWITCH(L271,"R-FPA",495,"R-FPB",595,"R-FPC",595,"R-FPD",595,"Custom Carton","input L"),0)</f>
        <v>input L</v>
      </c>
      <c r="N271" s="51" t="str" cm="1">
        <f t="array" ref="N271">IFERROR(_xlfn.SWITCH(L271,"R-FPA",285,"R-FPB",285,"R-FPC",325,"R-FPD",380,"Custom Carton","input W"),0)</f>
        <v>input W</v>
      </c>
      <c r="O271" s="51"/>
      <c r="P271" s="51">
        <f>IFERROR(IF(K271="",0,(M271+N271)*2+15),0)</f>
        <v>0</v>
      </c>
      <c r="Q271" s="51">
        <f>IFERROR(IF(K271="",0,(N271+O271)-10),0)</f>
        <v>0</v>
      </c>
      <c r="R271" s="53">
        <f xml:space="preserve"> P271 * Q271 * (1 + 2.5%) / 1000000</f>
        <v>0</v>
      </c>
      <c r="S271" s="125">
        <f>R271*'[3]RFQ_Matalan Carton'!$M$32</f>
        <v>0</v>
      </c>
      <c r="T271" s="124">
        <f>S271</f>
        <v>0</v>
      </c>
      <c r="U271" s="124">
        <f>I271*T271</f>
        <v>0</v>
      </c>
      <c r="V271" s="123">
        <f>((T271*I271)-W271)*7.5%</f>
        <v>0</v>
      </c>
      <c r="W271" s="124">
        <f>S271*I271*10%</f>
        <v>0</v>
      </c>
      <c r="X271" s="113"/>
    </row>
    <row r="272" spans="1:24">
      <c r="A272" s="118"/>
      <c r="B272" s="118"/>
      <c r="C272" s="119"/>
      <c r="D272" s="118"/>
      <c r="E272" s="118"/>
      <c r="F272" s="118"/>
      <c r="G272" s="119"/>
      <c r="H272" s="119"/>
      <c r="I272" s="119"/>
      <c r="J272" s="119" t="s">
        <v>121</v>
      </c>
      <c r="K272" s="119" t="s">
        <v>68</v>
      </c>
      <c r="L272" s="119" t="s">
        <v>109</v>
      </c>
      <c r="M272" s="51" t="str" cm="1">
        <f t="array" ref="M272">IFERROR(_xlfn.SWITCH(L272,"R-FPA",495,"R-FPB",595,"R-FPC",595,"R-FPD",595,"Custom Carton","input L"),0)</f>
        <v>input L</v>
      </c>
      <c r="N272" s="51" t="str" cm="1">
        <f t="array" ref="N272">IFERROR(_xlfn.SWITCH(L272,"R-FPA",285,"R-FPB",285,"R-FPC",325,"R-FPD",380,"Custom Carton","input W"),0)</f>
        <v>input W</v>
      </c>
      <c r="O272" s="51"/>
      <c r="P272" s="51">
        <f>IFERROR(IF(K272="",0,(M272+N272)*2+15),0)</f>
        <v>0</v>
      </c>
      <c r="Q272" s="51">
        <f>IFERROR(IF(K272="",0,(N272+O272)-10),0)</f>
        <v>0</v>
      </c>
      <c r="R272" s="53">
        <f xml:space="preserve"> P272 * Q272 * (1 + 2.5%) / 1000000</f>
        <v>0</v>
      </c>
      <c r="S272" s="125">
        <f>R272*'[3]RFQ_Matalan Carton'!$M$32</f>
        <v>0</v>
      </c>
      <c r="T272" s="124">
        <f>S272</f>
        <v>0</v>
      </c>
      <c r="U272" s="124">
        <f>I272*T272</f>
        <v>0</v>
      </c>
      <c r="V272" s="123">
        <f>((T272*I272)-W272)*7.5%</f>
        <v>0</v>
      </c>
      <c r="W272" s="124">
        <f>S272*I272*10%</f>
        <v>0</v>
      </c>
      <c r="X272" s="113"/>
    </row>
    <row r="273" spans="1:24">
      <c r="A273" s="118"/>
      <c r="B273" s="118"/>
      <c r="C273" s="119"/>
      <c r="D273" s="118"/>
      <c r="E273" s="118"/>
      <c r="F273" s="118"/>
      <c r="G273" s="119"/>
      <c r="H273" s="119"/>
      <c r="I273" s="119"/>
      <c r="J273" s="119" t="s">
        <v>121</v>
      </c>
      <c r="K273" s="119" t="s">
        <v>68</v>
      </c>
      <c r="L273" s="119" t="s">
        <v>109</v>
      </c>
      <c r="M273" s="51" t="str" cm="1">
        <f t="array" ref="M273">IFERROR(_xlfn.SWITCH(L273,"R-FPA",495,"R-FPB",595,"R-FPC",595,"R-FPD",595,"Custom Carton","input L"),0)</f>
        <v>input L</v>
      </c>
      <c r="N273" s="51" t="str" cm="1">
        <f t="array" ref="N273">IFERROR(_xlfn.SWITCH(L273,"R-FPA",285,"R-FPB",285,"R-FPC",325,"R-FPD",380,"Custom Carton","input W"),0)</f>
        <v>input W</v>
      </c>
      <c r="O273" s="51"/>
      <c r="P273" s="51">
        <f>IFERROR(IF(K273="",0,(M273+N273)*2+15),0)</f>
        <v>0</v>
      </c>
      <c r="Q273" s="51">
        <f>IFERROR(IF(K273="",0,(N273+O273)-10),0)</f>
        <v>0</v>
      </c>
      <c r="R273" s="53">
        <f xml:space="preserve"> P273 * Q273 * (1 + 2.5%) / 1000000</f>
        <v>0</v>
      </c>
      <c r="S273" s="125">
        <f>R273*'[3]RFQ_Matalan Carton'!$M$32</f>
        <v>0</v>
      </c>
      <c r="T273" s="124">
        <f>S273</f>
        <v>0</v>
      </c>
      <c r="U273" s="124">
        <f>I273*T273</f>
        <v>0</v>
      </c>
      <c r="V273" s="123">
        <f>((T273*I273)-W273)*7.5%</f>
        <v>0</v>
      </c>
      <c r="W273" s="124">
        <f>S273*I273*10%</f>
        <v>0</v>
      </c>
      <c r="X273" s="113"/>
    </row>
    <row r="274" spans="1:24">
      <c r="A274" s="118"/>
      <c r="B274" s="118"/>
      <c r="C274" s="119"/>
      <c r="D274" s="118"/>
      <c r="E274" s="118"/>
      <c r="F274" s="118"/>
      <c r="G274" s="119"/>
      <c r="H274" s="119"/>
      <c r="I274" s="119"/>
      <c r="J274" s="119" t="s">
        <v>121</v>
      </c>
      <c r="K274" s="119" t="s">
        <v>68</v>
      </c>
      <c r="L274" s="119" t="s">
        <v>109</v>
      </c>
      <c r="M274" s="51" t="str" cm="1">
        <f t="array" ref="M274">IFERROR(_xlfn.SWITCH(L274,"R-FPA",495,"R-FPB",595,"R-FPC",595,"R-FPD",595,"Custom Carton","input L"),0)</f>
        <v>input L</v>
      </c>
      <c r="N274" s="51" t="str" cm="1">
        <f t="array" ref="N274">IFERROR(_xlfn.SWITCH(L274,"R-FPA",285,"R-FPB",285,"R-FPC",325,"R-FPD",380,"Custom Carton","input W"),0)</f>
        <v>input W</v>
      </c>
      <c r="O274" s="51"/>
      <c r="P274" s="51">
        <f>IFERROR(IF(K274="",0,(M274+N274)*2+15),0)</f>
        <v>0</v>
      </c>
      <c r="Q274" s="51">
        <f>IFERROR(IF(K274="",0,(N274+O274)-10),0)</f>
        <v>0</v>
      </c>
      <c r="R274" s="53">
        <f xml:space="preserve"> P274 * Q274 * (1 + 2.5%) / 1000000</f>
        <v>0</v>
      </c>
      <c r="S274" s="125">
        <f>R274*'[3]RFQ_Matalan Carton'!$M$32</f>
        <v>0</v>
      </c>
      <c r="T274" s="124">
        <f>S274</f>
        <v>0</v>
      </c>
      <c r="U274" s="124">
        <f>I274*T274</f>
        <v>0</v>
      </c>
      <c r="V274" s="123">
        <f>((T274*I274)-W274)*7.5%</f>
        <v>0</v>
      </c>
      <c r="W274" s="124">
        <f>S274*I274*10%</f>
        <v>0</v>
      </c>
      <c r="X274" s="113"/>
    </row>
    <row r="275" spans="1:24">
      <c r="A275" s="118"/>
      <c r="B275" s="118"/>
      <c r="C275" s="119"/>
      <c r="D275" s="118"/>
      <c r="E275" s="118"/>
      <c r="F275" s="118"/>
      <c r="G275" s="119"/>
      <c r="H275" s="119"/>
      <c r="I275" s="119"/>
      <c r="J275" s="119" t="s">
        <v>121</v>
      </c>
      <c r="K275" s="119" t="s">
        <v>68</v>
      </c>
      <c r="L275" s="119" t="s">
        <v>109</v>
      </c>
      <c r="M275" s="51" t="str" cm="1">
        <f t="array" ref="M275">IFERROR(_xlfn.SWITCH(L275,"R-FPA",495,"R-FPB",595,"R-FPC",595,"R-FPD",595,"Custom Carton","input L"),0)</f>
        <v>input L</v>
      </c>
      <c r="N275" s="51" t="str" cm="1">
        <f t="array" ref="N275">IFERROR(_xlfn.SWITCH(L275,"R-FPA",285,"R-FPB",285,"R-FPC",325,"R-FPD",380,"Custom Carton","input W"),0)</f>
        <v>input W</v>
      </c>
      <c r="O275" s="51"/>
      <c r="P275" s="51">
        <f>IFERROR(IF(K275="",0,(M275+N275)*2+15),0)</f>
        <v>0</v>
      </c>
      <c r="Q275" s="51">
        <f>IFERROR(IF(K275="",0,(N275+O275)-10),0)</f>
        <v>0</v>
      </c>
      <c r="R275" s="53">
        <f xml:space="preserve"> P275 * Q275 * (1 + 2.5%) / 1000000</f>
        <v>0</v>
      </c>
      <c r="S275" s="125">
        <f>R275*'[3]RFQ_Matalan Carton'!$M$32</f>
        <v>0</v>
      </c>
      <c r="T275" s="124">
        <f>S275</f>
        <v>0</v>
      </c>
      <c r="U275" s="124">
        <f>I275*T275</f>
        <v>0</v>
      </c>
      <c r="V275" s="123">
        <f>((T275*I275)-W275)*7.5%</f>
        <v>0</v>
      </c>
      <c r="W275" s="124">
        <f>S275*I275*10%</f>
        <v>0</v>
      </c>
      <c r="X275" s="113"/>
    </row>
    <row r="276" spans="1:24">
      <c r="A276" s="118"/>
      <c r="B276" s="118"/>
      <c r="C276" s="119"/>
      <c r="D276" s="118"/>
      <c r="E276" s="118"/>
      <c r="F276" s="118"/>
      <c r="G276" s="119"/>
      <c r="H276" s="119"/>
      <c r="I276" s="119"/>
      <c r="J276" s="119" t="s">
        <v>121</v>
      </c>
      <c r="K276" s="119" t="s">
        <v>68</v>
      </c>
      <c r="L276" s="119" t="s">
        <v>109</v>
      </c>
      <c r="M276" s="51" t="str" cm="1">
        <f t="array" ref="M276">IFERROR(_xlfn.SWITCH(L276,"R-FPA",495,"R-FPB",595,"R-FPC",595,"R-FPD",595,"Custom Carton","input L"),0)</f>
        <v>input L</v>
      </c>
      <c r="N276" s="51" t="str" cm="1">
        <f t="array" ref="N276">IFERROR(_xlfn.SWITCH(L276,"R-FPA",285,"R-FPB",285,"R-FPC",325,"R-FPD",380,"Custom Carton","input W"),0)</f>
        <v>input W</v>
      </c>
      <c r="O276" s="51"/>
      <c r="P276" s="51">
        <f>IFERROR(IF(K276="",0,(M276+N276)*2+15),0)</f>
        <v>0</v>
      </c>
      <c r="Q276" s="51">
        <f>IFERROR(IF(K276="",0,(N276+O276)-10),0)</f>
        <v>0</v>
      </c>
      <c r="R276" s="53">
        <f xml:space="preserve"> P276 * Q276 * (1 + 2.5%) / 1000000</f>
        <v>0</v>
      </c>
      <c r="S276" s="125">
        <f>R276*'[3]RFQ_Matalan Carton'!$M$32</f>
        <v>0</v>
      </c>
      <c r="T276" s="124">
        <f>S276</f>
        <v>0</v>
      </c>
      <c r="U276" s="124">
        <f>I276*T276</f>
        <v>0</v>
      </c>
      <c r="V276" s="123">
        <f>((T276*I276)-W276)*7.5%</f>
        <v>0</v>
      </c>
      <c r="W276" s="124">
        <f>S276*I276*10%</f>
        <v>0</v>
      </c>
      <c r="X276" s="113"/>
    </row>
    <row r="277" spans="1:24">
      <c r="A277" s="118"/>
      <c r="B277" s="118"/>
      <c r="C277" s="119"/>
      <c r="D277" s="118"/>
      <c r="E277" s="118"/>
      <c r="F277" s="118"/>
      <c r="G277" s="119"/>
      <c r="H277" s="119"/>
      <c r="I277" s="119"/>
      <c r="J277" s="119" t="s">
        <v>121</v>
      </c>
      <c r="K277" s="119" t="s">
        <v>68</v>
      </c>
      <c r="L277" s="119" t="s">
        <v>109</v>
      </c>
      <c r="M277" s="51" t="str" cm="1">
        <f t="array" ref="M277">IFERROR(_xlfn.SWITCH(L277,"R-FPA",495,"R-FPB",595,"R-FPC",595,"R-FPD",595,"Custom Carton","input L"),0)</f>
        <v>input L</v>
      </c>
      <c r="N277" s="51" t="str" cm="1">
        <f t="array" ref="N277">IFERROR(_xlfn.SWITCH(L277,"R-FPA",285,"R-FPB",285,"R-FPC",325,"R-FPD",380,"Custom Carton","input W"),0)</f>
        <v>input W</v>
      </c>
      <c r="O277" s="51"/>
      <c r="P277" s="51">
        <f>IFERROR(IF(K277="",0,(M277+N277)*2+15),0)</f>
        <v>0</v>
      </c>
      <c r="Q277" s="51">
        <f>IFERROR(IF(K277="",0,(N277+O277)-10),0)</f>
        <v>0</v>
      </c>
      <c r="R277" s="53">
        <f xml:space="preserve"> P277 * Q277 * (1 + 2.5%) / 1000000</f>
        <v>0</v>
      </c>
      <c r="S277" s="125">
        <f>R277*'[3]RFQ_Matalan Carton'!$M$32</f>
        <v>0</v>
      </c>
      <c r="T277" s="124">
        <f>S277</f>
        <v>0</v>
      </c>
      <c r="U277" s="124">
        <f>I277*T277</f>
        <v>0</v>
      </c>
      <c r="V277" s="123">
        <f>((T277*I277)-W277)*7.5%</f>
        <v>0</v>
      </c>
      <c r="W277" s="124">
        <f>S277*I277*10%</f>
        <v>0</v>
      </c>
      <c r="X277" s="113"/>
    </row>
    <row r="278" spans="1:24">
      <c r="A278" s="118"/>
      <c r="B278" s="118"/>
      <c r="C278" s="119"/>
      <c r="D278" s="118"/>
      <c r="E278" s="118"/>
      <c r="F278" s="118"/>
      <c r="G278" s="119"/>
      <c r="H278" s="119"/>
      <c r="I278" s="119"/>
      <c r="J278" s="119" t="s">
        <v>121</v>
      </c>
      <c r="K278" s="119" t="s">
        <v>68</v>
      </c>
      <c r="L278" s="119" t="s">
        <v>109</v>
      </c>
      <c r="M278" s="51" t="str" cm="1">
        <f t="array" ref="M278">IFERROR(_xlfn.SWITCH(L278,"R-FPA",495,"R-FPB",595,"R-FPC",595,"R-FPD",595,"Custom Carton","input L"),0)</f>
        <v>input L</v>
      </c>
      <c r="N278" s="51" t="str" cm="1">
        <f t="array" ref="N278">IFERROR(_xlfn.SWITCH(L278,"R-FPA",285,"R-FPB",285,"R-FPC",325,"R-FPD",380,"Custom Carton","input W"),0)</f>
        <v>input W</v>
      </c>
      <c r="O278" s="51"/>
      <c r="P278" s="51">
        <f>IFERROR(IF(K278="",0,(M278+N278)*2+15),0)</f>
        <v>0</v>
      </c>
      <c r="Q278" s="51">
        <f>IFERROR(IF(K278="",0,(N278+O278)-10),0)</f>
        <v>0</v>
      </c>
      <c r="R278" s="53">
        <f xml:space="preserve"> P278 * Q278 * (1 + 2.5%) / 1000000</f>
        <v>0</v>
      </c>
      <c r="S278" s="125">
        <f>R278*'[3]RFQ_Matalan Carton'!$M$32</f>
        <v>0</v>
      </c>
      <c r="T278" s="124">
        <f>S278</f>
        <v>0</v>
      </c>
      <c r="U278" s="124">
        <f>I278*T278</f>
        <v>0</v>
      </c>
      <c r="V278" s="123">
        <f>((T278*I278)-W278)*7.5%</f>
        <v>0</v>
      </c>
      <c r="W278" s="124">
        <f>S278*I278*10%</f>
        <v>0</v>
      </c>
      <c r="X278" s="113"/>
    </row>
    <row r="279" spans="1:24">
      <c r="A279" s="118"/>
      <c r="B279" s="118"/>
      <c r="C279" s="119"/>
      <c r="D279" s="118"/>
      <c r="E279" s="118"/>
      <c r="F279" s="118"/>
      <c r="G279" s="119"/>
      <c r="H279" s="119"/>
      <c r="I279" s="119"/>
      <c r="J279" s="119" t="s">
        <v>121</v>
      </c>
      <c r="K279" s="119" t="s">
        <v>68</v>
      </c>
      <c r="L279" s="119" t="s">
        <v>109</v>
      </c>
      <c r="M279" s="51" t="str" cm="1">
        <f t="array" ref="M279">IFERROR(_xlfn.SWITCH(L279,"R-FPA",495,"R-FPB",595,"R-FPC",595,"R-FPD",595,"Custom Carton","input L"),0)</f>
        <v>input L</v>
      </c>
      <c r="N279" s="51" t="str" cm="1">
        <f t="array" ref="N279">IFERROR(_xlfn.SWITCH(L279,"R-FPA",285,"R-FPB",285,"R-FPC",325,"R-FPD",380,"Custom Carton","input W"),0)</f>
        <v>input W</v>
      </c>
      <c r="O279" s="51"/>
      <c r="P279" s="51">
        <f>IFERROR(IF(K279="",0,(M279+N279)*2+15),0)</f>
        <v>0</v>
      </c>
      <c r="Q279" s="51">
        <f>IFERROR(IF(K279="",0,(N279+O279)-10),0)</f>
        <v>0</v>
      </c>
      <c r="R279" s="53">
        <f xml:space="preserve"> P279 * Q279 * (1 + 2.5%) / 1000000</f>
        <v>0</v>
      </c>
      <c r="S279" s="125">
        <f>R279*'[3]RFQ_Matalan Carton'!$M$32</f>
        <v>0</v>
      </c>
      <c r="T279" s="124">
        <f>S279</f>
        <v>0</v>
      </c>
      <c r="U279" s="124">
        <f>I279*T279</f>
        <v>0</v>
      </c>
      <c r="V279" s="123">
        <f>((T279*I279)-W279)*7.5%</f>
        <v>0</v>
      </c>
      <c r="W279" s="124">
        <f>S279*I279*10%</f>
        <v>0</v>
      </c>
      <c r="X279" s="113"/>
    </row>
    <row r="280" spans="1:24">
      <c r="A280" s="118"/>
      <c r="B280" s="118"/>
      <c r="C280" s="119"/>
      <c r="D280" s="118"/>
      <c r="E280" s="118"/>
      <c r="F280" s="118"/>
      <c r="G280" s="119"/>
      <c r="H280" s="119"/>
      <c r="I280" s="119"/>
      <c r="J280" s="119" t="s">
        <v>121</v>
      </c>
      <c r="K280" s="119" t="s">
        <v>68</v>
      </c>
      <c r="L280" s="119" t="s">
        <v>109</v>
      </c>
      <c r="M280" s="51" t="str" cm="1">
        <f t="array" ref="M280">IFERROR(_xlfn.SWITCH(L280,"R-FPA",495,"R-FPB",595,"R-FPC",595,"R-FPD",595,"Custom Carton","input L"),0)</f>
        <v>input L</v>
      </c>
      <c r="N280" s="51" t="str" cm="1">
        <f t="array" ref="N280">IFERROR(_xlfn.SWITCH(L280,"R-FPA",285,"R-FPB",285,"R-FPC",325,"R-FPD",380,"Custom Carton","input W"),0)</f>
        <v>input W</v>
      </c>
      <c r="O280" s="51"/>
      <c r="P280" s="51">
        <f>IFERROR(IF(K280="",0,(M280+N280)*2+15),0)</f>
        <v>0</v>
      </c>
      <c r="Q280" s="51">
        <f>IFERROR(IF(K280="",0,(N280+O280)-10),0)</f>
        <v>0</v>
      </c>
      <c r="R280" s="53">
        <f xml:space="preserve"> P280 * Q280 * (1 + 2.5%) / 1000000</f>
        <v>0</v>
      </c>
      <c r="S280" s="125">
        <f>R280*'[3]RFQ_Matalan Carton'!$M$32</f>
        <v>0</v>
      </c>
      <c r="T280" s="124">
        <f>S280</f>
        <v>0</v>
      </c>
      <c r="U280" s="124">
        <f>I280*T280</f>
        <v>0</v>
      </c>
      <c r="V280" s="123">
        <f>((T280*I280)-W280)*7.5%</f>
        <v>0</v>
      </c>
      <c r="W280" s="124">
        <f>S280*I280*10%</f>
        <v>0</v>
      </c>
      <c r="X280" s="113"/>
    </row>
    <row r="281" spans="1:24">
      <c r="A281" s="118"/>
      <c r="B281" s="118"/>
      <c r="C281" s="119"/>
      <c r="D281" s="118"/>
      <c r="E281" s="118"/>
      <c r="F281" s="118"/>
      <c r="G281" s="119"/>
      <c r="H281" s="119"/>
      <c r="I281" s="119"/>
      <c r="J281" s="119" t="s">
        <v>121</v>
      </c>
      <c r="K281" s="119" t="s">
        <v>68</v>
      </c>
      <c r="L281" s="119" t="s">
        <v>109</v>
      </c>
      <c r="M281" s="51" t="str" cm="1">
        <f t="array" ref="M281">IFERROR(_xlfn.SWITCH(L281,"R-FPA",495,"R-FPB",595,"R-FPC",595,"R-FPD",595,"Custom Carton","input L"),0)</f>
        <v>input L</v>
      </c>
      <c r="N281" s="51" t="str" cm="1">
        <f t="array" ref="N281">IFERROR(_xlfn.SWITCH(L281,"R-FPA",285,"R-FPB",285,"R-FPC",325,"R-FPD",380,"Custom Carton","input W"),0)</f>
        <v>input W</v>
      </c>
      <c r="O281" s="51"/>
      <c r="P281" s="51">
        <f>IFERROR(IF(K281="",0,(M281+N281)*2+15),0)</f>
        <v>0</v>
      </c>
      <c r="Q281" s="51">
        <f>IFERROR(IF(K281="",0,(N281+O281)-10),0)</f>
        <v>0</v>
      </c>
      <c r="R281" s="53">
        <f xml:space="preserve"> P281 * Q281 * (1 + 2.5%) / 1000000</f>
        <v>0</v>
      </c>
      <c r="S281" s="125">
        <f>R281*'[3]RFQ_Matalan Carton'!$M$32</f>
        <v>0</v>
      </c>
      <c r="T281" s="124">
        <f>S281</f>
        <v>0</v>
      </c>
      <c r="U281" s="124">
        <f>I281*T281</f>
        <v>0</v>
      </c>
      <c r="V281" s="123">
        <f>((T281*I281)-W281)*7.5%</f>
        <v>0</v>
      </c>
      <c r="W281" s="124">
        <f>S281*I281*10%</f>
        <v>0</v>
      </c>
      <c r="X281" s="113"/>
    </row>
    <row r="282" spans="1:24">
      <c r="A282" s="118"/>
      <c r="B282" s="118"/>
      <c r="C282" s="119"/>
      <c r="D282" s="118"/>
      <c r="E282" s="118"/>
      <c r="F282" s="118"/>
      <c r="G282" s="119"/>
      <c r="H282" s="119"/>
      <c r="I282" s="119"/>
      <c r="J282" s="119" t="s">
        <v>121</v>
      </c>
      <c r="K282" s="119" t="s">
        <v>68</v>
      </c>
      <c r="L282" s="119" t="s">
        <v>109</v>
      </c>
      <c r="M282" s="51" t="str" cm="1">
        <f t="array" ref="M282">IFERROR(_xlfn.SWITCH(L282,"R-FPA",495,"R-FPB",595,"R-FPC",595,"R-FPD",595,"Custom Carton","input L"),0)</f>
        <v>input L</v>
      </c>
      <c r="N282" s="51" t="str" cm="1">
        <f t="array" ref="N282">IFERROR(_xlfn.SWITCH(L282,"R-FPA",285,"R-FPB",285,"R-FPC",325,"R-FPD",380,"Custom Carton","input W"),0)</f>
        <v>input W</v>
      </c>
      <c r="O282" s="51"/>
      <c r="P282" s="51">
        <f>IFERROR(IF(K282="",0,(M282+N282)*2+15),0)</f>
        <v>0</v>
      </c>
      <c r="Q282" s="51">
        <f>IFERROR(IF(K282="",0,(N282+O282)-10),0)</f>
        <v>0</v>
      </c>
      <c r="R282" s="53">
        <f xml:space="preserve"> P282 * Q282 * (1 + 2.5%) / 1000000</f>
        <v>0</v>
      </c>
      <c r="S282" s="125">
        <f>R282*'[3]RFQ_Matalan Carton'!$M$32</f>
        <v>0</v>
      </c>
      <c r="T282" s="124">
        <f>S282</f>
        <v>0</v>
      </c>
      <c r="U282" s="124">
        <f>I282*T282</f>
        <v>0</v>
      </c>
      <c r="V282" s="123">
        <f>((T282*I282)-W282)*7.5%</f>
        <v>0</v>
      </c>
      <c r="W282" s="124">
        <f>S282*I282*10%</f>
        <v>0</v>
      </c>
      <c r="X282" s="113"/>
    </row>
    <row r="283" spans="1:24">
      <c r="A283" s="118"/>
      <c r="B283" s="118"/>
      <c r="C283" s="119"/>
      <c r="D283" s="118"/>
      <c r="E283" s="118"/>
      <c r="F283" s="118"/>
      <c r="G283" s="119"/>
      <c r="H283" s="119"/>
      <c r="I283" s="119"/>
      <c r="J283" s="119" t="s">
        <v>121</v>
      </c>
      <c r="K283" s="119" t="s">
        <v>68</v>
      </c>
      <c r="L283" s="119" t="s">
        <v>109</v>
      </c>
      <c r="M283" s="51" t="str" cm="1">
        <f t="array" ref="M283">IFERROR(_xlfn.SWITCH(L283,"R-FPA",495,"R-FPB",595,"R-FPC",595,"R-FPD",595,"Custom Carton","input L"),0)</f>
        <v>input L</v>
      </c>
      <c r="N283" s="51" t="str" cm="1">
        <f t="array" ref="N283">IFERROR(_xlfn.SWITCH(L283,"R-FPA",285,"R-FPB",285,"R-FPC",325,"R-FPD",380,"Custom Carton","input W"),0)</f>
        <v>input W</v>
      </c>
      <c r="O283" s="51"/>
      <c r="P283" s="51">
        <f>IFERROR(IF(K283="",0,(M283+N283)*2+15),0)</f>
        <v>0</v>
      </c>
      <c r="Q283" s="51">
        <f>IFERROR(IF(K283="",0,(N283+O283)-10),0)</f>
        <v>0</v>
      </c>
      <c r="R283" s="53">
        <f xml:space="preserve"> P283 * Q283 * (1 + 2.5%) / 1000000</f>
        <v>0</v>
      </c>
      <c r="S283" s="125">
        <f>R283*'[3]RFQ_Matalan Carton'!$M$32</f>
        <v>0</v>
      </c>
      <c r="T283" s="124">
        <f>S283</f>
        <v>0</v>
      </c>
      <c r="U283" s="124">
        <f>I283*T283</f>
        <v>0</v>
      </c>
      <c r="V283" s="123">
        <f>((T283*I283)-W283)*7.5%</f>
        <v>0</v>
      </c>
      <c r="W283" s="124">
        <f>S283*I283*10%</f>
        <v>0</v>
      </c>
      <c r="X283" s="113"/>
    </row>
    <row r="284" spans="1:24">
      <c r="A284" s="118"/>
      <c r="B284" s="118"/>
      <c r="C284" s="119"/>
      <c r="D284" s="118"/>
      <c r="E284" s="118"/>
      <c r="F284" s="118"/>
      <c r="G284" s="119"/>
      <c r="H284" s="119"/>
      <c r="I284" s="119"/>
      <c r="J284" s="119" t="s">
        <v>121</v>
      </c>
      <c r="K284" s="119" t="s">
        <v>68</v>
      </c>
      <c r="L284" s="119" t="s">
        <v>109</v>
      </c>
      <c r="M284" s="51" t="str" cm="1">
        <f t="array" ref="M284">IFERROR(_xlfn.SWITCH(L284,"R-FPA",495,"R-FPB",595,"R-FPC",595,"R-FPD",595,"Custom Carton","input L"),0)</f>
        <v>input L</v>
      </c>
      <c r="N284" s="51" t="str" cm="1">
        <f t="array" ref="N284">IFERROR(_xlfn.SWITCH(L284,"R-FPA",285,"R-FPB",285,"R-FPC",325,"R-FPD",380,"Custom Carton","input W"),0)</f>
        <v>input W</v>
      </c>
      <c r="O284" s="51"/>
      <c r="P284" s="51">
        <f>IFERROR(IF(K284="",0,(M284+N284)*2+15),0)</f>
        <v>0</v>
      </c>
      <c r="Q284" s="51">
        <f>IFERROR(IF(K284="",0,(N284+O284)-10),0)</f>
        <v>0</v>
      </c>
      <c r="R284" s="53">
        <f xml:space="preserve"> P284 * Q284 * (1 + 2.5%) / 1000000</f>
        <v>0</v>
      </c>
      <c r="S284" s="125">
        <f>R284*'[3]RFQ_Matalan Carton'!$M$32</f>
        <v>0</v>
      </c>
      <c r="T284" s="124">
        <f>S284</f>
        <v>0</v>
      </c>
      <c r="U284" s="124">
        <f>I284*T284</f>
        <v>0</v>
      </c>
      <c r="V284" s="123">
        <f>((T284*I284)-W284)*7.5%</f>
        <v>0</v>
      </c>
      <c r="W284" s="124">
        <f>S284*I284*10%</f>
        <v>0</v>
      </c>
      <c r="X284" s="113"/>
    </row>
    <row r="285" spans="1:24">
      <c r="A285" s="118"/>
      <c r="B285" s="118"/>
      <c r="C285" s="119"/>
      <c r="D285" s="118"/>
      <c r="E285" s="118"/>
      <c r="F285" s="118"/>
      <c r="G285" s="119"/>
      <c r="H285" s="119"/>
      <c r="I285" s="119"/>
      <c r="J285" s="119" t="s">
        <v>121</v>
      </c>
      <c r="K285" s="119" t="s">
        <v>68</v>
      </c>
      <c r="L285" s="119" t="s">
        <v>109</v>
      </c>
      <c r="M285" s="51" t="str" cm="1">
        <f t="array" ref="M285">IFERROR(_xlfn.SWITCH(L285,"R-FPA",495,"R-FPB",595,"R-FPC",595,"R-FPD",595,"Custom Carton","input L"),0)</f>
        <v>input L</v>
      </c>
      <c r="N285" s="51" t="str" cm="1">
        <f t="array" ref="N285">IFERROR(_xlfn.SWITCH(L285,"R-FPA",285,"R-FPB",285,"R-FPC",325,"R-FPD",380,"Custom Carton","input W"),0)</f>
        <v>input W</v>
      </c>
      <c r="O285" s="51"/>
      <c r="P285" s="51">
        <f>IFERROR(IF(K285="",0,(M285+N285)*2+15),0)</f>
        <v>0</v>
      </c>
      <c r="Q285" s="51">
        <f>IFERROR(IF(K285="",0,(N285+O285)-10),0)</f>
        <v>0</v>
      </c>
      <c r="R285" s="53">
        <f xml:space="preserve"> P285 * Q285 * (1 + 2.5%) / 1000000</f>
        <v>0</v>
      </c>
      <c r="S285" s="125">
        <f>R285*'[3]RFQ_Matalan Carton'!$M$32</f>
        <v>0</v>
      </c>
      <c r="T285" s="124">
        <f>S285</f>
        <v>0</v>
      </c>
      <c r="U285" s="124">
        <f>I285*T285</f>
        <v>0</v>
      </c>
      <c r="V285" s="123">
        <f>((T285*I285)-W285)*7.5%</f>
        <v>0</v>
      </c>
      <c r="W285" s="124">
        <f>S285*I285*10%</f>
        <v>0</v>
      </c>
      <c r="X285" s="113"/>
    </row>
    <row r="286" spans="1:24">
      <c r="A286" s="118"/>
      <c r="B286" s="118"/>
      <c r="C286" s="119"/>
      <c r="D286" s="118"/>
      <c r="E286" s="118"/>
      <c r="F286" s="118"/>
      <c r="G286" s="119"/>
      <c r="H286" s="119"/>
      <c r="I286" s="119"/>
      <c r="J286" s="119" t="s">
        <v>121</v>
      </c>
      <c r="K286" s="119" t="s">
        <v>68</v>
      </c>
      <c r="L286" s="119" t="s">
        <v>109</v>
      </c>
      <c r="M286" s="51" t="str" cm="1">
        <f t="array" ref="M286">IFERROR(_xlfn.SWITCH(L286,"R-FPA",495,"R-FPB",595,"R-FPC",595,"R-FPD",595,"Custom Carton","input L"),0)</f>
        <v>input L</v>
      </c>
      <c r="N286" s="51" t="str" cm="1">
        <f t="array" ref="N286">IFERROR(_xlfn.SWITCH(L286,"R-FPA",285,"R-FPB",285,"R-FPC",325,"R-FPD",380,"Custom Carton","input W"),0)</f>
        <v>input W</v>
      </c>
      <c r="O286" s="51"/>
      <c r="P286" s="51">
        <f>IFERROR(IF(K286="",0,(M286+N286)*2+15),0)</f>
        <v>0</v>
      </c>
      <c r="Q286" s="51">
        <f>IFERROR(IF(K286="",0,(N286+O286)-10),0)</f>
        <v>0</v>
      </c>
      <c r="R286" s="53">
        <f xml:space="preserve"> P286 * Q286 * (1 + 2.5%) / 1000000</f>
        <v>0</v>
      </c>
      <c r="S286" s="125">
        <f>R286*'[3]RFQ_Matalan Carton'!$M$32</f>
        <v>0</v>
      </c>
      <c r="T286" s="124">
        <f>S286</f>
        <v>0</v>
      </c>
      <c r="U286" s="124">
        <f>I286*T286</f>
        <v>0</v>
      </c>
      <c r="V286" s="123">
        <f>((T286*I286)-W286)*7.5%</f>
        <v>0</v>
      </c>
      <c r="W286" s="124">
        <f>S286*I286*10%</f>
        <v>0</v>
      </c>
      <c r="X286" s="113"/>
    </row>
    <row r="287" spans="1:24">
      <c r="A287" s="118"/>
      <c r="B287" s="118"/>
      <c r="C287" s="119"/>
      <c r="D287" s="118"/>
      <c r="E287" s="118"/>
      <c r="F287" s="118"/>
      <c r="G287" s="119"/>
      <c r="H287" s="119"/>
      <c r="I287" s="119"/>
      <c r="J287" s="119" t="s">
        <v>121</v>
      </c>
      <c r="K287" s="119" t="s">
        <v>68</v>
      </c>
      <c r="L287" s="119" t="s">
        <v>109</v>
      </c>
      <c r="M287" s="51" t="str" cm="1">
        <f t="array" ref="M287">IFERROR(_xlfn.SWITCH(L287,"R-FPA",495,"R-FPB",595,"R-FPC",595,"R-FPD",595,"Custom Carton","input L"),0)</f>
        <v>input L</v>
      </c>
      <c r="N287" s="51" t="str" cm="1">
        <f t="array" ref="N287">IFERROR(_xlfn.SWITCH(L287,"R-FPA",285,"R-FPB",285,"R-FPC",325,"R-FPD",380,"Custom Carton","input W"),0)</f>
        <v>input W</v>
      </c>
      <c r="O287" s="51"/>
      <c r="P287" s="51">
        <f>IFERROR(IF(K287="",0,(M287+N287)*2+15),0)</f>
        <v>0</v>
      </c>
      <c r="Q287" s="51">
        <f>IFERROR(IF(K287="",0,(N287+O287)-10),0)</f>
        <v>0</v>
      </c>
      <c r="R287" s="53">
        <f xml:space="preserve"> P287 * Q287 * (1 + 2.5%) / 1000000</f>
        <v>0</v>
      </c>
      <c r="S287" s="125">
        <f>R287*'[3]RFQ_Matalan Carton'!$M$32</f>
        <v>0</v>
      </c>
      <c r="T287" s="124">
        <f>S287</f>
        <v>0</v>
      </c>
      <c r="U287" s="124">
        <f>I287*T287</f>
        <v>0</v>
      </c>
      <c r="V287" s="123">
        <f>((T287*I287)-W287)*7.5%</f>
        <v>0</v>
      </c>
      <c r="W287" s="124">
        <f>S287*I287*10%</f>
        <v>0</v>
      </c>
      <c r="X287" s="113"/>
    </row>
    <row r="288" spans="1:24">
      <c r="A288" s="118"/>
      <c r="B288" s="118"/>
      <c r="C288" s="119"/>
      <c r="D288" s="118"/>
      <c r="E288" s="118"/>
      <c r="F288" s="118"/>
      <c r="G288" s="119"/>
      <c r="H288" s="119"/>
      <c r="I288" s="119"/>
      <c r="J288" s="119" t="s">
        <v>121</v>
      </c>
      <c r="K288" s="119" t="s">
        <v>68</v>
      </c>
      <c r="L288" s="119" t="s">
        <v>109</v>
      </c>
      <c r="M288" s="51" t="str" cm="1">
        <f t="array" ref="M288">IFERROR(_xlfn.SWITCH(L288,"R-FPA",495,"R-FPB",595,"R-FPC",595,"R-FPD",595,"Custom Carton","input L"),0)</f>
        <v>input L</v>
      </c>
      <c r="N288" s="51" t="str" cm="1">
        <f t="array" ref="N288">IFERROR(_xlfn.SWITCH(L288,"R-FPA",285,"R-FPB",285,"R-FPC",325,"R-FPD",380,"Custom Carton","input W"),0)</f>
        <v>input W</v>
      </c>
      <c r="O288" s="51"/>
      <c r="P288" s="51">
        <f>IFERROR(IF(K288="",0,(M288+N288)*2+15),0)</f>
        <v>0</v>
      </c>
      <c r="Q288" s="51">
        <f>IFERROR(IF(K288="",0,(N288+O288)-10),0)</f>
        <v>0</v>
      </c>
      <c r="R288" s="53">
        <f xml:space="preserve"> P288 * Q288 * (1 + 2.5%) / 1000000</f>
        <v>0</v>
      </c>
      <c r="S288" s="125">
        <f>R288*'[3]RFQ_Matalan Carton'!$M$32</f>
        <v>0</v>
      </c>
      <c r="T288" s="124">
        <f>S288</f>
        <v>0</v>
      </c>
      <c r="U288" s="124">
        <f>I288*T288</f>
        <v>0</v>
      </c>
      <c r="V288" s="123">
        <f>((T288*I288)-W288)*7.5%</f>
        <v>0</v>
      </c>
      <c r="W288" s="124">
        <f>S288*I288*10%</f>
        <v>0</v>
      </c>
      <c r="X288" s="113"/>
    </row>
    <row r="289" spans="1:24">
      <c r="A289" s="118"/>
      <c r="B289" s="118"/>
      <c r="C289" s="119"/>
      <c r="D289" s="118"/>
      <c r="E289" s="118"/>
      <c r="F289" s="118"/>
      <c r="G289" s="119"/>
      <c r="H289" s="119"/>
      <c r="I289" s="119"/>
      <c r="J289" s="119" t="s">
        <v>121</v>
      </c>
      <c r="K289" s="119" t="s">
        <v>68</v>
      </c>
      <c r="L289" s="119" t="s">
        <v>109</v>
      </c>
      <c r="M289" s="51" t="str" cm="1">
        <f t="array" ref="M289">IFERROR(_xlfn.SWITCH(L289,"R-FPA",495,"R-FPB",595,"R-FPC",595,"R-FPD",595,"Custom Carton","input L"),0)</f>
        <v>input L</v>
      </c>
      <c r="N289" s="51" t="str" cm="1">
        <f t="array" ref="N289">IFERROR(_xlfn.SWITCH(L289,"R-FPA",285,"R-FPB",285,"R-FPC",325,"R-FPD",380,"Custom Carton","input W"),0)</f>
        <v>input W</v>
      </c>
      <c r="O289" s="51"/>
      <c r="P289" s="51">
        <f>IFERROR(IF(K289="",0,(M289+N289)*2+15),0)</f>
        <v>0</v>
      </c>
      <c r="Q289" s="51">
        <f>IFERROR(IF(K289="",0,(N289+O289)-10),0)</f>
        <v>0</v>
      </c>
      <c r="R289" s="53">
        <f xml:space="preserve"> P289 * Q289 * (1 + 2.5%) / 1000000</f>
        <v>0</v>
      </c>
      <c r="S289" s="125">
        <f>R289*'[3]RFQ_Matalan Carton'!$M$32</f>
        <v>0</v>
      </c>
      <c r="T289" s="124">
        <f>S289</f>
        <v>0</v>
      </c>
      <c r="U289" s="124">
        <f>I289*T289</f>
        <v>0</v>
      </c>
      <c r="V289" s="123">
        <f>((T289*I289)-W289)*7.5%</f>
        <v>0</v>
      </c>
      <c r="W289" s="124">
        <f>S289*I289*10%</f>
        <v>0</v>
      </c>
      <c r="X289" s="113"/>
    </row>
    <row r="290" spans="1:24">
      <c r="A290" s="118"/>
      <c r="B290" s="118"/>
      <c r="C290" s="119"/>
      <c r="D290" s="118"/>
      <c r="E290" s="118"/>
      <c r="F290" s="118"/>
      <c r="G290" s="119"/>
      <c r="H290" s="119"/>
      <c r="I290" s="119"/>
      <c r="J290" s="119" t="s">
        <v>121</v>
      </c>
      <c r="K290" s="119" t="s">
        <v>68</v>
      </c>
      <c r="L290" s="119" t="s">
        <v>109</v>
      </c>
      <c r="M290" s="51" t="str" cm="1">
        <f t="array" ref="M290">IFERROR(_xlfn.SWITCH(L290,"R-FPA",495,"R-FPB",595,"R-FPC",595,"R-FPD",595,"Custom Carton","input L"),0)</f>
        <v>input L</v>
      </c>
      <c r="N290" s="51" t="str" cm="1">
        <f t="array" ref="N290">IFERROR(_xlfn.SWITCH(L290,"R-FPA",285,"R-FPB",285,"R-FPC",325,"R-FPD",380,"Custom Carton","input W"),0)</f>
        <v>input W</v>
      </c>
      <c r="O290" s="51"/>
      <c r="P290" s="51">
        <f>IFERROR(IF(K290="",0,(M290+N290)*2+15),0)</f>
        <v>0</v>
      </c>
      <c r="Q290" s="51">
        <f>IFERROR(IF(K290="",0,(N290+O290)-10),0)</f>
        <v>0</v>
      </c>
      <c r="R290" s="53">
        <f xml:space="preserve"> P290 * Q290 * (1 + 2.5%) / 1000000</f>
        <v>0</v>
      </c>
      <c r="S290" s="125">
        <f>R290*'[3]RFQ_Matalan Carton'!$M$32</f>
        <v>0</v>
      </c>
      <c r="T290" s="124">
        <f>S290</f>
        <v>0</v>
      </c>
      <c r="U290" s="124">
        <f>I290*T290</f>
        <v>0</v>
      </c>
      <c r="V290" s="123">
        <f>((T290*I290)-W290)*7.5%</f>
        <v>0</v>
      </c>
      <c r="W290" s="124">
        <f>S290*I290*10%</f>
        <v>0</v>
      </c>
      <c r="X290" s="113"/>
    </row>
    <row r="291" spans="1:24">
      <c r="A291" s="118"/>
      <c r="B291" s="118"/>
      <c r="C291" s="119"/>
      <c r="D291" s="118"/>
      <c r="E291" s="118"/>
      <c r="F291" s="118"/>
      <c r="G291" s="119"/>
      <c r="H291" s="119"/>
      <c r="I291" s="119"/>
      <c r="J291" s="119" t="s">
        <v>121</v>
      </c>
      <c r="K291" s="119" t="s">
        <v>68</v>
      </c>
      <c r="L291" s="119" t="s">
        <v>109</v>
      </c>
      <c r="M291" s="51" t="str" cm="1">
        <f t="array" ref="M291">IFERROR(_xlfn.SWITCH(L291,"R-FPA",495,"R-FPB",595,"R-FPC",595,"R-FPD",595,"Custom Carton","input L"),0)</f>
        <v>input L</v>
      </c>
      <c r="N291" s="51" t="str" cm="1">
        <f t="array" ref="N291">IFERROR(_xlfn.SWITCH(L291,"R-FPA",285,"R-FPB",285,"R-FPC",325,"R-FPD",380,"Custom Carton","input W"),0)</f>
        <v>input W</v>
      </c>
      <c r="O291" s="51"/>
      <c r="P291" s="51">
        <f>IFERROR(IF(K291="",0,(M291+N291)*2+15),0)</f>
        <v>0</v>
      </c>
      <c r="Q291" s="51">
        <f>IFERROR(IF(K291="",0,(N291+O291)-10),0)</f>
        <v>0</v>
      </c>
      <c r="R291" s="53">
        <f xml:space="preserve"> P291 * Q291 * (1 + 2.5%) / 1000000</f>
        <v>0</v>
      </c>
      <c r="S291" s="125">
        <f>R291*'[3]RFQ_Matalan Carton'!$M$32</f>
        <v>0</v>
      </c>
      <c r="T291" s="124">
        <f>S291</f>
        <v>0</v>
      </c>
      <c r="U291" s="124">
        <f>I291*T291</f>
        <v>0</v>
      </c>
      <c r="V291" s="123">
        <f>((T291*I291)-W291)*7.5%</f>
        <v>0</v>
      </c>
      <c r="W291" s="124">
        <f>S291*I291*10%</f>
        <v>0</v>
      </c>
      <c r="X291" s="113"/>
    </row>
    <row r="292" spans="1:24">
      <c r="A292" s="118"/>
      <c r="B292" s="118"/>
      <c r="C292" s="119"/>
      <c r="D292" s="118"/>
      <c r="E292" s="118"/>
      <c r="F292" s="118"/>
      <c r="G292" s="119"/>
      <c r="H292" s="119"/>
      <c r="I292" s="119"/>
      <c r="J292" s="119" t="s">
        <v>121</v>
      </c>
      <c r="K292" s="119" t="s">
        <v>68</v>
      </c>
      <c r="L292" s="119" t="s">
        <v>109</v>
      </c>
      <c r="M292" s="51" t="str" cm="1">
        <f t="array" ref="M292">IFERROR(_xlfn.SWITCH(L292,"R-FPA",495,"R-FPB",595,"R-FPC",595,"R-FPD",595,"Custom Carton","input L"),0)</f>
        <v>input L</v>
      </c>
      <c r="N292" s="51" t="str" cm="1">
        <f t="array" ref="N292">IFERROR(_xlfn.SWITCH(L292,"R-FPA",285,"R-FPB",285,"R-FPC",325,"R-FPD",380,"Custom Carton","input W"),0)</f>
        <v>input W</v>
      </c>
      <c r="O292" s="51"/>
      <c r="P292" s="51">
        <f>IFERROR(IF(K292="",0,(M292+N292)*2+15),0)</f>
        <v>0</v>
      </c>
      <c r="Q292" s="51">
        <f>IFERROR(IF(K292="",0,(N292+O292)-10),0)</f>
        <v>0</v>
      </c>
      <c r="R292" s="53">
        <f xml:space="preserve"> P292 * Q292 * (1 + 2.5%) / 1000000</f>
        <v>0</v>
      </c>
      <c r="S292" s="125">
        <f>R292*'[3]RFQ_Matalan Carton'!$M$32</f>
        <v>0</v>
      </c>
      <c r="T292" s="124">
        <f>S292</f>
        <v>0</v>
      </c>
      <c r="U292" s="124">
        <f>I292*T292</f>
        <v>0</v>
      </c>
      <c r="V292" s="123">
        <f>((T292*I292)-W292)*7.5%</f>
        <v>0</v>
      </c>
      <c r="W292" s="124">
        <f>S292*I292*10%</f>
        <v>0</v>
      </c>
      <c r="X292" s="113"/>
    </row>
    <row r="293" spans="1:24">
      <c r="A293" s="118"/>
      <c r="B293" s="118"/>
      <c r="C293" s="119"/>
      <c r="D293" s="118"/>
      <c r="E293" s="118"/>
      <c r="F293" s="118"/>
      <c r="G293" s="119"/>
      <c r="H293" s="119"/>
      <c r="I293" s="119"/>
      <c r="J293" s="119" t="s">
        <v>121</v>
      </c>
      <c r="K293" s="119" t="s">
        <v>68</v>
      </c>
      <c r="L293" s="119" t="s">
        <v>109</v>
      </c>
      <c r="M293" s="51" t="str" cm="1">
        <f t="array" ref="M293">IFERROR(_xlfn.SWITCH(L293,"R-FPA",495,"R-FPB",595,"R-FPC",595,"R-FPD",595,"Custom Carton","input L"),0)</f>
        <v>input L</v>
      </c>
      <c r="N293" s="51" t="str" cm="1">
        <f t="array" ref="N293">IFERROR(_xlfn.SWITCH(L293,"R-FPA",285,"R-FPB",285,"R-FPC",325,"R-FPD",380,"Custom Carton","input W"),0)</f>
        <v>input W</v>
      </c>
      <c r="O293" s="51"/>
      <c r="P293" s="51">
        <f>IFERROR(IF(K293="",0,(M293+N293)*2+15),0)</f>
        <v>0</v>
      </c>
      <c r="Q293" s="51">
        <f>IFERROR(IF(K293="",0,(N293+O293)-10),0)</f>
        <v>0</v>
      </c>
      <c r="R293" s="53">
        <f xml:space="preserve"> P293 * Q293 * (1 + 2.5%) / 1000000</f>
        <v>0</v>
      </c>
      <c r="S293" s="125">
        <f>R293*'[3]RFQ_Matalan Carton'!$M$32</f>
        <v>0</v>
      </c>
      <c r="T293" s="124">
        <f>S293</f>
        <v>0</v>
      </c>
      <c r="U293" s="124">
        <f>I293*T293</f>
        <v>0</v>
      </c>
      <c r="V293" s="123">
        <f>((T293*I293)-W293)*7.5%</f>
        <v>0</v>
      </c>
      <c r="W293" s="124">
        <f>S293*I293*10%</f>
        <v>0</v>
      </c>
      <c r="X293" s="113"/>
    </row>
    <row r="294" spans="1:24">
      <c r="A294" s="118"/>
      <c r="B294" s="118"/>
      <c r="C294" s="119"/>
      <c r="D294" s="118"/>
      <c r="E294" s="118"/>
      <c r="F294" s="118"/>
      <c r="G294" s="119"/>
      <c r="H294" s="119"/>
      <c r="I294" s="119"/>
      <c r="J294" s="119" t="s">
        <v>121</v>
      </c>
      <c r="K294" s="119" t="s">
        <v>68</v>
      </c>
      <c r="L294" s="119" t="s">
        <v>109</v>
      </c>
      <c r="M294" s="51" t="str" cm="1">
        <f t="array" ref="M294">IFERROR(_xlfn.SWITCH(L294,"R-FPA",495,"R-FPB",595,"R-FPC",595,"R-FPD",595,"Custom Carton","input L"),0)</f>
        <v>input L</v>
      </c>
      <c r="N294" s="51" t="str" cm="1">
        <f t="array" ref="N294">IFERROR(_xlfn.SWITCH(L294,"R-FPA",285,"R-FPB",285,"R-FPC",325,"R-FPD",380,"Custom Carton","input W"),0)</f>
        <v>input W</v>
      </c>
      <c r="O294" s="51"/>
      <c r="P294" s="51">
        <f>IFERROR(IF(K294="",0,(M294+N294)*2+15),0)</f>
        <v>0</v>
      </c>
      <c r="Q294" s="51">
        <f>IFERROR(IF(K294="",0,(N294+O294)-10),0)</f>
        <v>0</v>
      </c>
      <c r="R294" s="53">
        <f xml:space="preserve"> P294 * Q294 * (1 + 2.5%) / 1000000</f>
        <v>0</v>
      </c>
      <c r="S294" s="125">
        <f>R294*'[3]RFQ_Matalan Carton'!$M$32</f>
        <v>0</v>
      </c>
      <c r="T294" s="124">
        <f>S294</f>
        <v>0</v>
      </c>
      <c r="U294" s="124">
        <f>I294*T294</f>
        <v>0</v>
      </c>
      <c r="V294" s="123">
        <f>((T294*I294)-W294)*7.5%</f>
        <v>0</v>
      </c>
      <c r="W294" s="124">
        <f>S294*I294*10%</f>
        <v>0</v>
      </c>
      <c r="X294" s="113"/>
    </row>
    <row r="295" spans="1:24">
      <c r="A295" s="118"/>
      <c r="B295" s="118"/>
      <c r="C295" s="119"/>
      <c r="D295" s="118"/>
      <c r="E295" s="118"/>
      <c r="F295" s="118"/>
      <c r="G295" s="119"/>
      <c r="H295" s="119"/>
      <c r="I295" s="119"/>
      <c r="J295" s="119" t="s">
        <v>121</v>
      </c>
      <c r="K295" s="119" t="s">
        <v>68</v>
      </c>
      <c r="L295" s="119" t="s">
        <v>109</v>
      </c>
      <c r="M295" s="51" t="str" cm="1">
        <f t="array" ref="M295">IFERROR(_xlfn.SWITCH(L295,"R-FPA",495,"R-FPB",595,"R-FPC",595,"R-FPD",595,"Custom Carton","input L"),0)</f>
        <v>input L</v>
      </c>
      <c r="N295" s="51" t="str" cm="1">
        <f t="array" ref="N295">IFERROR(_xlfn.SWITCH(L295,"R-FPA",285,"R-FPB",285,"R-FPC",325,"R-FPD",380,"Custom Carton","input W"),0)</f>
        <v>input W</v>
      </c>
      <c r="O295" s="51"/>
      <c r="P295" s="51">
        <f>IFERROR(IF(K295="",0,(M295+N295)*2+15),0)</f>
        <v>0</v>
      </c>
      <c r="Q295" s="51">
        <f>IFERROR(IF(K295="",0,(N295+O295)-10),0)</f>
        <v>0</v>
      </c>
      <c r="R295" s="53">
        <f xml:space="preserve"> P295 * Q295 * (1 + 2.5%) / 1000000</f>
        <v>0</v>
      </c>
      <c r="S295" s="125">
        <f>R295*'[3]RFQ_Matalan Carton'!$M$32</f>
        <v>0</v>
      </c>
      <c r="T295" s="124">
        <f>S295</f>
        <v>0</v>
      </c>
      <c r="U295" s="124">
        <f>I295*T295</f>
        <v>0</v>
      </c>
      <c r="V295" s="123">
        <f>((T295*I295)-W295)*7.5%</f>
        <v>0</v>
      </c>
      <c r="W295" s="124">
        <f>S295*I295*10%</f>
        <v>0</v>
      </c>
      <c r="X295" s="113"/>
    </row>
    <row r="296" spans="1:24">
      <c r="A296" s="118"/>
      <c r="B296" s="118"/>
      <c r="C296" s="119"/>
      <c r="D296" s="118"/>
      <c r="E296" s="118"/>
      <c r="F296" s="118"/>
      <c r="G296" s="119"/>
      <c r="H296" s="119"/>
      <c r="I296" s="119"/>
      <c r="J296" s="119" t="s">
        <v>121</v>
      </c>
      <c r="K296" s="119" t="s">
        <v>68</v>
      </c>
      <c r="L296" s="119" t="s">
        <v>109</v>
      </c>
      <c r="M296" s="51" t="str" cm="1">
        <f t="array" ref="M296">IFERROR(_xlfn.SWITCH(L296,"R-FPA",495,"R-FPB",595,"R-FPC",595,"R-FPD",595,"Custom Carton","input L"),0)</f>
        <v>input L</v>
      </c>
      <c r="N296" s="51" t="str" cm="1">
        <f t="array" ref="N296">IFERROR(_xlfn.SWITCH(L296,"R-FPA",285,"R-FPB",285,"R-FPC",325,"R-FPD",380,"Custom Carton","input W"),0)</f>
        <v>input W</v>
      </c>
      <c r="O296" s="51"/>
      <c r="P296" s="51">
        <f>IFERROR(IF(K296="",0,(M296+N296)*2+15),0)</f>
        <v>0</v>
      </c>
      <c r="Q296" s="51">
        <f>IFERROR(IF(K296="",0,(N296+O296)-10),0)</f>
        <v>0</v>
      </c>
      <c r="R296" s="53">
        <f xml:space="preserve"> P296 * Q296 * (1 + 2.5%) / 1000000</f>
        <v>0</v>
      </c>
      <c r="S296" s="125">
        <f>R296*'[3]RFQ_Matalan Carton'!$M$32</f>
        <v>0</v>
      </c>
      <c r="T296" s="124">
        <f>S296</f>
        <v>0</v>
      </c>
      <c r="U296" s="124">
        <f>I296*T296</f>
        <v>0</v>
      </c>
      <c r="V296" s="123">
        <f>((T296*I296)-W296)*7.5%</f>
        <v>0</v>
      </c>
      <c r="W296" s="124">
        <f>S296*I296*10%</f>
        <v>0</v>
      </c>
      <c r="X296" s="113"/>
    </row>
    <row r="297" spans="1:24">
      <c r="A297" s="118"/>
      <c r="B297" s="118"/>
      <c r="C297" s="119"/>
      <c r="D297" s="118"/>
      <c r="E297" s="118"/>
      <c r="F297" s="118"/>
      <c r="G297" s="119"/>
      <c r="H297" s="119"/>
      <c r="I297" s="119"/>
      <c r="J297" s="119" t="s">
        <v>121</v>
      </c>
      <c r="K297" s="119" t="s">
        <v>68</v>
      </c>
      <c r="L297" s="119" t="s">
        <v>109</v>
      </c>
      <c r="M297" s="51" t="str" cm="1">
        <f t="array" ref="M297">IFERROR(_xlfn.SWITCH(L297,"R-FPA",495,"R-FPB",595,"R-FPC",595,"R-FPD",595,"Custom Carton","input L"),0)</f>
        <v>input L</v>
      </c>
      <c r="N297" s="51" t="str" cm="1">
        <f t="array" ref="N297">IFERROR(_xlfn.SWITCH(L297,"R-FPA",285,"R-FPB",285,"R-FPC",325,"R-FPD",380,"Custom Carton","input W"),0)</f>
        <v>input W</v>
      </c>
      <c r="O297" s="51"/>
      <c r="P297" s="51">
        <f>IFERROR(IF(K297="",0,(M297+N297)*2+15),0)</f>
        <v>0</v>
      </c>
      <c r="Q297" s="51">
        <f>IFERROR(IF(K297="",0,(N297+O297)-10),0)</f>
        <v>0</v>
      </c>
      <c r="R297" s="53">
        <f xml:space="preserve"> P297 * Q297 * (1 + 2.5%) / 1000000</f>
        <v>0</v>
      </c>
      <c r="S297" s="125">
        <f>R297*'[3]RFQ_Matalan Carton'!$M$32</f>
        <v>0</v>
      </c>
      <c r="T297" s="124">
        <f>S297</f>
        <v>0</v>
      </c>
      <c r="U297" s="124">
        <f>I297*T297</f>
        <v>0</v>
      </c>
      <c r="V297" s="123">
        <f>((T297*I297)-W297)*7.5%</f>
        <v>0</v>
      </c>
      <c r="W297" s="124">
        <f>S297*I297*10%</f>
        <v>0</v>
      </c>
      <c r="X297" s="113"/>
    </row>
    <row r="298" spans="1:24">
      <c r="A298" s="118"/>
      <c r="B298" s="118"/>
      <c r="C298" s="119"/>
      <c r="D298" s="118"/>
      <c r="E298" s="118"/>
      <c r="F298" s="118"/>
      <c r="G298" s="119"/>
      <c r="H298" s="119"/>
      <c r="I298" s="119"/>
      <c r="J298" s="119" t="s">
        <v>121</v>
      </c>
      <c r="K298" s="119" t="s">
        <v>68</v>
      </c>
      <c r="L298" s="119" t="s">
        <v>109</v>
      </c>
      <c r="M298" s="51" t="str" cm="1">
        <f t="array" ref="M298">IFERROR(_xlfn.SWITCH(L298,"R-FPA",495,"R-FPB",595,"R-FPC",595,"R-FPD",595,"Custom Carton","input L"),0)</f>
        <v>input L</v>
      </c>
      <c r="N298" s="51" t="str" cm="1">
        <f t="array" ref="N298">IFERROR(_xlfn.SWITCH(L298,"R-FPA",285,"R-FPB",285,"R-FPC",325,"R-FPD",380,"Custom Carton","input W"),0)</f>
        <v>input W</v>
      </c>
      <c r="O298" s="51"/>
      <c r="P298" s="51">
        <f>IFERROR(IF(K298="",0,(M298+N298)*2+15),0)</f>
        <v>0</v>
      </c>
      <c r="Q298" s="51">
        <f>IFERROR(IF(K298="",0,(N298+O298)-10),0)</f>
        <v>0</v>
      </c>
      <c r="R298" s="53">
        <f xml:space="preserve"> P298 * Q298 * (1 + 2.5%) / 1000000</f>
        <v>0</v>
      </c>
      <c r="S298" s="125">
        <f>R298*'[3]RFQ_Matalan Carton'!$M$32</f>
        <v>0</v>
      </c>
      <c r="T298" s="124">
        <f>S298</f>
        <v>0</v>
      </c>
      <c r="U298" s="124">
        <f>I298*T298</f>
        <v>0</v>
      </c>
      <c r="V298" s="123">
        <f>((T298*I298)-W298)*7.5%</f>
        <v>0</v>
      </c>
      <c r="W298" s="124">
        <f>S298*I298*10%</f>
        <v>0</v>
      </c>
      <c r="X298" s="113"/>
    </row>
    <row r="299" spans="1:24">
      <c r="A299" s="118"/>
      <c r="B299" s="118"/>
      <c r="C299" s="119"/>
      <c r="D299" s="118"/>
      <c r="E299" s="118"/>
      <c r="F299" s="118"/>
      <c r="G299" s="119"/>
      <c r="H299" s="119"/>
      <c r="I299" s="119"/>
      <c r="J299" s="119" t="s">
        <v>121</v>
      </c>
      <c r="K299" s="119" t="s">
        <v>68</v>
      </c>
      <c r="L299" s="119" t="s">
        <v>109</v>
      </c>
      <c r="M299" s="51" t="str" cm="1">
        <f t="array" ref="M299">IFERROR(_xlfn.SWITCH(L299,"R-FPA",495,"R-FPB",595,"R-FPC",595,"R-FPD",595,"Custom Carton","input L"),0)</f>
        <v>input L</v>
      </c>
      <c r="N299" s="51" t="str" cm="1">
        <f t="array" ref="N299">IFERROR(_xlfn.SWITCH(L299,"R-FPA",285,"R-FPB",285,"R-FPC",325,"R-FPD",380,"Custom Carton","input W"),0)</f>
        <v>input W</v>
      </c>
      <c r="O299" s="51"/>
      <c r="P299" s="51">
        <f>IFERROR(IF(K299="",0,(M299+N299)*2+15),0)</f>
        <v>0</v>
      </c>
      <c r="Q299" s="51">
        <f>IFERROR(IF(K299="",0,(N299+O299)-10),0)</f>
        <v>0</v>
      </c>
      <c r="R299" s="53">
        <f xml:space="preserve"> P299 * Q299 * (1 + 2.5%) / 1000000</f>
        <v>0</v>
      </c>
      <c r="S299" s="125">
        <f>R299*'[3]RFQ_Matalan Carton'!$M$32</f>
        <v>0</v>
      </c>
      <c r="T299" s="124">
        <f>S299</f>
        <v>0</v>
      </c>
      <c r="U299" s="124">
        <f>I299*T299</f>
        <v>0</v>
      </c>
      <c r="V299" s="123">
        <f>((T299*I299)-W299)*7.5%</f>
        <v>0</v>
      </c>
      <c r="W299" s="124">
        <f>S299*I299*10%</f>
        <v>0</v>
      </c>
      <c r="X299" s="113"/>
    </row>
    <row r="300" spans="1:24">
      <c r="A300" s="118"/>
      <c r="B300" s="118"/>
      <c r="C300" s="119"/>
      <c r="D300" s="118"/>
      <c r="E300" s="118"/>
      <c r="F300" s="118"/>
      <c r="G300" s="119"/>
      <c r="H300" s="119"/>
      <c r="I300" s="119"/>
      <c r="J300" s="119" t="s">
        <v>121</v>
      </c>
      <c r="K300" s="119" t="s">
        <v>68</v>
      </c>
      <c r="L300" s="119" t="s">
        <v>109</v>
      </c>
      <c r="M300" s="51" t="str" cm="1">
        <f t="array" ref="M300">IFERROR(_xlfn.SWITCH(L300,"R-FPA",495,"R-FPB",595,"R-FPC",595,"R-FPD",595,"Custom Carton","input L"),0)</f>
        <v>input L</v>
      </c>
      <c r="N300" s="51" t="str" cm="1">
        <f t="array" ref="N300">IFERROR(_xlfn.SWITCH(L300,"R-FPA",285,"R-FPB",285,"R-FPC",325,"R-FPD",380,"Custom Carton","input W"),0)</f>
        <v>input W</v>
      </c>
      <c r="O300" s="51"/>
      <c r="P300" s="51">
        <f>IFERROR(IF(K300="",0,(M300+N300)*2+15),0)</f>
        <v>0</v>
      </c>
      <c r="Q300" s="51">
        <f>IFERROR(IF(K300="",0,(N300+O300)-10),0)</f>
        <v>0</v>
      </c>
      <c r="R300" s="53">
        <f xml:space="preserve"> P300 * Q300 * (1 + 2.5%) / 1000000</f>
        <v>0</v>
      </c>
      <c r="S300" s="125">
        <f>R300*'[3]RFQ_Matalan Carton'!$M$32</f>
        <v>0</v>
      </c>
      <c r="T300" s="124">
        <f>S300</f>
        <v>0</v>
      </c>
      <c r="U300" s="124">
        <f>I300*T300</f>
        <v>0</v>
      </c>
      <c r="V300" s="123">
        <f>((T300*I300)-W300)*7.5%</f>
        <v>0</v>
      </c>
      <c r="W300" s="124">
        <f>S300*I300*10%</f>
        <v>0</v>
      </c>
      <c r="X300" s="113"/>
    </row>
    <row r="301" spans="1:24">
      <c r="A301" s="118"/>
      <c r="B301" s="118"/>
      <c r="C301" s="119"/>
      <c r="D301" s="118"/>
      <c r="E301" s="118"/>
      <c r="F301" s="118"/>
      <c r="G301" s="119"/>
      <c r="H301" s="119"/>
      <c r="I301" s="119"/>
      <c r="J301" s="119" t="s">
        <v>121</v>
      </c>
      <c r="K301" s="119" t="s">
        <v>68</v>
      </c>
      <c r="L301" s="119" t="s">
        <v>109</v>
      </c>
      <c r="M301" s="51" t="str" cm="1">
        <f t="array" ref="M301">IFERROR(_xlfn.SWITCH(L301,"R-FPA",495,"R-FPB",595,"R-FPC",595,"R-FPD",595,"Custom Carton","input L"),0)</f>
        <v>input L</v>
      </c>
      <c r="N301" s="51" t="str" cm="1">
        <f t="array" ref="N301">IFERROR(_xlfn.SWITCH(L301,"R-FPA",285,"R-FPB",285,"R-FPC",325,"R-FPD",380,"Custom Carton","input W"),0)</f>
        <v>input W</v>
      </c>
      <c r="O301" s="51"/>
      <c r="P301" s="51">
        <f>IFERROR(IF(K301="",0,(M301+N301)*2+15),0)</f>
        <v>0</v>
      </c>
      <c r="Q301" s="51">
        <f>IFERROR(IF(K301="",0,(N301+O301)-10),0)</f>
        <v>0</v>
      </c>
      <c r="R301" s="53">
        <f xml:space="preserve"> P301 * Q301 * (1 + 2.5%) / 1000000</f>
        <v>0</v>
      </c>
      <c r="S301" s="125">
        <f>R301*'[3]RFQ_Matalan Carton'!$M$32</f>
        <v>0</v>
      </c>
      <c r="T301" s="124">
        <f>S301</f>
        <v>0</v>
      </c>
      <c r="U301" s="124">
        <f>I301*T301</f>
        <v>0</v>
      </c>
      <c r="V301" s="123">
        <f>((T301*I301)-W301)*7.5%</f>
        <v>0</v>
      </c>
      <c r="W301" s="124">
        <f>S301*I301*10%</f>
        <v>0</v>
      </c>
      <c r="X301" s="113"/>
    </row>
    <row r="302" spans="1:24">
      <c r="A302" s="118"/>
      <c r="B302" s="118"/>
      <c r="C302" s="119"/>
      <c r="D302" s="118"/>
      <c r="E302" s="118"/>
      <c r="F302" s="118"/>
      <c r="G302" s="119"/>
      <c r="H302" s="119"/>
      <c r="I302" s="119"/>
      <c r="J302" s="119" t="s">
        <v>121</v>
      </c>
      <c r="K302" s="119" t="s">
        <v>68</v>
      </c>
      <c r="L302" s="119" t="s">
        <v>109</v>
      </c>
      <c r="M302" s="51" t="str" cm="1">
        <f t="array" ref="M302">IFERROR(_xlfn.SWITCH(L302,"R-FPA",495,"R-FPB",595,"R-FPC",595,"R-FPD",595,"Custom Carton","input L"),0)</f>
        <v>input L</v>
      </c>
      <c r="N302" s="51" t="str" cm="1">
        <f t="array" ref="N302">IFERROR(_xlfn.SWITCH(L302,"R-FPA",285,"R-FPB",285,"R-FPC",325,"R-FPD",380,"Custom Carton","input W"),0)</f>
        <v>input W</v>
      </c>
      <c r="O302" s="51"/>
      <c r="P302" s="51">
        <f>IFERROR(IF(K302="",0,(M302+N302)*2+15),0)</f>
        <v>0</v>
      </c>
      <c r="Q302" s="51">
        <f>IFERROR(IF(K302="",0,(N302+O302)-10),0)</f>
        <v>0</v>
      </c>
      <c r="R302" s="53">
        <f xml:space="preserve"> P302 * Q302 * (1 + 2.5%) / 1000000</f>
        <v>0</v>
      </c>
      <c r="S302" s="125">
        <f>R302*'[3]RFQ_Matalan Carton'!$M$32</f>
        <v>0</v>
      </c>
      <c r="T302" s="124">
        <f>S302</f>
        <v>0</v>
      </c>
      <c r="U302" s="124">
        <f>I302*T302</f>
        <v>0</v>
      </c>
      <c r="V302" s="123">
        <f>((T302*I302)-W302)*7.5%</f>
        <v>0</v>
      </c>
      <c r="W302" s="124">
        <f>S302*I302*10%</f>
        <v>0</v>
      </c>
      <c r="X302" s="113"/>
    </row>
    <row r="303" spans="1:24">
      <c r="A303" s="118"/>
      <c r="B303" s="118"/>
      <c r="C303" s="119"/>
      <c r="D303" s="118"/>
      <c r="E303" s="118"/>
      <c r="F303" s="118"/>
      <c r="G303" s="119"/>
      <c r="H303" s="119"/>
      <c r="I303" s="119"/>
      <c r="J303" s="119" t="s">
        <v>121</v>
      </c>
      <c r="K303" s="119" t="s">
        <v>68</v>
      </c>
      <c r="L303" s="119" t="s">
        <v>109</v>
      </c>
      <c r="M303" s="51" t="str" cm="1">
        <f t="array" ref="M303">IFERROR(_xlfn.SWITCH(L303,"R-FPA",495,"R-FPB",595,"R-FPC",595,"R-FPD",595,"Custom Carton","input L"),0)</f>
        <v>input L</v>
      </c>
      <c r="N303" s="51" t="str" cm="1">
        <f t="array" ref="N303">IFERROR(_xlfn.SWITCH(L303,"R-FPA",285,"R-FPB",285,"R-FPC",325,"R-FPD",380,"Custom Carton","input W"),0)</f>
        <v>input W</v>
      </c>
      <c r="O303" s="51"/>
      <c r="P303" s="51">
        <f>IFERROR(IF(K303="",0,(M303+N303)*2+15),0)</f>
        <v>0</v>
      </c>
      <c r="Q303" s="51">
        <f>IFERROR(IF(K303="",0,(N303+O303)-10),0)</f>
        <v>0</v>
      </c>
      <c r="R303" s="53">
        <f xml:space="preserve"> P303 * Q303 * (1 + 2.5%) / 1000000</f>
        <v>0</v>
      </c>
      <c r="S303" s="125">
        <f>R303*'[3]RFQ_Matalan Carton'!$M$32</f>
        <v>0</v>
      </c>
      <c r="T303" s="124">
        <f>S303</f>
        <v>0</v>
      </c>
      <c r="U303" s="124">
        <f>I303*T303</f>
        <v>0</v>
      </c>
      <c r="V303" s="123">
        <f>((T303*I303)-W303)*7.5%</f>
        <v>0</v>
      </c>
      <c r="W303" s="124">
        <f>S303*I303*10%</f>
        <v>0</v>
      </c>
      <c r="X303" s="113"/>
    </row>
    <row r="304" spans="1:24">
      <c r="A304" s="118"/>
      <c r="B304" s="118"/>
      <c r="C304" s="119"/>
      <c r="D304" s="118"/>
      <c r="E304" s="118"/>
      <c r="F304" s="118"/>
      <c r="G304" s="119"/>
      <c r="H304" s="119"/>
      <c r="I304" s="119"/>
      <c r="J304" s="119" t="s">
        <v>121</v>
      </c>
      <c r="K304" s="119" t="s">
        <v>68</v>
      </c>
      <c r="L304" s="119" t="s">
        <v>109</v>
      </c>
      <c r="M304" s="51" t="str" cm="1">
        <f t="array" ref="M304">IFERROR(_xlfn.SWITCH(L304,"R-FPA",495,"R-FPB",595,"R-FPC",595,"R-FPD",595,"Custom Carton","input L"),0)</f>
        <v>input L</v>
      </c>
      <c r="N304" s="51" t="str" cm="1">
        <f t="array" ref="N304">IFERROR(_xlfn.SWITCH(L304,"R-FPA",285,"R-FPB",285,"R-FPC",325,"R-FPD",380,"Custom Carton","input W"),0)</f>
        <v>input W</v>
      </c>
      <c r="O304" s="51"/>
      <c r="P304" s="51">
        <f>IFERROR(IF(K304="",0,(M304+N304)*2+15),0)</f>
        <v>0</v>
      </c>
      <c r="Q304" s="51">
        <f>IFERROR(IF(K304="",0,(N304+O304)-10),0)</f>
        <v>0</v>
      </c>
      <c r="R304" s="53">
        <f xml:space="preserve"> P304 * Q304 * (1 + 2.5%) / 1000000</f>
        <v>0</v>
      </c>
      <c r="S304" s="125">
        <f>R304*'[3]RFQ_Matalan Carton'!$M$32</f>
        <v>0</v>
      </c>
      <c r="T304" s="124">
        <f>S304</f>
        <v>0</v>
      </c>
      <c r="U304" s="124">
        <f>I304*T304</f>
        <v>0</v>
      </c>
      <c r="V304" s="123">
        <f>((T304*I304)-W304)*7.5%</f>
        <v>0</v>
      </c>
      <c r="W304" s="124">
        <f>S304*I304*10%</f>
        <v>0</v>
      </c>
      <c r="X304" s="113"/>
    </row>
    <row r="305" spans="1:24">
      <c r="A305" s="118"/>
      <c r="B305" s="118"/>
      <c r="C305" s="119"/>
      <c r="D305" s="118"/>
      <c r="E305" s="118"/>
      <c r="F305" s="118"/>
      <c r="G305" s="119"/>
      <c r="H305" s="119"/>
      <c r="I305" s="119"/>
      <c r="J305" s="119" t="s">
        <v>121</v>
      </c>
      <c r="K305" s="119" t="s">
        <v>68</v>
      </c>
      <c r="L305" s="119" t="s">
        <v>109</v>
      </c>
      <c r="M305" s="51" t="str" cm="1">
        <f t="array" ref="M305">IFERROR(_xlfn.SWITCH(L305,"R-FPA",495,"R-FPB",595,"R-FPC",595,"R-FPD",595,"Custom Carton","input L"),0)</f>
        <v>input L</v>
      </c>
      <c r="N305" s="51" t="str" cm="1">
        <f t="array" ref="N305">IFERROR(_xlfn.SWITCH(L305,"R-FPA",285,"R-FPB",285,"R-FPC",325,"R-FPD",380,"Custom Carton","input W"),0)</f>
        <v>input W</v>
      </c>
      <c r="O305" s="51"/>
      <c r="P305" s="51">
        <f>IFERROR(IF(K305="",0,(M305+N305)*2+15),0)</f>
        <v>0</v>
      </c>
      <c r="Q305" s="51">
        <f>IFERROR(IF(K305="",0,(N305+O305)-10),0)</f>
        <v>0</v>
      </c>
      <c r="R305" s="53">
        <f xml:space="preserve"> P305 * Q305 * (1 + 2.5%) / 1000000</f>
        <v>0</v>
      </c>
      <c r="S305" s="125">
        <f>R305*'[3]RFQ_Matalan Carton'!$M$32</f>
        <v>0</v>
      </c>
      <c r="T305" s="124">
        <f>S305</f>
        <v>0</v>
      </c>
      <c r="U305" s="124">
        <f>I305*T305</f>
        <v>0</v>
      </c>
      <c r="V305" s="123">
        <f>((T305*I305)-W305)*7.5%</f>
        <v>0</v>
      </c>
      <c r="W305" s="124">
        <f>S305*I305*10%</f>
        <v>0</v>
      </c>
      <c r="X305" s="113"/>
    </row>
    <row r="306" spans="1:24">
      <c r="A306" s="118"/>
      <c r="B306" s="118"/>
      <c r="C306" s="119"/>
      <c r="D306" s="118"/>
      <c r="E306" s="118"/>
      <c r="F306" s="118"/>
      <c r="G306" s="119"/>
      <c r="H306" s="119"/>
      <c r="I306" s="119"/>
      <c r="J306" s="119" t="s">
        <v>121</v>
      </c>
      <c r="K306" s="119" t="s">
        <v>68</v>
      </c>
      <c r="L306" s="119" t="s">
        <v>109</v>
      </c>
      <c r="M306" s="51" t="str" cm="1">
        <f t="array" ref="M306">IFERROR(_xlfn.SWITCH(L306,"R-FPA",495,"R-FPB",595,"R-FPC",595,"R-FPD",595,"Custom Carton","input L"),0)</f>
        <v>input L</v>
      </c>
      <c r="N306" s="51" t="str" cm="1">
        <f t="array" ref="N306">IFERROR(_xlfn.SWITCH(L306,"R-FPA",285,"R-FPB",285,"R-FPC",325,"R-FPD",380,"Custom Carton","input W"),0)</f>
        <v>input W</v>
      </c>
      <c r="O306" s="51"/>
      <c r="P306" s="51">
        <f>IFERROR(IF(K306="",0,(M306+N306)*2+15),0)</f>
        <v>0</v>
      </c>
      <c r="Q306" s="51">
        <f>IFERROR(IF(K306="",0,(N306+O306)-10),0)</f>
        <v>0</v>
      </c>
      <c r="R306" s="53">
        <f xml:space="preserve"> P306 * Q306 * (1 + 2.5%) / 1000000</f>
        <v>0</v>
      </c>
      <c r="S306" s="125">
        <f>R306*'[3]RFQ_Matalan Carton'!$M$32</f>
        <v>0</v>
      </c>
      <c r="T306" s="124">
        <f>S306</f>
        <v>0</v>
      </c>
      <c r="U306" s="124">
        <f>I306*T306</f>
        <v>0</v>
      </c>
      <c r="V306" s="123">
        <f>((T306*I306)-W306)*7.5%</f>
        <v>0</v>
      </c>
      <c r="W306" s="124">
        <f>S306*I306*10%</f>
        <v>0</v>
      </c>
      <c r="X306" s="113"/>
    </row>
    <row r="307" spans="1:24">
      <c r="A307" s="118"/>
      <c r="B307" s="118"/>
      <c r="C307" s="119"/>
      <c r="D307" s="118"/>
      <c r="E307" s="118"/>
      <c r="F307" s="118"/>
      <c r="G307" s="119"/>
      <c r="H307" s="119"/>
      <c r="I307" s="119"/>
      <c r="J307" s="119" t="s">
        <v>121</v>
      </c>
      <c r="K307" s="119" t="s">
        <v>68</v>
      </c>
      <c r="L307" s="119" t="s">
        <v>109</v>
      </c>
      <c r="M307" s="51" t="str" cm="1">
        <f t="array" ref="M307">IFERROR(_xlfn.SWITCH(L307,"R-FPA",495,"R-FPB",595,"R-FPC",595,"R-FPD",595,"Custom Carton","input L"),0)</f>
        <v>input L</v>
      </c>
      <c r="N307" s="51" t="str" cm="1">
        <f t="array" ref="N307">IFERROR(_xlfn.SWITCH(L307,"R-FPA",285,"R-FPB",285,"R-FPC",325,"R-FPD",380,"Custom Carton","input W"),0)</f>
        <v>input W</v>
      </c>
      <c r="O307" s="51"/>
      <c r="P307" s="51">
        <f>IFERROR(IF(K307="",0,(M307+N307)*2+15),0)</f>
        <v>0</v>
      </c>
      <c r="Q307" s="51">
        <f>IFERROR(IF(K307="",0,(N307+O307)-10),0)</f>
        <v>0</v>
      </c>
      <c r="R307" s="53">
        <f xml:space="preserve"> P307 * Q307 * (1 + 2.5%) / 1000000</f>
        <v>0</v>
      </c>
      <c r="S307" s="125">
        <f>R307*'[3]RFQ_Matalan Carton'!$M$32</f>
        <v>0</v>
      </c>
      <c r="T307" s="124">
        <f>S307</f>
        <v>0</v>
      </c>
      <c r="U307" s="124">
        <f>I307*T307</f>
        <v>0</v>
      </c>
      <c r="V307" s="123">
        <f>((T307*I307)-W307)*7.5%</f>
        <v>0</v>
      </c>
      <c r="W307" s="124">
        <f>S307*I307*10%</f>
        <v>0</v>
      </c>
      <c r="X307" s="113"/>
    </row>
    <row r="308" spans="1:24">
      <c r="A308" s="118"/>
      <c r="B308" s="118"/>
      <c r="C308" s="119"/>
      <c r="D308" s="118"/>
      <c r="E308" s="118"/>
      <c r="F308" s="118"/>
      <c r="G308" s="119"/>
      <c r="H308" s="119"/>
      <c r="I308" s="119"/>
      <c r="J308" s="119" t="s">
        <v>121</v>
      </c>
      <c r="K308" s="119" t="s">
        <v>68</v>
      </c>
      <c r="L308" s="119" t="s">
        <v>109</v>
      </c>
      <c r="M308" s="51" t="str" cm="1">
        <f t="array" ref="M308">IFERROR(_xlfn.SWITCH(L308,"R-FPA",495,"R-FPB",595,"R-FPC",595,"R-FPD",595,"Custom Carton","input L"),0)</f>
        <v>input L</v>
      </c>
      <c r="N308" s="51" t="str" cm="1">
        <f t="array" ref="N308">IFERROR(_xlfn.SWITCH(L308,"R-FPA",285,"R-FPB",285,"R-FPC",325,"R-FPD",380,"Custom Carton","input W"),0)</f>
        <v>input W</v>
      </c>
      <c r="O308" s="51"/>
      <c r="P308" s="51">
        <f>IFERROR(IF(K308="",0,(M308+N308)*2+15),0)</f>
        <v>0</v>
      </c>
      <c r="Q308" s="51">
        <f>IFERROR(IF(K308="",0,(N308+O308)-10),0)</f>
        <v>0</v>
      </c>
      <c r="R308" s="53">
        <f xml:space="preserve"> P308 * Q308 * (1 + 2.5%) / 1000000</f>
        <v>0</v>
      </c>
      <c r="S308" s="125">
        <f>R308*'[3]RFQ_Matalan Carton'!$M$32</f>
        <v>0</v>
      </c>
      <c r="T308" s="124">
        <f>S308</f>
        <v>0</v>
      </c>
      <c r="U308" s="124">
        <f>I308*T308</f>
        <v>0</v>
      </c>
      <c r="V308" s="123">
        <f>((T308*I308)-W308)*7.5%</f>
        <v>0</v>
      </c>
      <c r="W308" s="124">
        <f>S308*I308*10%</f>
        <v>0</v>
      </c>
      <c r="X308" s="113"/>
    </row>
    <row r="309" spans="1:24">
      <c r="A309" s="118"/>
      <c r="B309" s="118"/>
      <c r="C309" s="119"/>
      <c r="D309" s="118"/>
      <c r="E309" s="118"/>
      <c r="F309" s="118"/>
      <c r="G309" s="119"/>
      <c r="H309" s="119"/>
      <c r="I309" s="119"/>
      <c r="J309" s="119" t="s">
        <v>121</v>
      </c>
      <c r="K309" s="119" t="s">
        <v>68</v>
      </c>
      <c r="L309" s="119" t="s">
        <v>109</v>
      </c>
      <c r="M309" s="51" t="str" cm="1">
        <f t="array" ref="M309">IFERROR(_xlfn.SWITCH(L309,"R-FPA",495,"R-FPB",595,"R-FPC",595,"R-FPD",595,"Custom Carton","input L"),0)</f>
        <v>input L</v>
      </c>
      <c r="N309" s="51" t="str" cm="1">
        <f t="array" ref="N309">IFERROR(_xlfn.SWITCH(L309,"R-FPA",285,"R-FPB",285,"R-FPC",325,"R-FPD",380,"Custom Carton","input W"),0)</f>
        <v>input W</v>
      </c>
      <c r="O309" s="51"/>
      <c r="P309" s="51">
        <f>IFERROR(IF(K309="",0,(M309+N309)*2+15),0)</f>
        <v>0</v>
      </c>
      <c r="Q309" s="51">
        <f>IFERROR(IF(K309="",0,(N309+O309)-10),0)</f>
        <v>0</v>
      </c>
      <c r="R309" s="53">
        <f xml:space="preserve"> P309 * Q309 * (1 + 2.5%) / 1000000</f>
        <v>0</v>
      </c>
      <c r="S309" s="125">
        <f>R309*'[3]RFQ_Matalan Carton'!$M$32</f>
        <v>0</v>
      </c>
      <c r="T309" s="124">
        <f>S309</f>
        <v>0</v>
      </c>
      <c r="U309" s="124">
        <f>I309*T309</f>
        <v>0</v>
      </c>
      <c r="V309" s="123">
        <f>((T309*I309)-W309)*7.5%</f>
        <v>0</v>
      </c>
      <c r="W309" s="124">
        <f>S309*I309*10%</f>
        <v>0</v>
      </c>
      <c r="X309" s="113"/>
    </row>
    <row r="310" spans="1:24">
      <c r="A310" s="118"/>
      <c r="B310" s="118"/>
      <c r="C310" s="119"/>
      <c r="D310" s="118"/>
      <c r="E310" s="118"/>
      <c r="F310" s="118"/>
      <c r="G310" s="119"/>
      <c r="H310" s="119"/>
      <c r="I310" s="119"/>
      <c r="J310" s="119" t="s">
        <v>121</v>
      </c>
      <c r="K310" s="119" t="s">
        <v>68</v>
      </c>
      <c r="L310" s="119" t="s">
        <v>109</v>
      </c>
      <c r="M310" s="51" t="str" cm="1">
        <f t="array" ref="M310">IFERROR(_xlfn.SWITCH(L310,"R-FPA",495,"R-FPB",595,"R-FPC",595,"R-FPD",595,"Custom Carton","input L"),0)</f>
        <v>input L</v>
      </c>
      <c r="N310" s="51" t="str" cm="1">
        <f t="array" ref="N310">IFERROR(_xlfn.SWITCH(L310,"R-FPA",285,"R-FPB",285,"R-FPC",325,"R-FPD",380,"Custom Carton","input W"),0)</f>
        <v>input W</v>
      </c>
      <c r="O310" s="51"/>
      <c r="P310" s="51">
        <f>IFERROR(IF(K310="",0,(M310+N310)*2+15),0)</f>
        <v>0</v>
      </c>
      <c r="Q310" s="51">
        <f>IFERROR(IF(K310="",0,(N310+O310)-10),0)</f>
        <v>0</v>
      </c>
      <c r="R310" s="53">
        <f xml:space="preserve"> P310 * Q310 * (1 + 2.5%) / 1000000</f>
        <v>0</v>
      </c>
      <c r="S310" s="125">
        <f>R310*'[3]RFQ_Matalan Carton'!$M$32</f>
        <v>0</v>
      </c>
      <c r="T310" s="124">
        <f>S310</f>
        <v>0</v>
      </c>
      <c r="U310" s="124">
        <f>I310*T310</f>
        <v>0</v>
      </c>
      <c r="V310" s="123">
        <f>((T310*I310)-W310)*7.5%</f>
        <v>0</v>
      </c>
      <c r="W310" s="124">
        <f>S310*I310*10%</f>
        <v>0</v>
      </c>
      <c r="X310" s="113"/>
    </row>
    <row r="311" spans="1:24">
      <c r="A311" s="118"/>
      <c r="B311" s="118"/>
      <c r="C311" s="119"/>
      <c r="D311" s="118"/>
      <c r="E311" s="118"/>
      <c r="F311" s="118"/>
      <c r="G311" s="119"/>
      <c r="H311" s="119"/>
      <c r="I311" s="119"/>
      <c r="J311" s="119" t="s">
        <v>121</v>
      </c>
      <c r="K311" s="119" t="s">
        <v>68</v>
      </c>
      <c r="L311" s="119" t="s">
        <v>109</v>
      </c>
      <c r="M311" s="51" t="str" cm="1">
        <f t="array" ref="M311">IFERROR(_xlfn.SWITCH(L311,"R-FPA",495,"R-FPB",595,"R-FPC",595,"R-FPD",595,"Custom Carton","input L"),0)</f>
        <v>input L</v>
      </c>
      <c r="N311" s="51" t="str" cm="1">
        <f t="array" ref="N311">IFERROR(_xlfn.SWITCH(L311,"R-FPA",285,"R-FPB",285,"R-FPC",325,"R-FPD",380,"Custom Carton","input W"),0)</f>
        <v>input W</v>
      </c>
      <c r="O311" s="51"/>
      <c r="P311" s="51">
        <f>IFERROR(IF(K311="",0,(M311+N311)*2+15),0)</f>
        <v>0</v>
      </c>
      <c r="Q311" s="51">
        <f>IFERROR(IF(K311="",0,(N311+O311)-10),0)</f>
        <v>0</v>
      </c>
      <c r="R311" s="53">
        <f xml:space="preserve"> P311 * Q311 * (1 + 2.5%) / 1000000</f>
        <v>0</v>
      </c>
      <c r="S311" s="125">
        <f>R311*'[3]RFQ_Matalan Carton'!$M$32</f>
        <v>0</v>
      </c>
      <c r="T311" s="124">
        <f>S311</f>
        <v>0</v>
      </c>
      <c r="U311" s="124">
        <f>I311*T311</f>
        <v>0</v>
      </c>
      <c r="V311" s="123">
        <f>((T311*I311)-W311)*7.5%</f>
        <v>0</v>
      </c>
      <c r="W311" s="124">
        <f>S311*I311*10%</f>
        <v>0</v>
      </c>
      <c r="X311" s="113"/>
    </row>
    <row r="312" spans="1:24">
      <c r="A312" s="118"/>
      <c r="B312" s="118"/>
      <c r="C312" s="119"/>
      <c r="D312" s="118"/>
      <c r="E312" s="118"/>
      <c r="F312" s="118"/>
      <c r="G312" s="119"/>
      <c r="H312" s="119"/>
      <c r="I312" s="119"/>
      <c r="J312" s="119" t="s">
        <v>121</v>
      </c>
      <c r="K312" s="119" t="s">
        <v>68</v>
      </c>
      <c r="L312" s="119" t="s">
        <v>109</v>
      </c>
      <c r="M312" s="51" t="str" cm="1">
        <f t="array" ref="M312">IFERROR(_xlfn.SWITCH(L312,"R-FPA",495,"R-FPB",595,"R-FPC",595,"R-FPD",595,"Custom Carton","input L"),0)</f>
        <v>input L</v>
      </c>
      <c r="N312" s="51" t="str" cm="1">
        <f t="array" ref="N312">IFERROR(_xlfn.SWITCH(L312,"R-FPA",285,"R-FPB",285,"R-FPC",325,"R-FPD",380,"Custom Carton","input W"),0)</f>
        <v>input W</v>
      </c>
      <c r="O312" s="51"/>
      <c r="P312" s="51">
        <f>IFERROR(IF(K312="",0,(M312+N312)*2+15),0)</f>
        <v>0</v>
      </c>
      <c r="Q312" s="51">
        <f>IFERROR(IF(K312="",0,(N312+O312)-10),0)</f>
        <v>0</v>
      </c>
      <c r="R312" s="53">
        <f xml:space="preserve"> P312 * Q312 * (1 + 2.5%) / 1000000</f>
        <v>0</v>
      </c>
      <c r="S312" s="125">
        <f>R312*'[4]RFQ_Matalan Carton'!$M$32</f>
        <v>0</v>
      </c>
      <c r="T312" s="124">
        <f>S312</f>
        <v>0</v>
      </c>
      <c r="U312" s="124">
        <f>I312*T312</f>
        <v>0</v>
      </c>
      <c r="V312" s="123">
        <f>((T312*I312)-W312)*7.5%</f>
        <v>0</v>
      </c>
      <c r="W312" s="124">
        <f>S312*I312*10%</f>
        <v>0</v>
      </c>
      <c r="X312" s="113"/>
    </row>
    <row r="313" spans="1:24">
      <c r="A313" s="118"/>
      <c r="B313" s="118"/>
      <c r="C313" s="119"/>
      <c r="D313" s="118"/>
      <c r="E313" s="118"/>
      <c r="F313" s="118"/>
      <c r="G313" s="119"/>
      <c r="H313" s="119"/>
      <c r="I313" s="119"/>
      <c r="J313" s="119" t="s">
        <v>121</v>
      </c>
      <c r="K313" s="119" t="s">
        <v>68</v>
      </c>
      <c r="L313" s="119" t="s">
        <v>109</v>
      </c>
      <c r="M313" s="51" t="str" cm="1">
        <f t="array" ref="M313">IFERROR(_xlfn.SWITCH(L313,"R-FPA",495,"R-FPB",595,"R-FPC",595,"R-FPD",595,"Custom Carton","input L"),0)</f>
        <v>input L</v>
      </c>
      <c r="N313" s="51" t="str" cm="1">
        <f t="array" ref="N313">IFERROR(_xlfn.SWITCH(L313,"R-FPA",285,"R-FPB",285,"R-FPC",325,"R-FPD",380,"Custom Carton","input W"),0)</f>
        <v>input W</v>
      </c>
      <c r="O313" s="51"/>
      <c r="P313" s="51">
        <f>IFERROR(IF(K313="",0,(M313+N313)*2+15),0)</f>
        <v>0</v>
      </c>
      <c r="Q313" s="51">
        <f>IFERROR(IF(K313="",0,(N313+O313)-10),0)</f>
        <v>0</v>
      </c>
      <c r="R313" s="53">
        <f xml:space="preserve"> P313 * Q313 * (1 + 2.5%) / 1000000</f>
        <v>0</v>
      </c>
      <c r="S313" s="125">
        <f>R313*'[4]RFQ_Matalan Carton'!$M$32</f>
        <v>0</v>
      </c>
      <c r="T313" s="124">
        <f>S313</f>
        <v>0</v>
      </c>
      <c r="U313" s="124">
        <f>I313*T313</f>
        <v>0</v>
      </c>
      <c r="V313" s="123">
        <f>((T313*I313)-W313)*7.5%</f>
        <v>0</v>
      </c>
      <c r="W313" s="124">
        <f>S313*I313*10%</f>
        <v>0</v>
      </c>
      <c r="X313" s="113"/>
    </row>
    <row r="314" spans="1:24">
      <c r="A314" s="118"/>
      <c r="B314" s="118"/>
      <c r="C314" s="119"/>
      <c r="D314" s="118"/>
      <c r="E314" s="118"/>
      <c r="F314" s="118"/>
      <c r="G314" s="119"/>
      <c r="H314" s="119"/>
      <c r="I314" s="119"/>
      <c r="J314" s="119" t="s">
        <v>121</v>
      </c>
      <c r="K314" s="119" t="s">
        <v>68</v>
      </c>
      <c r="L314" s="119" t="s">
        <v>109</v>
      </c>
      <c r="M314" s="51" t="str" cm="1">
        <f t="array" ref="M314">IFERROR(_xlfn.SWITCH(L314,"R-FPA",495,"R-FPB",595,"R-FPC",595,"R-FPD",595,"Custom Carton","input L"),0)</f>
        <v>input L</v>
      </c>
      <c r="N314" s="51" t="str" cm="1">
        <f t="array" ref="N314">IFERROR(_xlfn.SWITCH(L314,"R-FPA",285,"R-FPB",285,"R-FPC",325,"R-FPD",380,"Custom Carton","input W"),0)</f>
        <v>input W</v>
      </c>
      <c r="O314" s="51"/>
      <c r="P314" s="51">
        <f>IFERROR(IF(K314="",0,(M314+N314)*2+15),0)</f>
        <v>0</v>
      </c>
      <c r="Q314" s="51">
        <f>IFERROR(IF(K314="",0,(N314+O314)-10),0)</f>
        <v>0</v>
      </c>
      <c r="R314" s="53">
        <f xml:space="preserve"> P314 * Q314 * (1 + 2.5%) / 1000000</f>
        <v>0</v>
      </c>
      <c r="S314" s="125">
        <f>R314*'[4]RFQ_Matalan Carton'!$M$32</f>
        <v>0</v>
      </c>
      <c r="T314" s="124">
        <f>S314</f>
        <v>0</v>
      </c>
      <c r="U314" s="124">
        <f>I314*T314</f>
        <v>0</v>
      </c>
      <c r="V314" s="123">
        <f>((T314*I314)-W314)*7.5%</f>
        <v>0</v>
      </c>
      <c r="W314" s="124">
        <f>S314*I314*10%</f>
        <v>0</v>
      </c>
      <c r="X314" s="113"/>
    </row>
    <row r="315" spans="1:24">
      <c r="A315" s="118"/>
      <c r="B315" s="118"/>
      <c r="C315" s="119"/>
      <c r="D315" s="118"/>
      <c r="E315" s="118"/>
      <c r="F315" s="118"/>
      <c r="G315" s="119"/>
      <c r="H315" s="119"/>
      <c r="I315" s="119"/>
      <c r="J315" s="119" t="s">
        <v>121</v>
      </c>
      <c r="K315" s="119" t="s">
        <v>68</v>
      </c>
      <c r="L315" s="119" t="s">
        <v>109</v>
      </c>
      <c r="M315" s="51" t="str" cm="1">
        <f t="array" ref="M315">IFERROR(_xlfn.SWITCH(L315,"R-FPA",495,"R-FPB",595,"R-FPC",595,"R-FPD",595,"Custom Carton","input L"),0)</f>
        <v>input L</v>
      </c>
      <c r="N315" s="51" t="str" cm="1">
        <f t="array" ref="N315">IFERROR(_xlfn.SWITCH(L315,"R-FPA",285,"R-FPB",285,"R-FPC",325,"R-FPD",380,"Custom Carton","input W"),0)</f>
        <v>input W</v>
      </c>
      <c r="O315" s="51"/>
      <c r="P315" s="51">
        <f>IFERROR(IF(K315="",0,(M315+N315)*2+15),0)</f>
        <v>0</v>
      </c>
      <c r="Q315" s="51">
        <f>IFERROR(IF(K315="",0,(N315+O315)-10),0)</f>
        <v>0</v>
      </c>
      <c r="R315" s="53">
        <f xml:space="preserve"> P315 * Q315 * (1 + 2.5%) / 1000000</f>
        <v>0</v>
      </c>
      <c r="S315" s="125">
        <f>R315*'[4]RFQ_Matalan Carton'!$M$32</f>
        <v>0</v>
      </c>
      <c r="T315" s="124">
        <f>S315</f>
        <v>0</v>
      </c>
      <c r="U315" s="124">
        <f>I315*T315</f>
        <v>0</v>
      </c>
      <c r="V315" s="123">
        <f>((T315*I315)-W315)*7.5%</f>
        <v>0</v>
      </c>
      <c r="W315" s="124">
        <f>S315*I315*10%</f>
        <v>0</v>
      </c>
      <c r="X315" s="113"/>
    </row>
    <row r="316" spans="1:24">
      <c r="A316" s="118"/>
      <c r="B316" s="118"/>
      <c r="C316" s="119"/>
      <c r="D316" s="118"/>
      <c r="E316" s="118"/>
      <c r="F316" s="118"/>
      <c r="G316" s="119"/>
      <c r="H316" s="119"/>
      <c r="I316" s="119"/>
      <c r="J316" s="119" t="s">
        <v>121</v>
      </c>
      <c r="K316" s="119" t="s">
        <v>68</v>
      </c>
      <c r="L316" s="119" t="s">
        <v>109</v>
      </c>
      <c r="M316" s="51" t="str" cm="1">
        <f t="array" ref="M316">IFERROR(_xlfn.SWITCH(L316,"R-FPA",495,"R-FPB",595,"R-FPC",595,"R-FPD",595,"Custom Carton","input L"),0)</f>
        <v>input L</v>
      </c>
      <c r="N316" s="51" t="str" cm="1">
        <f t="array" ref="N316">IFERROR(_xlfn.SWITCH(L316,"R-FPA",285,"R-FPB",285,"R-FPC",325,"R-FPD",380,"Custom Carton","input W"),0)</f>
        <v>input W</v>
      </c>
      <c r="O316" s="51"/>
      <c r="P316" s="51">
        <f>IFERROR(IF(K316="",0,(M316+N316)*2+15),0)</f>
        <v>0</v>
      </c>
      <c r="Q316" s="51">
        <f>IFERROR(IF(K316="",0,(N316+O316)-10),0)</f>
        <v>0</v>
      </c>
      <c r="R316" s="53">
        <f xml:space="preserve"> P316 * Q316 * (1 + 2.5%) / 1000000</f>
        <v>0</v>
      </c>
      <c r="S316" s="125">
        <f>R316*'[4]RFQ_Matalan Carton'!$M$32</f>
        <v>0</v>
      </c>
      <c r="T316" s="124">
        <f>S316</f>
        <v>0</v>
      </c>
      <c r="U316" s="124">
        <f>I316*T316</f>
        <v>0</v>
      </c>
      <c r="V316" s="123">
        <f>((T316*I316)-W316)*7.5%</f>
        <v>0</v>
      </c>
      <c r="W316" s="124">
        <f>S316*I316*10%</f>
        <v>0</v>
      </c>
      <c r="X316" s="113"/>
    </row>
    <row r="317" spans="1:24">
      <c r="A317" s="118"/>
      <c r="B317" s="118"/>
      <c r="C317" s="119"/>
      <c r="D317" s="118"/>
      <c r="E317" s="118"/>
      <c r="F317" s="118"/>
      <c r="G317" s="119"/>
      <c r="H317" s="119"/>
      <c r="I317" s="119"/>
      <c r="J317" s="119" t="s">
        <v>121</v>
      </c>
      <c r="K317" s="119" t="s">
        <v>68</v>
      </c>
      <c r="L317" s="119" t="s">
        <v>109</v>
      </c>
      <c r="M317" s="51" t="str" cm="1">
        <f t="array" ref="M317">IFERROR(_xlfn.SWITCH(L317,"R-FPA",495,"R-FPB",595,"R-FPC",595,"R-FPD",595,"Custom Carton","input L"),0)</f>
        <v>input L</v>
      </c>
      <c r="N317" s="51" t="str" cm="1">
        <f t="array" ref="N317">IFERROR(_xlfn.SWITCH(L317,"R-FPA",285,"R-FPB",285,"R-FPC",325,"R-FPD",380,"Custom Carton","input W"),0)</f>
        <v>input W</v>
      </c>
      <c r="O317" s="51"/>
      <c r="P317" s="51">
        <f>IFERROR(IF(K317="",0,(M317+N317)*2+15),0)</f>
        <v>0</v>
      </c>
      <c r="Q317" s="51">
        <f>IFERROR(IF(K317="",0,(N317+O317)-10),0)</f>
        <v>0</v>
      </c>
      <c r="R317" s="53">
        <f xml:space="preserve"> P317 * Q317 * (1 + 2.5%) / 1000000</f>
        <v>0</v>
      </c>
      <c r="S317" s="125">
        <f>R317*'[4]RFQ_Matalan Carton'!$M$32</f>
        <v>0</v>
      </c>
      <c r="T317" s="124">
        <f>S317</f>
        <v>0</v>
      </c>
      <c r="U317" s="124">
        <f>I317*T317</f>
        <v>0</v>
      </c>
      <c r="V317" s="123">
        <f>((T317*I317)-W317)*7.5%</f>
        <v>0</v>
      </c>
      <c r="W317" s="124">
        <f>S317*I317*10%</f>
        <v>0</v>
      </c>
      <c r="X317" s="113"/>
    </row>
    <row r="318" spans="1:24">
      <c r="A318" s="118"/>
      <c r="B318" s="118"/>
      <c r="C318" s="119"/>
      <c r="D318" s="118"/>
      <c r="E318" s="118"/>
      <c r="F318" s="118"/>
      <c r="G318" s="119"/>
      <c r="H318" s="119"/>
      <c r="I318" s="119"/>
      <c r="J318" s="119" t="s">
        <v>121</v>
      </c>
      <c r="K318" s="119" t="s">
        <v>68</v>
      </c>
      <c r="L318" s="119" t="s">
        <v>109</v>
      </c>
      <c r="M318" s="51" t="str" cm="1">
        <f t="array" ref="M318">IFERROR(_xlfn.SWITCH(L318,"R-FPA",495,"R-FPB",595,"R-FPC",595,"R-FPD",595,"Custom Carton","input L"),0)</f>
        <v>input L</v>
      </c>
      <c r="N318" s="51" t="str" cm="1">
        <f t="array" ref="N318">IFERROR(_xlfn.SWITCH(L318,"R-FPA",285,"R-FPB",285,"R-FPC",325,"R-FPD",380,"Custom Carton","input W"),0)</f>
        <v>input W</v>
      </c>
      <c r="O318" s="51"/>
      <c r="P318" s="51">
        <f>IFERROR(IF(K318="",0,(M318+N318)*2+15),0)</f>
        <v>0</v>
      </c>
      <c r="Q318" s="51">
        <f>IFERROR(IF(K318="",0,(N318+O318)-10),0)</f>
        <v>0</v>
      </c>
      <c r="R318" s="53">
        <f xml:space="preserve"> P318 * Q318 * (1 + 2.5%) / 1000000</f>
        <v>0</v>
      </c>
      <c r="S318" s="125">
        <f>R318*'[4]RFQ_Matalan Carton'!$M$32</f>
        <v>0</v>
      </c>
      <c r="T318" s="124">
        <f>S318</f>
        <v>0</v>
      </c>
      <c r="U318" s="124">
        <f>I318*T318</f>
        <v>0</v>
      </c>
      <c r="V318" s="123">
        <f>((T318*I318)-W318)*7.5%</f>
        <v>0</v>
      </c>
      <c r="W318" s="124">
        <f>S318*I318*10%</f>
        <v>0</v>
      </c>
      <c r="X318" s="113"/>
    </row>
    <row r="319" spans="1:24">
      <c r="A319" s="118"/>
      <c r="B319" s="118"/>
      <c r="C319" s="119"/>
      <c r="D319" s="118"/>
      <c r="E319" s="118"/>
      <c r="F319" s="118"/>
      <c r="G319" s="119"/>
      <c r="H319" s="119"/>
      <c r="I319" s="119"/>
      <c r="J319" s="119" t="s">
        <v>121</v>
      </c>
      <c r="K319" s="119" t="s">
        <v>68</v>
      </c>
      <c r="L319" s="119" t="s">
        <v>109</v>
      </c>
      <c r="M319" s="51" t="str" cm="1">
        <f t="array" ref="M319">IFERROR(_xlfn.SWITCH(L319,"R-FPA",495,"R-FPB",595,"R-FPC",595,"R-FPD",595,"Custom Carton","input L"),0)</f>
        <v>input L</v>
      </c>
      <c r="N319" s="51" t="str" cm="1">
        <f t="array" ref="N319">IFERROR(_xlfn.SWITCH(L319,"R-FPA",285,"R-FPB",285,"R-FPC",325,"R-FPD",380,"Custom Carton","input W"),0)</f>
        <v>input W</v>
      </c>
      <c r="O319" s="51"/>
      <c r="P319" s="51">
        <f>IFERROR(IF(K319="",0,(M319+N319)*2+15),0)</f>
        <v>0</v>
      </c>
      <c r="Q319" s="51">
        <f>IFERROR(IF(K319="",0,(N319+O319)-10),0)</f>
        <v>0</v>
      </c>
      <c r="R319" s="53">
        <f xml:space="preserve"> P319 * Q319 * (1 + 2.5%) / 1000000</f>
        <v>0</v>
      </c>
      <c r="S319" s="125">
        <f>R319*'[4]RFQ_Matalan Carton'!$M$32</f>
        <v>0</v>
      </c>
      <c r="T319" s="124">
        <f>S319</f>
        <v>0</v>
      </c>
      <c r="U319" s="124">
        <f>I319*T319</f>
        <v>0</v>
      </c>
      <c r="V319" s="123">
        <f>((T319*I319)-W319)*7.5%</f>
        <v>0</v>
      </c>
      <c r="W319" s="124">
        <f>S319*I319*10%</f>
        <v>0</v>
      </c>
      <c r="X319" s="113"/>
    </row>
    <row r="320" spans="1:24">
      <c r="A320" s="118"/>
      <c r="B320" s="118"/>
      <c r="C320" s="119"/>
      <c r="D320" s="118"/>
      <c r="E320" s="118"/>
      <c r="F320" s="118"/>
      <c r="G320" s="119"/>
      <c r="H320" s="119"/>
      <c r="I320" s="119"/>
      <c r="J320" s="119" t="s">
        <v>121</v>
      </c>
      <c r="K320" s="119" t="s">
        <v>68</v>
      </c>
      <c r="L320" s="119" t="s">
        <v>109</v>
      </c>
      <c r="M320" s="51" t="str" cm="1">
        <f t="array" ref="M320">IFERROR(_xlfn.SWITCH(L320,"R-FPA",495,"R-FPB",595,"R-FPC",595,"R-FPD",595,"Custom Carton","input L"),0)</f>
        <v>input L</v>
      </c>
      <c r="N320" s="51" t="str" cm="1">
        <f t="array" ref="N320">IFERROR(_xlfn.SWITCH(L320,"R-FPA",285,"R-FPB",285,"R-FPC",325,"R-FPD",380,"Custom Carton","input W"),0)</f>
        <v>input W</v>
      </c>
      <c r="O320" s="51"/>
      <c r="P320" s="51">
        <f>IFERROR(IF(K320="",0,(M320+N320)*2+15),0)</f>
        <v>0</v>
      </c>
      <c r="Q320" s="51">
        <f>IFERROR(IF(K320="",0,(N320+O320)-10),0)</f>
        <v>0</v>
      </c>
      <c r="R320" s="53">
        <f xml:space="preserve"> P320 * Q320 * (1 + 2.5%) / 1000000</f>
        <v>0</v>
      </c>
      <c r="S320" s="125">
        <f>R320*'[4]RFQ_Matalan Carton'!$M$32</f>
        <v>0</v>
      </c>
      <c r="T320" s="124">
        <f>S320</f>
        <v>0</v>
      </c>
      <c r="U320" s="124">
        <f>I320*T320</f>
        <v>0</v>
      </c>
      <c r="V320" s="123">
        <f>((T320*I320)-W320)*7.5%</f>
        <v>0</v>
      </c>
      <c r="W320" s="124">
        <f>S320*I320*10%</f>
        <v>0</v>
      </c>
      <c r="X320" s="113"/>
    </row>
    <row r="321" spans="1:24">
      <c r="A321" s="118"/>
      <c r="B321" s="118"/>
      <c r="C321" s="119"/>
      <c r="D321" s="118"/>
      <c r="E321" s="118"/>
      <c r="F321" s="118"/>
      <c r="G321" s="119"/>
      <c r="H321" s="119"/>
      <c r="I321" s="119"/>
      <c r="J321" s="119" t="s">
        <v>121</v>
      </c>
      <c r="K321" s="119" t="s">
        <v>68</v>
      </c>
      <c r="L321" s="119" t="s">
        <v>109</v>
      </c>
      <c r="M321" s="51" t="str" cm="1">
        <f t="array" ref="M321">IFERROR(_xlfn.SWITCH(L321,"R-FPA",495,"R-FPB",595,"R-FPC",595,"R-FPD",595,"Custom Carton","input L"),0)</f>
        <v>input L</v>
      </c>
      <c r="N321" s="51" t="str" cm="1">
        <f t="array" ref="N321">IFERROR(_xlfn.SWITCH(L321,"R-FPA",285,"R-FPB",285,"R-FPC",325,"R-FPD",380,"Custom Carton","input W"),0)</f>
        <v>input W</v>
      </c>
      <c r="O321" s="51"/>
      <c r="P321" s="51">
        <f>IFERROR(IF(K321="",0,(M321+N321)*2+15),0)</f>
        <v>0</v>
      </c>
      <c r="Q321" s="51">
        <f>IFERROR(IF(K321="",0,(N321+O321)-10),0)</f>
        <v>0</v>
      </c>
      <c r="R321" s="53">
        <f xml:space="preserve"> P321 * Q321 * (1 + 2.5%) / 1000000</f>
        <v>0</v>
      </c>
      <c r="S321" s="125">
        <f>R321*'[4]RFQ_Matalan Carton'!$M$32</f>
        <v>0</v>
      </c>
      <c r="T321" s="124">
        <f>S321</f>
        <v>0</v>
      </c>
      <c r="U321" s="124">
        <f>I321*T321</f>
        <v>0</v>
      </c>
      <c r="V321" s="123">
        <f>((T321*I321)-W321)*7.5%</f>
        <v>0</v>
      </c>
      <c r="W321" s="124">
        <f>S321*I321*10%</f>
        <v>0</v>
      </c>
      <c r="X321" s="113"/>
    </row>
    <row r="322" spans="1:24">
      <c r="A322" s="118"/>
      <c r="B322" s="118"/>
      <c r="C322" s="119"/>
      <c r="D322" s="118"/>
      <c r="E322" s="118"/>
      <c r="F322" s="118"/>
      <c r="G322" s="119"/>
      <c r="H322" s="119"/>
      <c r="I322" s="119"/>
      <c r="J322" s="119" t="s">
        <v>121</v>
      </c>
      <c r="K322" s="119" t="s">
        <v>68</v>
      </c>
      <c r="L322" s="119" t="s">
        <v>109</v>
      </c>
      <c r="M322" s="51" t="str" cm="1">
        <f t="array" ref="M322">IFERROR(_xlfn.SWITCH(L322,"R-FPA",495,"R-FPB",595,"R-FPC",595,"R-FPD",595,"Custom Carton","input L"),0)</f>
        <v>input L</v>
      </c>
      <c r="N322" s="51" t="str" cm="1">
        <f t="array" ref="N322">IFERROR(_xlfn.SWITCH(L322,"R-FPA",285,"R-FPB",285,"R-FPC",325,"R-FPD",380,"Custom Carton","input W"),0)</f>
        <v>input W</v>
      </c>
      <c r="O322" s="51"/>
      <c r="P322" s="51">
        <f>IFERROR(IF(K322="",0,(M322+N322)*2+15),0)</f>
        <v>0</v>
      </c>
      <c r="Q322" s="51">
        <f>IFERROR(IF(K322="",0,(N322+O322)-10),0)</f>
        <v>0</v>
      </c>
      <c r="R322" s="53">
        <f xml:space="preserve"> P322 * Q322 * (1 + 2.5%) / 1000000</f>
        <v>0</v>
      </c>
      <c r="S322" s="125">
        <f>R322*'[4]RFQ_Matalan Carton'!$M$32</f>
        <v>0</v>
      </c>
      <c r="T322" s="124">
        <f>S322</f>
        <v>0</v>
      </c>
      <c r="U322" s="124">
        <f>I322*T322</f>
        <v>0</v>
      </c>
      <c r="V322" s="123">
        <f>((T322*I322)-W322)*7.5%</f>
        <v>0</v>
      </c>
      <c r="W322" s="124">
        <f>S322*I322*10%</f>
        <v>0</v>
      </c>
      <c r="X322" s="113"/>
    </row>
    <row r="323" spans="1:24">
      <c r="A323" s="118"/>
      <c r="B323" s="118"/>
      <c r="C323" s="119"/>
      <c r="D323" s="118"/>
      <c r="E323" s="118"/>
      <c r="F323" s="118"/>
      <c r="G323" s="119"/>
      <c r="H323" s="119"/>
      <c r="I323" s="119"/>
      <c r="J323" s="119" t="s">
        <v>121</v>
      </c>
      <c r="K323" s="119" t="s">
        <v>68</v>
      </c>
      <c r="L323" s="119" t="s">
        <v>109</v>
      </c>
      <c r="M323" s="51" t="str" cm="1">
        <f t="array" ref="M323">IFERROR(_xlfn.SWITCH(L323,"R-FPA",495,"R-FPB",595,"R-FPC",595,"R-FPD",595,"Custom Carton","input L"),0)</f>
        <v>input L</v>
      </c>
      <c r="N323" s="51" t="str" cm="1">
        <f t="array" ref="N323">IFERROR(_xlfn.SWITCH(L323,"R-FPA",285,"R-FPB",285,"R-FPC",325,"R-FPD",380,"Custom Carton","input W"),0)</f>
        <v>input W</v>
      </c>
      <c r="O323" s="51"/>
      <c r="P323" s="51">
        <f>IFERROR(IF(K323="",0,(M323+N323)*2+15),0)</f>
        <v>0</v>
      </c>
      <c r="Q323" s="51">
        <f>IFERROR(IF(K323="",0,(N323+O323)-10),0)</f>
        <v>0</v>
      </c>
      <c r="R323" s="53">
        <f xml:space="preserve"> P323 * Q323 * (1 + 2.5%) / 1000000</f>
        <v>0</v>
      </c>
      <c r="S323" s="125">
        <f>R323*'[4]RFQ_Matalan Carton'!$M$32</f>
        <v>0</v>
      </c>
      <c r="T323" s="124">
        <f>S323</f>
        <v>0</v>
      </c>
      <c r="U323" s="124">
        <f>I323*T323</f>
        <v>0</v>
      </c>
      <c r="V323" s="123">
        <f>((T323*I323)-W323)*7.5%</f>
        <v>0</v>
      </c>
      <c r="W323" s="124">
        <f>S323*I323*10%</f>
        <v>0</v>
      </c>
      <c r="X323" s="113"/>
    </row>
    <row r="324" spans="1:24">
      <c r="A324" s="118"/>
      <c r="B324" s="118"/>
      <c r="C324" s="119"/>
      <c r="D324" s="118"/>
      <c r="E324" s="118"/>
      <c r="F324" s="118"/>
      <c r="G324" s="119"/>
      <c r="H324" s="119"/>
      <c r="I324" s="119"/>
      <c r="J324" s="119" t="s">
        <v>121</v>
      </c>
      <c r="K324" s="119" t="s">
        <v>68</v>
      </c>
      <c r="L324" s="119" t="s">
        <v>109</v>
      </c>
      <c r="M324" s="51" t="str" cm="1">
        <f t="array" ref="M324">IFERROR(_xlfn.SWITCH(L324,"R-FPA",495,"R-FPB",595,"R-FPC",595,"R-FPD",595,"Custom Carton","input L"),0)</f>
        <v>input L</v>
      </c>
      <c r="N324" s="51" t="str" cm="1">
        <f t="array" ref="N324">IFERROR(_xlfn.SWITCH(L324,"R-FPA",285,"R-FPB",285,"R-FPC",325,"R-FPD",380,"Custom Carton","input W"),0)</f>
        <v>input W</v>
      </c>
      <c r="O324" s="51"/>
      <c r="P324" s="51">
        <f>IFERROR(IF(K324="",0,(M324+N324)*2+15),0)</f>
        <v>0</v>
      </c>
      <c r="Q324" s="51">
        <f>IFERROR(IF(K324="",0,(N324+O324)-10),0)</f>
        <v>0</v>
      </c>
      <c r="R324" s="53">
        <f xml:space="preserve"> P324 * Q324 * (1 + 2.5%) / 1000000</f>
        <v>0</v>
      </c>
      <c r="S324" s="125">
        <f>R324*'[4]RFQ_Matalan Carton'!$M$32</f>
        <v>0</v>
      </c>
      <c r="T324" s="124">
        <f>S324</f>
        <v>0</v>
      </c>
      <c r="U324" s="124">
        <f>I324*T324</f>
        <v>0</v>
      </c>
      <c r="V324" s="123">
        <f>((T324*I324)-W324)*7.5%</f>
        <v>0</v>
      </c>
      <c r="W324" s="124">
        <f>S324*I324*10%</f>
        <v>0</v>
      </c>
      <c r="X324" s="113"/>
    </row>
    <row r="325" spans="1:24">
      <c r="A325" s="118"/>
      <c r="B325" s="118"/>
      <c r="C325" s="119"/>
      <c r="D325" s="118"/>
      <c r="E325" s="118"/>
      <c r="F325" s="118"/>
      <c r="G325" s="119"/>
      <c r="H325" s="119"/>
      <c r="I325" s="119"/>
      <c r="J325" s="119" t="s">
        <v>121</v>
      </c>
      <c r="K325" s="119" t="s">
        <v>68</v>
      </c>
      <c r="L325" s="119" t="s">
        <v>109</v>
      </c>
      <c r="M325" s="51" t="str" cm="1">
        <f t="array" ref="M325">IFERROR(_xlfn.SWITCH(L325,"R-FPA",495,"R-FPB",595,"R-FPC",595,"R-FPD",595,"Custom Carton","input L"),0)</f>
        <v>input L</v>
      </c>
      <c r="N325" s="51" t="str" cm="1">
        <f t="array" ref="N325">IFERROR(_xlfn.SWITCH(L325,"R-FPA",285,"R-FPB",285,"R-FPC",325,"R-FPD",380,"Custom Carton","input W"),0)</f>
        <v>input W</v>
      </c>
      <c r="O325" s="51"/>
      <c r="P325" s="51">
        <f>IFERROR(IF(K325="",0,(M325+N325)*2+15),0)</f>
        <v>0</v>
      </c>
      <c r="Q325" s="51">
        <f>IFERROR(IF(K325="",0,(N325+O325)-10),0)</f>
        <v>0</v>
      </c>
      <c r="R325" s="53">
        <f xml:space="preserve"> P325 * Q325 * (1 + 2.5%) / 1000000</f>
        <v>0</v>
      </c>
      <c r="S325" s="125">
        <f>R325*'[4]RFQ_Matalan Carton'!$M$32</f>
        <v>0</v>
      </c>
      <c r="T325" s="124">
        <f>S325</f>
        <v>0</v>
      </c>
      <c r="U325" s="124">
        <f>I325*T325</f>
        <v>0</v>
      </c>
      <c r="V325" s="123">
        <f>((T325*I325)-W325)*7.5%</f>
        <v>0</v>
      </c>
      <c r="W325" s="124">
        <f>S325*I325*10%</f>
        <v>0</v>
      </c>
      <c r="X325" s="113"/>
    </row>
    <row r="326" spans="1:24">
      <c r="A326" s="118"/>
      <c r="B326" s="118"/>
      <c r="C326" s="119"/>
      <c r="D326" s="118"/>
      <c r="E326" s="118"/>
      <c r="F326" s="118"/>
      <c r="G326" s="119"/>
      <c r="H326" s="119"/>
      <c r="I326" s="119"/>
      <c r="J326" s="119" t="s">
        <v>121</v>
      </c>
      <c r="K326" s="119" t="s">
        <v>68</v>
      </c>
      <c r="L326" s="119" t="s">
        <v>109</v>
      </c>
      <c r="M326" s="51" t="str" cm="1">
        <f t="array" ref="M326">IFERROR(_xlfn.SWITCH(L326,"R-FPA",495,"R-FPB",595,"R-FPC",595,"R-FPD",595,"Custom Carton","input L"),0)</f>
        <v>input L</v>
      </c>
      <c r="N326" s="51" t="str" cm="1">
        <f t="array" ref="N326">IFERROR(_xlfn.SWITCH(L326,"R-FPA",285,"R-FPB",285,"R-FPC",325,"R-FPD",380,"Custom Carton","input W"),0)</f>
        <v>input W</v>
      </c>
      <c r="O326" s="51"/>
      <c r="P326" s="51">
        <f>IFERROR(IF(K326="",0,(M326+N326)*2+15),0)</f>
        <v>0</v>
      </c>
      <c r="Q326" s="51">
        <f>IFERROR(IF(K326="",0,(N326+O326)-10),0)</f>
        <v>0</v>
      </c>
      <c r="R326" s="53">
        <f xml:space="preserve"> P326 * Q326 * (1 + 2.5%) / 1000000</f>
        <v>0</v>
      </c>
      <c r="S326" s="125">
        <f>R326*'[4]RFQ_Matalan Carton'!$M$32</f>
        <v>0</v>
      </c>
      <c r="T326" s="124">
        <f>S326</f>
        <v>0</v>
      </c>
      <c r="U326" s="124">
        <f>I326*T326</f>
        <v>0</v>
      </c>
      <c r="V326" s="123">
        <f>((T326*I326)-W326)*7.5%</f>
        <v>0</v>
      </c>
      <c r="W326" s="124">
        <f>S326*I326*10%</f>
        <v>0</v>
      </c>
      <c r="X326" s="113"/>
    </row>
    <row r="327" spans="1:24">
      <c r="A327" s="118"/>
      <c r="B327" s="118"/>
      <c r="C327" s="119"/>
      <c r="D327" s="118"/>
      <c r="E327" s="118"/>
      <c r="F327" s="118"/>
      <c r="G327" s="119"/>
      <c r="H327" s="119"/>
      <c r="I327" s="119"/>
      <c r="J327" s="119" t="s">
        <v>121</v>
      </c>
      <c r="K327" s="119" t="s">
        <v>68</v>
      </c>
      <c r="L327" s="119" t="s">
        <v>109</v>
      </c>
      <c r="M327" s="51" t="str" cm="1">
        <f t="array" ref="M327">IFERROR(_xlfn.SWITCH(L327,"R-FPA",495,"R-FPB",595,"R-FPC",595,"R-FPD",595,"Custom Carton","input L"),0)</f>
        <v>input L</v>
      </c>
      <c r="N327" s="51" t="str" cm="1">
        <f t="array" ref="N327">IFERROR(_xlfn.SWITCH(L327,"R-FPA",285,"R-FPB",285,"R-FPC",325,"R-FPD",380,"Custom Carton","input W"),0)</f>
        <v>input W</v>
      </c>
      <c r="O327" s="51"/>
      <c r="P327" s="51">
        <f>IFERROR(IF(K327="",0,(M327+N327)*2+15),0)</f>
        <v>0</v>
      </c>
      <c r="Q327" s="51">
        <f>IFERROR(IF(K327="",0,(N327+O327)-10),0)</f>
        <v>0</v>
      </c>
      <c r="R327" s="53">
        <f xml:space="preserve"> P327 * Q327 * (1 + 2.5%) / 1000000</f>
        <v>0</v>
      </c>
      <c r="S327" s="125">
        <f>R327*'[4]RFQ_Matalan Carton'!$M$32</f>
        <v>0</v>
      </c>
      <c r="T327" s="124">
        <f>S327</f>
        <v>0</v>
      </c>
      <c r="U327" s="124">
        <f>I327*T327</f>
        <v>0</v>
      </c>
      <c r="V327" s="123">
        <f>((T327*I327)-W327)*7.5%</f>
        <v>0</v>
      </c>
      <c r="W327" s="124">
        <f>S327*I327*10%</f>
        <v>0</v>
      </c>
      <c r="X327" s="113"/>
    </row>
    <row r="328" spans="1:24">
      <c r="A328" s="118"/>
      <c r="B328" s="118"/>
      <c r="C328" s="119"/>
      <c r="D328" s="118"/>
      <c r="E328" s="118"/>
      <c r="F328" s="118"/>
      <c r="G328" s="119"/>
      <c r="H328" s="119"/>
      <c r="I328" s="119"/>
      <c r="J328" s="119" t="s">
        <v>121</v>
      </c>
      <c r="K328" s="119" t="s">
        <v>68</v>
      </c>
      <c r="L328" s="119" t="s">
        <v>109</v>
      </c>
      <c r="M328" s="51" t="str" cm="1">
        <f t="array" ref="M328">IFERROR(_xlfn.SWITCH(L328,"R-FPA",495,"R-FPB",595,"R-FPC",595,"R-FPD",595,"Custom Carton","input L"),0)</f>
        <v>input L</v>
      </c>
      <c r="N328" s="51" t="str" cm="1">
        <f t="array" ref="N328">IFERROR(_xlfn.SWITCH(L328,"R-FPA",285,"R-FPB",285,"R-FPC",325,"R-FPD",380,"Custom Carton","input W"),0)</f>
        <v>input W</v>
      </c>
      <c r="O328" s="51"/>
      <c r="P328" s="51">
        <f>IFERROR(IF(K328="",0,(M328+N328)*2+15),0)</f>
        <v>0</v>
      </c>
      <c r="Q328" s="51">
        <f>IFERROR(IF(K328="",0,(N328+O328)-10),0)</f>
        <v>0</v>
      </c>
      <c r="R328" s="53">
        <f xml:space="preserve"> P328 * Q328 * (1 + 2.5%) / 1000000</f>
        <v>0</v>
      </c>
      <c r="S328" s="125">
        <f>R328*'[4]RFQ_Matalan Carton'!$M$32</f>
        <v>0</v>
      </c>
      <c r="T328" s="124">
        <f>S328</f>
        <v>0</v>
      </c>
      <c r="U328" s="124">
        <f>I328*T328</f>
        <v>0</v>
      </c>
      <c r="V328" s="123">
        <f>((T328*I328)-W328)*7.5%</f>
        <v>0</v>
      </c>
      <c r="W328" s="124">
        <f>S328*I328*10%</f>
        <v>0</v>
      </c>
      <c r="X328" s="113"/>
    </row>
    <row r="329" spans="1:24">
      <c r="A329" s="118"/>
      <c r="B329" s="118"/>
      <c r="C329" s="119"/>
      <c r="D329" s="118"/>
      <c r="E329" s="118"/>
      <c r="F329" s="118"/>
      <c r="G329" s="119"/>
      <c r="H329" s="119"/>
      <c r="I329" s="119"/>
      <c r="J329" s="119" t="s">
        <v>121</v>
      </c>
      <c r="K329" s="119" t="s">
        <v>68</v>
      </c>
      <c r="L329" s="119" t="s">
        <v>109</v>
      </c>
      <c r="M329" s="51" t="str" cm="1">
        <f t="array" ref="M329">IFERROR(_xlfn.SWITCH(L329,"R-FPA",495,"R-FPB",595,"R-FPC",595,"R-FPD",595,"Custom Carton","input L"),0)</f>
        <v>input L</v>
      </c>
      <c r="N329" s="51" t="str" cm="1">
        <f t="array" ref="N329">IFERROR(_xlfn.SWITCH(L329,"R-FPA",285,"R-FPB",285,"R-FPC",325,"R-FPD",380,"Custom Carton","input W"),0)</f>
        <v>input W</v>
      </c>
      <c r="O329" s="51"/>
      <c r="P329" s="51">
        <f>IFERROR(IF(K329="",0,(M329+N329)*2+15),0)</f>
        <v>0</v>
      </c>
      <c r="Q329" s="51">
        <f>IFERROR(IF(K329="",0,(N329+O329)-10),0)</f>
        <v>0</v>
      </c>
      <c r="R329" s="53">
        <f xml:space="preserve"> P329 * Q329 * (1 + 2.5%) / 1000000</f>
        <v>0</v>
      </c>
      <c r="S329" s="125">
        <f>R329*'[4]RFQ_Matalan Carton'!$M$32</f>
        <v>0</v>
      </c>
      <c r="T329" s="124">
        <f>S329</f>
        <v>0</v>
      </c>
      <c r="U329" s="124">
        <f>I329*T329</f>
        <v>0</v>
      </c>
      <c r="V329" s="123">
        <f>((T329*I329)-W329)*7.5%</f>
        <v>0</v>
      </c>
      <c r="W329" s="124">
        <f>S329*I329*10%</f>
        <v>0</v>
      </c>
      <c r="X329" s="113"/>
    </row>
    <row r="330" spans="1:24">
      <c r="A330" s="118"/>
      <c r="B330" s="118"/>
      <c r="C330" s="119"/>
      <c r="D330" s="118"/>
      <c r="E330" s="118"/>
      <c r="F330" s="118"/>
      <c r="G330" s="119"/>
      <c r="H330" s="119"/>
      <c r="I330" s="119"/>
      <c r="J330" s="119" t="s">
        <v>121</v>
      </c>
      <c r="K330" s="119" t="s">
        <v>68</v>
      </c>
      <c r="L330" s="119" t="s">
        <v>109</v>
      </c>
      <c r="M330" s="51" t="str" cm="1">
        <f t="array" ref="M330">IFERROR(_xlfn.SWITCH(L330,"R-FPA",495,"R-FPB",595,"R-FPC",595,"R-FPD",595,"Custom Carton","input L"),0)</f>
        <v>input L</v>
      </c>
      <c r="N330" s="51" t="str" cm="1">
        <f t="array" ref="N330">IFERROR(_xlfn.SWITCH(L330,"R-FPA",285,"R-FPB",285,"R-FPC",325,"R-FPD",380,"Custom Carton","input W"),0)</f>
        <v>input W</v>
      </c>
      <c r="O330" s="51"/>
      <c r="P330" s="51">
        <f>IFERROR(IF(K330="",0,(M330+N330)*2+15),0)</f>
        <v>0</v>
      </c>
      <c r="Q330" s="51">
        <f>IFERROR(IF(K330="",0,(N330+O330)-10),0)</f>
        <v>0</v>
      </c>
      <c r="R330" s="53">
        <f xml:space="preserve"> P330 * Q330 * (1 + 2.5%) / 1000000</f>
        <v>0</v>
      </c>
      <c r="S330" s="125">
        <f>R330*'[4]RFQ_Matalan Carton'!$M$32</f>
        <v>0</v>
      </c>
      <c r="T330" s="124">
        <f>S330</f>
        <v>0</v>
      </c>
      <c r="U330" s="124">
        <f>I330*T330</f>
        <v>0</v>
      </c>
      <c r="V330" s="123">
        <f>((T330*I330)-W330)*7.5%</f>
        <v>0</v>
      </c>
      <c r="W330" s="124">
        <f>S330*I330*10%</f>
        <v>0</v>
      </c>
      <c r="X330" s="113"/>
    </row>
    <row r="331" spans="1:24">
      <c r="A331" s="118"/>
      <c r="B331" s="118"/>
      <c r="C331" s="119"/>
      <c r="D331" s="118"/>
      <c r="E331" s="118"/>
      <c r="F331" s="118"/>
      <c r="G331" s="119"/>
      <c r="H331" s="119"/>
      <c r="I331" s="119"/>
      <c r="J331" s="119" t="s">
        <v>121</v>
      </c>
      <c r="K331" s="119" t="s">
        <v>68</v>
      </c>
      <c r="L331" s="119" t="s">
        <v>109</v>
      </c>
      <c r="M331" s="51" t="str" cm="1">
        <f t="array" ref="M331">IFERROR(_xlfn.SWITCH(L331,"R-FPA",495,"R-FPB",595,"R-FPC",595,"R-FPD",595,"Custom Carton","input L"),0)</f>
        <v>input L</v>
      </c>
      <c r="N331" s="51" t="str" cm="1">
        <f t="array" ref="N331">IFERROR(_xlfn.SWITCH(L331,"R-FPA",285,"R-FPB",285,"R-FPC",325,"R-FPD",380,"Custom Carton","input W"),0)</f>
        <v>input W</v>
      </c>
      <c r="O331" s="51"/>
      <c r="P331" s="51">
        <f>IFERROR(IF(K331="",0,(M331+N331)*2+15),0)</f>
        <v>0</v>
      </c>
      <c r="Q331" s="51">
        <f>IFERROR(IF(K331="",0,(N331+O331)-10),0)</f>
        <v>0</v>
      </c>
      <c r="R331" s="53">
        <f xml:space="preserve"> P331 * Q331 * (1 + 2.5%) / 1000000</f>
        <v>0</v>
      </c>
      <c r="S331" s="125">
        <f>R331*'[4]RFQ_Matalan Carton'!$M$32</f>
        <v>0</v>
      </c>
      <c r="T331" s="124">
        <f>S331</f>
        <v>0</v>
      </c>
      <c r="U331" s="124">
        <f>I331*T331</f>
        <v>0</v>
      </c>
      <c r="V331" s="123">
        <f>((T331*I331)-W331)*7.5%</f>
        <v>0</v>
      </c>
      <c r="W331" s="124">
        <f>S331*I331*10%</f>
        <v>0</v>
      </c>
      <c r="X331" s="113"/>
    </row>
    <row r="332" spans="1:24">
      <c r="A332" s="118"/>
      <c r="B332" s="118"/>
      <c r="C332" s="119"/>
      <c r="D332" s="118"/>
      <c r="E332" s="118"/>
      <c r="F332" s="118"/>
      <c r="G332" s="119"/>
      <c r="H332" s="119"/>
      <c r="I332" s="119"/>
      <c r="J332" s="119" t="s">
        <v>121</v>
      </c>
      <c r="K332" s="119" t="s">
        <v>68</v>
      </c>
      <c r="L332" s="119" t="s">
        <v>109</v>
      </c>
      <c r="M332" s="51" t="str" cm="1">
        <f t="array" ref="M332">IFERROR(_xlfn.SWITCH(L332,"R-FPA",495,"R-FPB",595,"R-FPC",595,"R-FPD",595,"Custom Carton","input L"),0)</f>
        <v>input L</v>
      </c>
      <c r="N332" s="51" t="str" cm="1">
        <f t="array" ref="N332">IFERROR(_xlfn.SWITCH(L332,"R-FPA",285,"R-FPB",285,"R-FPC",325,"R-FPD",380,"Custom Carton","input W"),0)</f>
        <v>input W</v>
      </c>
      <c r="O332" s="51"/>
      <c r="P332" s="51">
        <f>IFERROR(IF(K332="",0,(M332+N332)*2+15),0)</f>
        <v>0</v>
      </c>
      <c r="Q332" s="51">
        <f>IFERROR(IF(K332="",0,(N332+O332)-10),0)</f>
        <v>0</v>
      </c>
      <c r="R332" s="53">
        <f xml:space="preserve"> P332 * Q332 * (1 + 2.5%) / 1000000</f>
        <v>0</v>
      </c>
      <c r="S332" s="125">
        <f>R332*'[4]RFQ_Matalan Carton'!$M$32</f>
        <v>0</v>
      </c>
      <c r="T332" s="124">
        <f>S332</f>
        <v>0</v>
      </c>
      <c r="U332" s="124">
        <f>I332*T332</f>
        <v>0</v>
      </c>
      <c r="V332" s="123">
        <f>((T332*I332)-W332)*7.5%</f>
        <v>0</v>
      </c>
      <c r="W332" s="124">
        <f>S332*I332*10%</f>
        <v>0</v>
      </c>
      <c r="X332" s="113"/>
    </row>
    <row r="333" spans="1:24">
      <c r="A333" s="118"/>
      <c r="B333" s="118"/>
      <c r="C333" s="119"/>
      <c r="D333" s="118"/>
      <c r="E333" s="118"/>
      <c r="F333" s="118"/>
      <c r="G333" s="119"/>
      <c r="H333" s="119"/>
      <c r="I333" s="119"/>
      <c r="J333" s="119" t="s">
        <v>121</v>
      </c>
      <c r="K333" s="119" t="s">
        <v>68</v>
      </c>
      <c r="L333" s="119" t="s">
        <v>109</v>
      </c>
      <c r="M333" s="51" t="str" cm="1">
        <f t="array" ref="M333">IFERROR(_xlfn.SWITCH(L333,"R-FPA",495,"R-FPB",595,"R-FPC",595,"R-FPD",595,"Custom Carton","input L"),0)</f>
        <v>input L</v>
      </c>
      <c r="N333" s="51" t="str" cm="1">
        <f t="array" ref="N333">IFERROR(_xlfn.SWITCH(L333,"R-FPA",285,"R-FPB",285,"R-FPC",325,"R-FPD",380,"Custom Carton","input W"),0)</f>
        <v>input W</v>
      </c>
      <c r="O333" s="51"/>
      <c r="P333" s="51">
        <f>IFERROR(IF(K333="",0,(M333+N333)*2+15),0)</f>
        <v>0</v>
      </c>
      <c r="Q333" s="51">
        <f>IFERROR(IF(K333="",0,(N333+O333)-10),0)</f>
        <v>0</v>
      </c>
      <c r="R333" s="53">
        <f xml:space="preserve"> P333 * Q333 * (1 + 2.5%) / 1000000</f>
        <v>0</v>
      </c>
      <c r="S333" s="125">
        <f>R333*'[4]RFQ_Matalan Carton'!$M$32</f>
        <v>0</v>
      </c>
      <c r="T333" s="124">
        <f>S333</f>
        <v>0</v>
      </c>
      <c r="U333" s="124">
        <f>I333*T333</f>
        <v>0</v>
      </c>
      <c r="V333" s="123">
        <f>((T333*I333)-W333)*7.5%</f>
        <v>0</v>
      </c>
      <c r="W333" s="124">
        <f>S333*I333*10%</f>
        <v>0</v>
      </c>
      <c r="X333" s="113"/>
    </row>
    <row r="334" spans="1:24">
      <c r="A334" s="118"/>
      <c r="B334" s="118"/>
      <c r="C334" s="119"/>
      <c r="D334" s="118"/>
      <c r="E334" s="118"/>
      <c r="F334" s="118"/>
      <c r="G334" s="119"/>
      <c r="H334" s="119"/>
      <c r="I334" s="119"/>
      <c r="J334" s="119" t="s">
        <v>121</v>
      </c>
      <c r="K334" s="119" t="s">
        <v>68</v>
      </c>
      <c r="L334" s="119" t="s">
        <v>109</v>
      </c>
      <c r="M334" s="51" t="str" cm="1">
        <f t="array" ref="M334">IFERROR(_xlfn.SWITCH(L334,"R-FPA",495,"R-FPB",595,"R-FPC",595,"R-FPD",595,"Custom Carton","input L"),0)</f>
        <v>input L</v>
      </c>
      <c r="N334" s="51" t="str" cm="1">
        <f t="array" ref="N334">IFERROR(_xlfn.SWITCH(L334,"R-FPA",285,"R-FPB",285,"R-FPC",325,"R-FPD",380,"Custom Carton","input W"),0)</f>
        <v>input W</v>
      </c>
      <c r="O334" s="51"/>
      <c r="P334" s="51">
        <f>IFERROR(IF(K334="",0,(M334+N334)*2+15),0)</f>
        <v>0</v>
      </c>
      <c r="Q334" s="51">
        <f>IFERROR(IF(K334="",0,(N334+O334)-10),0)</f>
        <v>0</v>
      </c>
      <c r="R334" s="53">
        <f xml:space="preserve"> P334 * Q334 * (1 + 2.5%) / 1000000</f>
        <v>0</v>
      </c>
      <c r="S334" s="125">
        <f>R334*'[4]RFQ_Matalan Carton'!$M$32</f>
        <v>0</v>
      </c>
      <c r="T334" s="124">
        <f>S334</f>
        <v>0</v>
      </c>
      <c r="U334" s="124">
        <f>I334*T334</f>
        <v>0</v>
      </c>
      <c r="V334" s="123">
        <f>((T334*I334)-W334)*7.5%</f>
        <v>0</v>
      </c>
      <c r="W334" s="124">
        <f>S334*I334*10%</f>
        <v>0</v>
      </c>
      <c r="X334" s="113"/>
    </row>
    <row r="335" spans="1:24">
      <c r="A335" s="118"/>
      <c r="B335" s="118"/>
      <c r="C335" s="119"/>
      <c r="D335" s="118"/>
      <c r="E335" s="118"/>
      <c r="F335" s="118"/>
      <c r="G335" s="119"/>
      <c r="H335" s="119"/>
      <c r="I335" s="119"/>
      <c r="J335" s="119" t="s">
        <v>121</v>
      </c>
      <c r="K335" s="119" t="s">
        <v>68</v>
      </c>
      <c r="L335" s="119" t="s">
        <v>109</v>
      </c>
      <c r="M335" s="51" t="str" cm="1">
        <f t="array" ref="M335">IFERROR(_xlfn.SWITCH(L335,"R-FPA",495,"R-FPB",595,"R-FPC",595,"R-FPD",595,"Custom Carton","input L"),0)</f>
        <v>input L</v>
      </c>
      <c r="N335" s="51" t="str" cm="1">
        <f t="array" ref="N335">IFERROR(_xlfn.SWITCH(L335,"R-FPA",285,"R-FPB",285,"R-FPC",325,"R-FPD",380,"Custom Carton","input W"),0)</f>
        <v>input W</v>
      </c>
      <c r="O335" s="51"/>
      <c r="P335" s="51">
        <f>IFERROR(IF(K335="",0,(M335+N335)*2+15),0)</f>
        <v>0</v>
      </c>
      <c r="Q335" s="51">
        <f>IFERROR(IF(K335="",0,(N335+O335)-10),0)</f>
        <v>0</v>
      </c>
      <c r="R335" s="53">
        <f xml:space="preserve"> P335 * Q335 * (1 + 2.5%) / 1000000</f>
        <v>0</v>
      </c>
      <c r="S335" s="125">
        <f>R335*'[4]RFQ_Matalan Carton'!$M$32</f>
        <v>0</v>
      </c>
      <c r="T335" s="124">
        <f>S335</f>
        <v>0</v>
      </c>
      <c r="U335" s="124">
        <f>I335*T335</f>
        <v>0</v>
      </c>
      <c r="V335" s="123">
        <f>((T335*I335)-W335)*7.5%</f>
        <v>0</v>
      </c>
      <c r="W335" s="124">
        <f>S335*I335*10%</f>
        <v>0</v>
      </c>
      <c r="X335" s="113"/>
    </row>
    <row r="336" spans="1:24">
      <c r="A336" s="118"/>
      <c r="B336" s="118"/>
      <c r="C336" s="119"/>
      <c r="D336" s="118"/>
      <c r="E336" s="118"/>
      <c r="F336" s="118"/>
      <c r="G336" s="119"/>
      <c r="H336" s="119"/>
      <c r="I336" s="119"/>
      <c r="J336" s="119" t="s">
        <v>121</v>
      </c>
      <c r="K336" s="119" t="s">
        <v>68</v>
      </c>
      <c r="L336" s="119" t="s">
        <v>109</v>
      </c>
      <c r="M336" s="51" t="str" cm="1">
        <f t="array" ref="M336">IFERROR(_xlfn.SWITCH(L336,"R-FPA",495,"R-FPB",595,"R-FPC",595,"R-FPD",595,"Custom Carton","input L"),0)</f>
        <v>input L</v>
      </c>
      <c r="N336" s="51" t="str" cm="1">
        <f t="array" ref="N336">IFERROR(_xlfn.SWITCH(L336,"R-FPA",285,"R-FPB",285,"R-FPC",325,"R-FPD",380,"Custom Carton","input W"),0)</f>
        <v>input W</v>
      </c>
      <c r="O336" s="51"/>
      <c r="P336" s="51">
        <f>IFERROR(IF(K336="",0,(M336+N336)*2+15),0)</f>
        <v>0</v>
      </c>
      <c r="Q336" s="51">
        <f>IFERROR(IF(K336="",0,(N336+O336)-10),0)</f>
        <v>0</v>
      </c>
      <c r="R336" s="53">
        <f xml:space="preserve"> P336 * Q336 * (1 + 2.5%) / 1000000</f>
        <v>0</v>
      </c>
      <c r="S336" s="125">
        <f>R336*'[4]RFQ_Matalan Carton'!$M$32</f>
        <v>0</v>
      </c>
      <c r="T336" s="124">
        <f>S336</f>
        <v>0</v>
      </c>
      <c r="U336" s="124">
        <f>I336*T336</f>
        <v>0</v>
      </c>
      <c r="V336" s="123">
        <f>((T336*I336)-W336)*7.5%</f>
        <v>0</v>
      </c>
      <c r="W336" s="124">
        <f>S336*I336*10%</f>
        <v>0</v>
      </c>
      <c r="X336" s="113"/>
    </row>
    <row r="337" spans="1:24">
      <c r="A337" s="118"/>
      <c r="B337" s="118"/>
      <c r="C337" s="119"/>
      <c r="D337" s="118"/>
      <c r="E337" s="118"/>
      <c r="F337" s="118"/>
      <c r="G337" s="119"/>
      <c r="H337" s="119"/>
      <c r="I337" s="119"/>
      <c r="J337" s="119" t="s">
        <v>121</v>
      </c>
      <c r="K337" s="119" t="s">
        <v>68</v>
      </c>
      <c r="L337" s="119" t="s">
        <v>109</v>
      </c>
      <c r="M337" s="51" t="str" cm="1">
        <f t="array" ref="M337">IFERROR(_xlfn.SWITCH(L337,"R-FPA",495,"R-FPB",595,"R-FPC",595,"R-FPD",595,"Custom Carton","input L"),0)</f>
        <v>input L</v>
      </c>
      <c r="N337" s="51" t="str" cm="1">
        <f t="array" ref="N337">IFERROR(_xlfn.SWITCH(L337,"R-FPA",285,"R-FPB",285,"R-FPC",325,"R-FPD",380,"Custom Carton","input W"),0)</f>
        <v>input W</v>
      </c>
      <c r="O337" s="51"/>
      <c r="P337" s="51">
        <f>IFERROR(IF(K337="",0,(M337+N337)*2+15),0)</f>
        <v>0</v>
      </c>
      <c r="Q337" s="51">
        <f>IFERROR(IF(K337="",0,(N337+O337)-10),0)</f>
        <v>0</v>
      </c>
      <c r="R337" s="53">
        <f xml:space="preserve"> P337 * Q337 * (1 + 2.5%) / 1000000</f>
        <v>0</v>
      </c>
      <c r="S337" s="125">
        <f>R337*'[4]RFQ_Matalan Carton'!$M$32</f>
        <v>0</v>
      </c>
      <c r="T337" s="124">
        <f>S337</f>
        <v>0</v>
      </c>
      <c r="U337" s="124">
        <f>I337*T337</f>
        <v>0</v>
      </c>
      <c r="V337" s="123">
        <f>((T337*I337)-W337)*7.5%</f>
        <v>0</v>
      </c>
      <c r="W337" s="124">
        <f>S337*I337*10%</f>
        <v>0</v>
      </c>
      <c r="X337" s="113"/>
    </row>
    <row r="338" spans="1:24">
      <c r="A338" s="118"/>
      <c r="B338" s="118"/>
      <c r="C338" s="119"/>
      <c r="D338" s="118"/>
      <c r="E338" s="118"/>
      <c r="F338" s="118"/>
      <c r="G338" s="119"/>
      <c r="H338" s="119"/>
      <c r="I338" s="119"/>
      <c r="J338" s="119" t="s">
        <v>121</v>
      </c>
      <c r="K338" s="119" t="s">
        <v>68</v>
      </c>
      <c r="L338" s="119" t="s">
        <v>109</v>
      </c>
      <c r="M338" s="51" t="str" cm="1">
        <f t="array" ref="M338">IFERROR(_xlfn.SWITCH(L338,"R-FPA",495,"R-FPB",595,"R-FPC",595,"R-FPD",595,"Custom Carton","input L"),0)</f>
        <v>input L</v>
      </c>
      <c r="N338" s="51" t="str" cm="1">
        <f t="array" ref="N338">IFERROR(_xlfn.SWITCH(L338,"R-FPA",285,"R-FPB",285,"R-FPC",325,"R-FPD",380,"Custom Carton","input W"),0)</f>
        <v>input W</v>
      </c>
      <c r="O338" s="51"/>
      <c r="P338" s="51">
        <f>IFERROR(IF(K338="",0,(M338+N338)*2+15),0)</f>
        <v>0</v>
      </c>
      <c r="Q338" s="51">
        <f>IFERROR(IF(K338="",0,(N338+O338)-10),0)</f>
        <v>0</v>
      </c>
      <c r="R338" s="53">
        <f xml:space="preserve"> P338 * Q338 * (1 + 2.5%) / 1000000</f>
        <v>0</v>
      </c>
      <c r="S338" s="125">
        <f>R338*'[4]RFQ_Matalan Carton'!$M$32</f>
        <v>0</v>
      </c>
      <c r="T338" s="124">
        <f>S338</f>
        <v>0</v>
      </c>
      <c r="U338" s="124">
        <f>I338*T338</f>
        <v>0</v>
      </c>
      <c r="V338" s="123">
        <f>((T338*I338)-W338)*7.5%</f>
        <v>0</v>
      </c>
      <c r="W338" s="124">
        <f>S338*I338*10%</f>
        <v>0</v>
      </c>
      <c r="X338" s="113"/>
    </row>
    <row r="339" spans="1:24">
      <c r="A339" s="118"/>
      <c r="B339" s="118"/>
      <c r="C339" s="119"/>
      <c r="D339" s="118"/>
      <c r="E339" s="118"/>
      <c r="F339" s="118"/>
      <c r="G339" s="119"/>
      <c r="H339" s="119"/>
      <c r="I339" s="119"/>
      <c r="J339" s="119" t="s">
        <v>121</v>
      </c>
      <c r="K339" s="119" t="s">
        <v>68</v>
      </c>
      <c r="L339" s="119" t="s">
        <v>109</v>
      </c>
      <c r="M339" s="51" t="str" cm="1">
        <f t="array" ref="M339">IFERROR(_xlfn.SWITCH(L339,"R-FPA",495,"R-FPB",595,"R-FPC",595,"R-FPD",595,"Custom Carton","input L"),0)</f>
        <v>input L</v>
      </c>
      <c r="N339" s="51" t="str" cm="1">
        <f t="array" ref="N339">IFERROR(_xlfn.SWITCH(L339,"R-FPA",285,"R-FPB",285,"R-FPC",325,"R-FPD",380,"Custom Carton","input W"),0)</f>
        <v>input W</v>
      </c>
      <c r="O339" s="51"/>
      <c r="P339" s="51">
        <f>IFERROR(IF(K339="",0,(M339+N339)*2+15),0)</f>
        <v>0</v>
      </c>
      <c r="Q339" s="51">
        <f>IFERROR(IF(K339="",0,(N339+O339)-10),0)</f>
        <v>0</v>
      </c>
      <c r="R339" s="53">
        <f xml:space="preserve"> P339 * Q339 * (1 + 2.5%) / 1000000</f>
        <v>0</v>
      </c>
      <c r="S339" s="125">
        <f>R339*'[4]RFQ_Matalan Carton'!$M$32</f>
        <v>0</v>
      </c>
      <c r="T339" s="124">
        <f>S339</f>
        <v>0</v>
      </c>
      <c r="U339" s="124">
        <f>I339*T339</f>
        <v>0</v>
      </c>
      <c r="V339" s="123">
        <f>((T339*I339)-W339)*7.5%</f>
        <v>0</v>
      </c>
      <c r="W339" s="124">
        <f>S339*I339*10%</f>
        <v>0</v>
      </c>
      <c r="X339" s="113"/>
    </row>
    <row r="340" spans="1:24">
      <c r="A340" s="118"/>
      <c r="B340" s="118"/>
      <c r="C340" s="119"/>
      <c r="D340" s="118"/>
      <c r="E340" s="118"/>
      <c r="F340" s="118"/>
      <c r="G340" s="119"/>
      <c r="H340" s="119"/>
      <c r="I340" s="119"/>
      <c r="J340" s="119" t="s">
        <v>121</v>
      </c>
      <c r="K340" s="119" t="s">
        <v>68</v>
      </c>
      <c r="L340" s="119" t="s">
        <v>109</v>
      </c>
      <c r="M340" s="51" t="str" cm="1">
        <f t="array" ref="M340">IFERROR(_xlfn.SWITCH(L340,"R-FPA",495,"R-FPB",595,"R-FPC",595,"R-FPD",595,"Custom Carton","input L"),0)</f>
        <v>input L</v>
      </c>
      <c r="N340" s="51" t="str" cm="1">
        <f t="array" ref="N340">IFERROR(_xlfn.SWITCH(L340,"R-FPA",285,"R-FPB",285,"R-FPC",325,"R-FPD",380,"Custom Carton","input W"),0)</f>
        <v>input W</v>
      </c>
      <c r="O340" s="51"/>
      <c r="P340" s="51">
        <f>IFERROR(IF(K340="",0,(M340+N340)*2+15),0)</f>
        <v>0</v>
      </c>
      <c r="Q340" s="51">
        <f>IFERROR(IF(K340="",0,(N340+O340)-10),0)</f>
        <v>0</v>
      </c>
      <c r="R340" s="53">
        <f xml:space="preserve"> P340 * Q340 * (1 + 2.5%) / 1000000</f>
        <v>0</v>
      </c>
      <c r="S340" s="125">
        <f>R340*'[4]RFQ_Matalan Carton'!$M$32</f>
        <v>0</v>
      </c>
      <c r="T340" s="124">
        <f>S340</f>
        <v>0</v>
      </c>
      <c r="U340" s="124">
        <f>I340*T340</f>
        <v>0</v>
      </c>
      <c r="V340" s="123">
        <f>((T340*I340)-W340)*7.5%</f>
        <v>0</v>
      </c>
      <c r="W340" s="124">
        <f>S340*I340*10%</f>
        <v>0</v>
      </c>
      <c r="X340" s="113"/>
    </row>
    <row r="341" spans="1:24">
      <c r="A341" s="118"/>
      <c r="B341" s="118"/>
      <c r="C341" s="119"/>
      <c r="D341" s="118"/>
      <c r="E341" s="118"/>
      <c r="F341" s="118"/>
      <c r="G341" s="119"/>
      <c r="H341" s="119"/>
      <c r="I341" s="119"/>
      <c r="J341" s="119" t="s">
        <v>121</v>
      </c>
      <c r="K341" s="119" t="s">
        <v>68</v>
      </c>
      <c r="L341" s="119" t="s">
        <v>109</v>
      </c>
      <c r="M341" s="51" t="str" cm="1">
        <f t="array" ref="M341">IFERROR(_xlfn.SWITCH(L341,"R-FPA",495,"R-FPB",595,"R-FPC",595,"R-FPD",595,"Custom Carton","input L"),0)</f>
        <v>input L</v>
      </c>
      <c r="N341" s="51" t="str" cm="1">
        <f t="array" ref="N341">IFERROR(_xlfn.SWITCH(L341,"R-FPA",285,"R-FPB",285,"R-FPC",325,"R-FPD",380,"Custom Carton","input W"),0)</f>
        <v>input W</v>
      </c>
      <c r="O341" s="51"/>
      <c r="P341" s="51">
        <f>IFERROR(IF(K341="",0,(M341+N341)*2+15),0)</f>
        <v>0</v>
      </c>
      <c r="Q341" s="51">
        <f>IFERROR(IF(K341="",0,(N341+O341)-10),0)</f>
        <v>0</v>
      </c>
      <c r="R341" s="53">
        <f xml:space="preserve"> P341 * Q341 * (1 + 2.5%) / 1000000</f>
        <v>0</v>
      </c>
      <c r="S341" s="125">
        <f>R341*'[4]RFQ_Matalan Carton'!$M$32</f>
        <v>0</v>
      </c>
      <c r="T341" s="124">
        <f>S341</f>
        <v>0</v>
      </c>
      <c r="U341" s="124">
        <f>I341*T341</f>
        <v>0</v>
      </c>
      <c r="V341" s="123">
        <f>((T341*I341)-W341)*7.5%</f>
        <v>0</v>
      </c>
      <c r="W341" s="124">
        <f>S341*I341*10%</f>
        <v>0</v>
      </c>
      <c r="X341" s="113"/>
    </row>
    <row r="342" spans="1:24">
      <c r="A342" s="118"/>
      <c r="B342" s="118"/>
      <c r="C342" s="119"/>
      <c r="D342" s="118"/>
      <c r="E342" s="118"/>
      <c r="F342" s="118"/>
      <c r="G342" s="119"/>
      <c r="H342" s="119"/>
      <c r="I342" s="119"/>
      <c r="J342" s="119" t="s">
        <v>121</v>
      </c>
      <c r="K342" s="119" t="s">
        <v>68</v>
      </c>
      <c r="L342" s="119" t="s">
        <v>109</v>
      </c>
      <c r="M342" s="51" t="str" cm="1">
        <f t="array" ref="M342">IFERROR(_xlfn.SWITCH(L342,"R-FPA",495,"R-FPB",595,"R-FPC",595,"R-FPD",595,"Custom Carton","input L"),0)</f>
        <v>input L</v>
      </c>
      <c r="N342" s="51" t="str" cm="1">
        <f t="array" ref="N342">IFERROR(_xlfn.SWITCH(L342,"R-FPA",285,"R-FPB",285,"R-FPC",325,"R-FPD",380,"Custom Carton","input W"),0)</f>
        <v>input W</v>
      </c>
      <c r="O342" s="51"/>
      <c r="P342" s="51">
        <f>IFERROR(IF(K342="",0,(M342+N342)*2+15),0)</f>
        <v>0</v>
      </c>
      <c r="Q342" s="51">
        <f>IFERROR(IF(K342="",0,(N342+O342)-10),0)</f>
        <v>0</v>
      </c>
      <c r="R342" s="53">
        <f xml:space="preserve"> P342 * Q342 * (1 + 2.5%) / 1000000</f>
        <v>0</v>
      </c>
      <c r="S342" s="125">
        <f>R342*'[4]RFQ_Matalan Carton'!$M$32</f>
        <v>0</v>
      </c>
      <c r="T342" s="124">
        <f>S342</f>
        <v>0</v>
      </c>
      <c r="U342" s="124">
        <f>I342*T342</f>
        <v>0</v>
      </c>
      <c r="V342" s="123">
        <f>((T342*I342)-W342)*7.5%</f>
        <v>0</v>
      </c>
      <c r="W342" s="124">
        <f>S342*I342*10%</f>
        <v>0</v>
      </c>
      <c r="X342" s="113"/>
    </row>
    <row r="343" spans="1:24">
      <c r="A343" s="118"/>
      <c r="B343" s="118"/>
      <c r="C343" s="119"/>
      <c r="D343" s="118"/>
      <c r="E343" s="118"/>
      <c r="F343" s="118"/>
      <c r="G343" s="119"/>
      <c r="H343" s="119"/>
      <c r="I343" s="119"/>
      <c r="J343" s="119" t="s">
        <v>121</v>
      </c>
      <c r="K343" s="119" t="s">
        <v>68</v>
      </c>
      <c r="L343" s="119" t="s">
        <v>109</v>
      </c>
      <c r="M343" s="51" t="str" cm="1">
        <f t="array" ref="M343">IFERROR(_xlfn.SWITCH(L343,"R-FPA",495,"R-FPB",595,"R-FPC",595,"R-FPD",595,"Custom Carton","input L"),0)</f>
        <v>input L</v>
      </c>
      <c r="N343" s="51" t="str" cm="1">
        <f t="array" ref="N343">IFERROR(_xlfn.SWITCH(L343,"R-FPA",285,"R-FPB",285,"R-FPC",325,"R-FPD",380,"Custom Carton","input W"),0)</f>
        <v>input W</v>
      </c>
      <c r="O343" s="51"/>
      <c r="P343" s="51">
        <f>IFERROR(IF(K343="",0,(M343+N343)*2+15),0)</f>
        <v>0</v>
      </c>
      <c r="Q343" s="51">
        <f>IFERROR(IF(K343="",0,(N343+O343)-10),0)</f>
        <v>0</v>
      </c>
      <c r="R343" s="53">
        <f xml:space="preserve"> P343 * Q343 * (1 + 2.5%) / 1000000</f>
        <v>0</v>
      </c>
      <c r="S343" s="125">
        <f>R343*'[4]RFQ_Matalan Carton'!$M$32</f>
        <v>0</v>
      </c>
      <c r="T343" s="124">
        <f>S343</f>
        <v>0</v>
      </c>
      <c r="U343" s="124">
        <f>I343*T343</f>
        <v>0</v>
      </c>
      <c r="V343" s="123">
        <f>((T343*I343)-W343)*7.5%</f>
        <v>0</v>
      </c>
      <c r="W343" s="124">
        <f>S343*I343*10%</f>
        <v>0</v>
      </c>
      <c r="X343" s="113"/>
    </row>
    <row r="344" spans="1:24">
      <c r="A344" s="118"/>
      <c r="B344" s="118"/>
      <c r="C344" s="119"/>
      <c r="D344" s="118"/>
      <c r="E344" s="118"/>
      <c r="F344" s="118"/>
      <c r="G344" s="119"/>
      <c r="H344" s="119"/>
      <c r="I344" s="119"/>
      <c r="J344" s="119" t="s">
        <v>121</v>
      </c>
      <c r="K344" s="119" t="s">
        <v>68</v>
      </c>
      <c r="L344" s="119" t="s">
        <v>109</v>
      </c>
      <c r="M344" s="51" t="str" cm="1">
        <f t="array" ref="M344">IFERROR(_xlfn.SWITCH(L344,"R-FPA",495,"R-FPB",595,"R-FPC",595,"R-FPD",595,"Custom Carton","input L"),0)</f>
        <v>input L</v>
      </c>
      <c r="N344" s="51" t="str" cm="1">
        <f t="array" ref="N344">IFERROR(_xlfn.SWITCH(L344,"R-FPA",285,"R-FPB",285,"R-FPC",325,"R-FPD",380,"Custom Carton","input W"),0)</f>
        <v>input W</v>
      </c>
      <c r="O344" s="51"/>
      <c r="P344" s="51">
        <f>IFERROR(IF(K344="",0,(M344+N344)*2+15),0)</f>
        <v>0</v>
      </c>
      <c r="Q344" s="51">
        <f>IFERROR(IF(K344="",0,(N344+O344)-10),0)</f>
        <v>0</v>
      </c>
      <c r="R344" s="53">
        <f xml:space="preserve"> P344 * Q344 * (1 + 2.5%) / 1000000</f>
        <v>0</v>
      </c>
      <c r="S344" s="125">
        <f>R344*'[4]RFQ_Matalan Carton'!$M$32</f>
        <v>0</v>
      </c>
      <c r="T344" s="124">
        <f>S344</f>
        <v>0</v>
      </c>
      <c r="U344" s="124">
        <f>I344*T344</f>
        <v>0</v>
      </c>
      <c r="V344" s="123">
        <f>((T344*I344)-W344)*7.5%</f>
        <v>0</v>
      </c>
      <c r="W344" s="124">
        <f>S344*I344*10%</f>
        <v>0</v>
      </c>
      <c r="X344" s="113"/>
    </row>
    <row r="345" spans="1:24">
      <c r="A345" s="118"/>
      <c r="B345" s="118"/>
      <c r="C345" s="119"/>
      <c r="D345" s="118"/>
      <c r="E345" s="118"/>
      <c r="F345" s="118"/>
      <c r="G345" s="119"/>
      <c r="H345" s="119"/>
      <c r="I345" s="119"/>
      <c r="J345" s="119" t="s">
        <v>121</v>
      </c>
      <c r="K345" s="119" t="s">
        <v>68</v>
      </c>
      <c r="L345" s="119" t="s">
        <v>109</v>
      </c>
      <c r="M345" s="51" t="str" cm="1">
        <f t="array" ref="M345">IFERROR(_xlfn.SWITCH(L345,"R-FPA",495,"R-FPB",595,"R-FPC",595,"R-FPD",595,"Custom Carton","input L"),0)</f>
        <v>input L</v>
      </c>
      <c r="N345" s="51" t="str" cm="1">
        <f t="array" ref="N345">IFERROR(_xlfn.SWITCH(L345,"R-FPA",285,"R-FPB",285,"R-FPC",325,"R-FPD",380,"Custom Carton","input W"),0)</f>
        <v>input W</v>
      </c>
      <c r="O345" s="51"/>
      <c r="P345" s="51">
        <f>IFERROR(IF(K345="",0,(M345+N345)*2+15),0)</f>
        <v>0</v>
      </c>
      <c r="Q345" s="51">
        <f>IFERROR(IF(K345="",0,(N345+O345)-10),0)</f>
        <v>0</v>
      </c>
      <c r="R345" s="53">
        <f xml:space="preserve"> P345 * Q345 * (1 + 2.5%) / 1000000</f>
        <v>0</v>
      </c>
      <c r="S345" s="125">
        <f>R345*'[4]RFQ_Matalan Carton'!$M$32</f>
        <v>0</v>
      </c>
      <c r="T345" s="124">
        <f>S345</f>
        <v>0</v>
      </c>
      <c r="U345" s="124">
        <f>I345*T345</f>
        <v>0</v>
      </c>
      <c r="V345" s="123">
        <f>((T345*I345)-W345)*7.5%</f>
        <v>0</v>
      </c>
      <c r="W345" s="124">
        <f>S345*I345*10%</f>
        <v>0</v>
      </c>
      <c r="X345" s="113"/>
    </row>
    <row r="346" spans="1:24">
      <c r="A346" s="118"/>
      <c r="B346" s="118"/>
      <c r="C346" s="119"/>
      <c r="D346" s="118"/>
      <c r="E346" s="118"/>
      <c r="F346" s="118"/>
      <c r="G346" s="119"/>
      <c r="H346" s="119"/>
      <c r="I346" s="119"/>
      <c r="J346" s="119" t="s">
        <v>121</v>
      </c>
      <c r="K346" s="119" t="s">
        <v>68</v>
      </c>
      <c r="L346" s="119" t="s">
        <v>109</v>
      </c>
      <c r="M346" s="51" t="str" cm="1">
        <f t="array" ref="M346">IFERROR(_xlfn.SWITCH(L346,"R-FPA",495,"R-FPB",595,"R-FPC",595,"R-FPD",595,"Custom Carton","input L"),0)</f>
        <v>input L</v>
      </c>
      <c r="N346" s="51" t="str" cm="1">
        <f t="array" ref="N346">IFERROR(_xlfn.SWITCH(L346,"R-FPA",285,"R-FPB",285,"R-FPC",325,"R-FPD",380,"Custom Carton","input W"),0)</f>
        <v>input W</v>
      </c>
      <c r="O346" s="51"/>
      <c r="P346" s="51">
        <f>IFERROR(IF(K346="",0,(M346+N346)*2+15),0)</f>
        <v>0</v>
      </c>
      <c r="Q346" s="51">
        <f>IFERROR(IF(K346="",0,(N346+O346)-10),0)</f>
        <v>0</v>
      </c>
      <c r="R346" s="53">
        <f xml:space="preserve"> P346 * Q346 * (1 + 2.5%) / 1000000</f>
        <v>0</v>
      </c>
      <c r="S346" s="125">
        <f>R346*'[4]RFQ_Matalan Carton'!$M$32</f>
        <v>0</v>
      </c>
      <c r="T346" s="124">
        <f>S346</f>
        <v>0</v>
      </c>
      <c r="U346" s="124">
        <f>I346*T346</f>
        <v>0</v>
      </c>
      <c r="V346" s="123">
        <f>((T346*I346)-W346)*7.5%</f>
        <v>0</v>
      </c>
      <c r="W346" s="124">
        <f>S346*I346*10%</f>
        <v>0</v>
      </c>
      <c r="X346" s="113"/>
    </row>
    <row r="347" spans="1:24">
      <c r="A347" s="118"/>
      <c r="B347" s="118"/>
      <c r="C347" s="119"/>
      <c r="D347" s="118"/>
      <c r="E347" s="118"/>
      <c r="F347" s="118"/>
      <c r="G347" s="119"/>
      <c r="H347" s="119"/>
      <c r="I347" s="119"/>
      <c r="J347" s="119" t="s">
        <v>121</v>
      </c>
      <c r="K347" s="119" t="s">
        <v>68</v>
      </c>
      <c r="L347" s="119" t="s">
        <v>109</v>
      </c>
      <c r="M347" s="51" t="str" cm="1">
        <f t="array" ref="M347">IFERROR(_xlfn.SWITCH(L347,"R-FPA",495,"R-FPB",595,"R-FPC",595,"R-FPD",595,"Custom Carton","input L"),0)</f>
        <v>input L</v>
      </c>
      <c r="N347" s="51" t="str" cm="1">
        <f t="array" ref="N347">IFERROR(_xlfn.SWITCH(L347,"R-FPA",285,"R-FPB",285,"R-FPC",325,"R-FPD",380,"Custom Carton","input W"),0)</f>
        <v>input W</v>
      </c>
      <c r="O347" s="51"/>
      <c r="P347" s="51">
        <f>IFERROR(IF(K347="",0,(M347+N347)*2+15),0)</f>
        <v>0</v>
      </c>
      <c r="Q347" s="51">
        <f>IFERROR(IF(K347="",0,(N347+O347)-10),0)</f>
        <v>0</v>
      </c>
      <c r="R347" s="53">
        <f xml:space="preserve"> P347 * Q347 * (1 + 2.5%) / 1000000</f>
        <v>0</v>
      </c>
      <c r="S347" s="125">
        <f>R347*'[4]RFQ_Matalan Carton'!$M$32</f>
        <v>0</v>
      </c>
      <c r="T347" s="124">
        <f>S347</f>
        <v>0</v>
      </c>
      <c r="U347" s="124">
        <f>I347*T347</f>
        <v>0</v>
      </c>
      <c r="V347" s="123">
        <f>((T347*I347)-W347)*7.5%</f>
        <v>0</v>
      </c>
      <c r="W347" s="124">
        <f>S347*I347*10%</f>
        <v>0</v>
      </c>
      <c r="X347" s="113"/>
    </row>
    <row r="348" spans="1:24">
      <c r="A348" s="118"/>
      <c r="B348" s="118"/>
      <c r="C348" s="119"/>
      <c r="D348" s="118"/>
      <c r="E348" s="118"/>
      <c r="F348" s="118"/>
      <c r="G348" s="119"/>
      <c r="H348" s="119"/>
      <c r="I348" s="119"/>
      <c r="J348" s="119" t="s">
        <v>121</v>
      </c>
      <c r="K348" s="119" t="s">
        <v>68</v>
      </c>
      <c r="L348" s="119" t="s">
        <v>109</v>
      </c>
      <c r="M348" s="51" t="str" cm="1">
        <f t="array" ref="M348">IFERROR(_xlfn.SWITCH(L348,"R-FPA",495,"R-FPB",595,"R-FPC",595,"R-FPD",595,"Custom Carton","input L"),0)</f>
        <v>input L</v>
      </c>
      <c r="N348" s="51" t="str" cm="1">
        <f t="array" ref="N348">IFERROR(_xlfn.SWITCH(L348,"R-FPA",285,"R-FPB",285,"R-FPC",325,"R-FPD",380,"Custom Carton","input W"),0)</f>
        <v>input W</v>
      </c>
      <c r="O348" s="51"/>
      <c r="P348" s="51">
        <f>IFERROR(IF(K348="",0,(M348+N348)*2+15),0)</f>
        <v>0</v>
      </c>
      <c r="Q348" s="51">
        <f>IFERROR(IF(K348="",0,(N348+O348)-10),0)</f>
        <v>0</v>
      </c>
      <c r="R348" s="53">
        <f xml:space="preserve"> P348 * Q348 * (1 + 2.5%) / 1000000</f>
        <v>0</v>
      </c>
      <c r="S348" s="125">
        <f>R348*'[4]RFQ_Matalan Carton'!$M$32</f>
        <v>0</v>
      </c>
      <c r="T348" s="124">
        <f>S348</f>
        <v>0</v>
      </c>
      <c r="U348" s="124">
        <f>I348*T348</f>
        <v>0</v>
      </c>
      <c r="V348" s="123">
        <f>((T348*I348)-W348)*7.5%</f>
        <v>0</v>
      </c>
      <c r="W348" s="124">
        <f>S348*I348*10%</f>
        <v>0</v>
      </c>
      <c r="X348" s="113"/>
    </row>
    <row r="349" spans="1:24">
      <c r="A349" s="118"/>
      <c r="B349" s="118"/>
      <c r="C349" s="119"/>
      <c r="D349" s="118"/>
      <c r="E349" s="118"/>
      <c r="F349" s="118"/>
      <c r="G349" s="119"/>
      <c r="H349" s="119"/>
      <c r="I349" s="119"/>
      <c r="J349" s="119" t="s">
        <v>121</v>
      </c>
      <c r="K349" s="119" t="s">
        <v>68</v>
      </c>
      <c r="L349" s="119" t="s">
        <v>109</v>
      </c>
      <c r="M349" s="51" t="str" cm="1">
        <f t="array" ref="M349">IFERROR(_xlfn.SWITCH(L349,"R-FPA",495,"R-FPB",595,"R-FPC",595,"R-FPD",595,"Custom Carton","input L"),0)</f>
        <v>input L</v>
      </c>
      <c r="N349" s="51" t="str" cm="1">
        <f t="array" ref="N349">IFERROR(_xlfn.SWITCH(L349,"R-FPA",285,"R-FPB",285,"R-FPC",325,"R-FPD",380,"Custom Carton","input W"),0)</f>
        <v>input W</v>
      </c>
      <c r="O349" s="51"/>
      <c r="P349" s="51">
        <f>IFERROR(IF(K349="",0,(M349+N349)*2+15),0)</f>
        <v>0</v>
      </c>
      <c r="Q349" s="51">
        <f>IFERROR(IF(K349="",0,(N349+O349)-10),0)</f>
        <v>0</v>
      </c>
      <c r="R349" s="53">
        <f xml:space="preserve"> P349 * Q349 * (1 + 2.5%) / 1000000</f>
        <v>0</v>
      </c>
      <c r="S349" s="125">
        <f>R349*'[4]RFQ_Matalan Carton'!$M$32</f>
        <v>0</v>
      </c>
      <c r="T349" s="124">
        <f>S349</f>
        <v>0</v>
      </c>
      <c r="U349" s="124">
        <f>I349*T349</f>
        <v>0</v>
      </c>
      <c r="V349" s="123">
        <f>((T349*I349)-W349)*7.5%</f>
        <v>0</v>
      </c>
      <c r="W349" s="124">
        <f>S349*I349*10%</f>
        <v>0</v>
      </c>
      <c r="X349" s="113"/>
    </row>
    <row r="350" spans="1:24">
      <c r="A350" s="118"/>
      <c r="B350" s="118"/>
      <c r="C350" s="119"/>
      <c r="D350" s="118"/>
      <c r="E350" s="118"/>
      <c r="F350" s="118"/>
      <c r="G350" s="119"/>
      <c r="H350" s="119"/>
      <c r="I350" s="119"/>
      <c r="J350" s="119" t="s">
        <v>121</v>
      </c>
      <c r="K350" s="119" t="s">
        <v>68</v>
      </c>
      <c r="L350" s="119" t="s">
        <v>109</v>
      </c>
      <c r="M350" s="51" t="str" cm="1">
        <f t="array" ref="M350">IFERROR(_xlfn.SWITCH(L350,"R-FPA",495,"R-FPB",595,"R-FPC",595,"R-FPD",595,"Custom Carton","input L"),0)</f>
        <v>input L</v>
      </c>
      <c r="N350" s="51" t="str" cm="1">
        <f t="array" ref="N350">IFERROR(_xlfn.SWITCH(L350,"R-FPA",285,"R-FPB",285,"R-FPC",325,"R-FPD",380,"Custom Carton","input W"),0)</f>
        <v>input W</v>
      </c>
      <c r="O350" s="51"/>
      <c r="P350" s="51">
        <f>IFERROR(IF(K350="",0,(M350+N350)*2+15),0)</f>
        <v>0</v>
      </c>
      <c r="Q350" s="51">
        <f>IFERROR(IF(K350="",0,(N350+O350)-10),0)</f>
        <v>0</v>
      </c>
      <c r="R350" s="53">
        <f xml:space="preserve"> P350 * Q350 * (1 + 2.5%) / 1000000</f>
        <v>0</v>
      </c>
      <c r="S350" s="125">
        <f>R350*'[4]RFQ_Matalan Carton'!$M$32</f>
        <v>0</v>
      </c>
      <c r="T350" s="124">
        <f>S350</f>
        <v>0</v>
      </c>
      <c r="U350" s="124">
        <f>I350*T350</f>
        <v>0</v>
      </c>
      <c r="V350" s="123">
        <f>((T350*I350)-W350)*7.5%</f>
        <v>0</v>
      </c>
      <c r="W350" s="124">
        <f>S350*I350*10%</f>
        <v>0</v>
      </c>
      <c r="X350" s="113"/>
    </row>
    <row r="351" spans="1:24">
      <c r="A351" s="118"/>
      <c r="B351" s="118"/>
      <c r="C351" s="119"/>
      <c r="D351" s="118"/>
      <c r="E351" s="118"/>
      <c r="F351" s="118"/>
      <c r="G351" s="119"/>
      <c r="H351" s="119"/>
      <c r="I351" s="119"/>
      <c r="J351" s="119" t="s">
        <v>121</v>
      </c>
      <c r="K351" s="119" t="s">
        <v>68</v>
      </c>
      <c r="L351" s="119" t="s">
        <v>109</v>
      </c>
      <c r="M351" s="51" t="str" cm="1">
        <f t="array" ref="M351">IFERROR(_xlfn.SWITCH(L351,"R-FPA",495,"R-FPB",595,"R-FPC",595,"R-FPD",595,"Custom Carton","input L"),0)</f>
        <v>input L</v>
      </c>
      <c r="N351" s="51" t="str" cm="1">
        <f t="array" ref="N351">IFERROR(_xlfn.SWITCH(L351,"R-FPA",285,"R-FPB",285,"R-FPC",325,"R-FPD",380,"Custom Carton","input W"),0)</f>
        <v>input W</v>
      </c>
      <c r="O351" s="51"/>
      <c r="P351" s="51">
        <f>IFERROR(IF(K351="",0,(M351+N351)*2+15),0)</f>
        <v>0</v>
      </c>
      <c r="Q351" s="51">
        <f>IFERROR(IF(K351="",0,(N351+O351)-10),0)</f>
        <v>0</v>
      </c>
      <c r="R351" s="53">
        <f xml:space="preserve"> P351 * Q351 * (1 + 2.5%) / 1000000</f>
        <v>0</v>
      </c>
      <c r="S351" s="125">
        <f>R351*'[4]RFQ_Matalan Carton'!$M$32</f>
        <v>0</v>
      </c>
      <c r="T351" s="124">
        <f>S351</f>
        <v>0</v>
      </c>
      <c r="U351" s="124">
        <f>I351*T351</f>
        <v>0</v>
      </c>
      <c r="V351" s="123">
        <f>((T351*I351)-W351)*7.5%</f>
        <v>0</v>
      </c>
      <c r="W351" s="124">
        <f>S351*I351*10%</f>
        <v>0</v>
      </c>
      <c r="X351" s="113"/>
    </row>
    <row r="352" spans="1:24">
      <c r="A352" s="118"/>
      <c r="B352" s="118"/>
      <c r="C352" s="119"/>
      <c r="D352" s="118"/>
      <c r="E352" s="118"/>
      <c r="F352" s="118"/>
      <c r="G352" s="119"/>
      <c r="H352" s="119"/>
      <c r="I352" s="119"/>
      <c r="J352" s="119" t="s">
        <v>121</v>
      </c>
      <c r="K352" s="119" t="s">
        <v>68</v>
      </c>
      <c r="L352" s="119" t="s">
        <v>109</v>
      </c>
      <c r="M352" s="51" t="str" cm="1">
        <f t="array" ref="M352">IFERROR(_xlfn.SWITCH(L352,"R-FPA",495,"R-FPB",595,"R-FPC",595,"R-FPD",595,"Custom Carton","input L"),0)</f>
        <v>input L</v>
      </c>
      <c r="N352" s="51" t="str" cm="1">
        <f t="array" ref="N352">IFERROR(_xlfn.SWITCH(L352,"R-FPA",285,"R-FPB",285,"R-FPC",325,"R-FPD",380,"Custom Carton","input W"),0)</f>
        <v>input W</v>
      </c>
      <c r="O352" s="51"/>
      <c r="P352" s="51">
        <f>IFERROR(IF(K352="",0,(M352+N352)*2+15),0)</f>
        <v>0</v>
      </c>
      <c r="Q352" s="51">
        <f>IFERROR(IF(K352="",0,(N352+O352)-10),0)</f>
        <v>0</v>
      </c>
      <c r="R352" s="53">
        <f xml:space="preserve"> P352 * Q352 * (1 + 2.5%) / 1000000</f>
        <v>0</v>
      </c>
      <c r="S352" s="125">
        <f>R352*'[4]RFQ_Matalan Carton'!$M$32</f>
        <v>0</v>
      </c>
      <c r="T352" s="124">
        <f>S352</f>
        <v>0</v>
      </c>
      <c r="U352" s="124">
        <f>I352*T352</f>
        <v>0</v>
      </c>
      <c r="V352" s="123">
        <f>((T352*I352)-W352)*7.5%</f>
        <v>0</v>
      </c>
      <c r="W352" s="124">
        <f>S352*I352*10%</f>
        <v>0</v>
      </c>
      <c r="X352" s="113"/>
    </row>
    <row r="353" spans="1:24">
      <c r="A353" s="118"/>
      <c r="B353" s="118"/>
      <c r="C353" s="119"/>
      <c r="D353" s="118"/>
      <c r="E353" s="118"/>
      <c r="F353" s="118"/>
      <c r="G353" s="119"/>
      <c r="H353" s="119"/>
      <c r="I353" s="119"/>
      <c r="J353" s="119" t="s">
        <v>121</v>
      </c>
      <c r="K353" s="119" t="s">
        <v>68</v>
      </c>
      <c r="L353" s="119" t="s">
        <v>109</v>
      </c>
      <c r="M353" s="51" t="str" cm="1">
        <f t="array" ref="M353">IFERROR(_xlfn.SWITCH(L353,"R-FPA",495,"R-FPB",595,"R-FPC",595,"R-FPD",595,"Custom Carton","input L"),0)</f>
        <v>input L</v>
      </c>
      <c r="N353" s="51" t="str" cm="1">
        <f t="array" ref="N353">IFERROR(_xlfn.SWITCH(L353,"R-FPA",285,"R-FPB",285,"R-FPC",325,"R-FPD",380,"Custom Carton","input W"),0)</f>
        <v>input W</v>
      </c>
      <c r="O353" s="51"/>
      <c r="P353" s="51">
        <f>IFERROR(IF(K353="",0,(M353+N353)*2+15),0)</f>
        <v>0</v>
      </c>
      <c r="Q353" s="51">
        <f>IFERROR(IF(K353="",0,(N353+O353)-10),0)</f>
        <v>0</v>
      </c>
      <c r="R353" s="53">
        <f xml:space="preserve"> P353 * Q353 * (1 + 2.5%) / 1000000</f>
        <v>0</v>
      </c>
      <c r="S353" s="125">
        <f>R353*'[4]RFQ_Matalan Carton'!$M$32</f>
        <v>0</v>
      </c>
      <c r="T353" s="124">
        <f>S353</f>
        <v>0</v>
      </c>
      <c r="U353" s="124">
        <f>I353*T353</f>
        <v>0</v>
      </c>
      <c r="V353" s="123">
        <f>((T353*I353)-W353)*7.5%</f>
        <v>0</v>
      </c>
      <c r="W353" s="124">
        <f>S353*I353*10%</f>
        <v>0</v>
      </c>
      <c r="X353" s="113"/>
    </row>
    <row r="354" spans="1:24">
      <c r="A354" s="118"/>
      <c r="B354" s="118"/>
      <c r="C354" s="119"/>
      <c r="D354" s="118"/>
      <c r="E354" s="118"/>
      <c r="F354" s="118"/>
      <c r="G354" s="119"/>
      <c r="H354" s="119"/>
      <c r="I354" s="119"/>
      <c r="J354" s="119" t="s">
        <v>121</v>
      </c>
      <c r="K354" s="119" t="s">
        <v>68</v>
      </c>
      <c r="L354" s="119" t="s">
        <v>109</v>
      </c>
      <c r="M354" s="51" t="str" cm="1">
        <f t="array" ref="M354">IFERROR(_xlfn.SWITCH(L354,"R-FPA",495,"R-FPB",595,"R-FPC",595,"R-FPD",595,"Custom Carton","input L"),0)</f>
        <v>input L</v>
      </c>
      <c r="N354" s="51" t="str" cm="1">
        <f t="array" ref="N354">IFERROR(_xlfn.SWITCH(L354,"R-FPA",285,"R-FPB",285,"R-FPC",325,"R-FPD",380,"Custom Carton","input W"),0)</f>
        <v>input W</v>
      </c>
      <c r="O354" s="51"/>
      <c r="P354" s="51">
        <f>IFERROR(IF(K354="",0,(M354+N354)*2+15),0)</f>
        <v>0</v>
      </c>
      <c r="Q354" s="51">
        <f>IFERROR(IF(K354="",0,(N354+O354)-10),0)</f>
        <v>0</v>
      </c>
      <c r="R354" s="53">
        <f xml:space="preserve"> P354 * Q354 * (1 + 2.5%) / 1000000</f>
        <v>0</v>
      </c>
      <c r="S354" s="125">
        <f>R354*'[4]RFQ_Matalan Carton'!$M$32</f>
        <v>0</v>
      </c>
      <c r="T354" s="124">
        <f>S354</f>
        <v>0</v>
      </c>
      <c r="U354" s="124">
        <f>I354*T354</f>
        <v>0</v>
      </c>
      <c r="V354" s="123">
        <f>((T354*I354)-W354)*7.5%</f>
        <v>0</v>
      </c>
      <c r="W354" s="124">
        <f>S354*I354*10%</f>
        <v>0</v>
      </c>
      <c r="X354" s="113"/>
    </row>
    <row r="355" spans="1:24">
      <c r="A355" s="118"/>
      <c r="B355" s="118"/>
      <c r="C355" s="119"/>
      <c r="D355" s="118"/>
      <c r="E355" s="118"/>
      <c r="F355" s="118"/>
      <c r="G355" s="119"/>
      <c r="H355" s="119"/>
      <c r="I355" s="119"/>
      <c r="J355" s="119" t="s">
        <v>121</v>
      </c>
      <c r="K355" s="119" t="s">
        <v>68</v>
      </c>
      <c r="L355" s="119" t="s">
        <v>109</v>
      </c>
      <c r="M355" s="51" t="str" cm="1">
        <f t="array" ref="M355">IFERROR(_xlfn.SWITCH(L355,"R-FPA",495,"R-FPB",595,"R-FPC",595,"R-FPD",595,"Custom Carton","input L"),0)</f>
        <v>input L</v>
      </c>
      <c r="N355" s="51" t="str" cm="1">
        <f t="array" ref="N355">IFERROR(_xlfn.SWITCH(L355,"R-FPA",285,"R-FPB",285,"R-FPC",325,"R-FPD",380,"Custom Carton","input W"),0)</f>
        <v>input W</v>
      </c>
      <c r="O355" s="51"/>
      <c r="P355" s="51">
        <f>IFERROR(IF(K355="",0,(M355+N355)*2+15),0)</f>
        <v>0</v>
      </c>
      <c r="Q355" s="51">
        <f>IFERROR(IF(K355="",0,(N355+O355)-10),0)</f>
        <v>0</v>
      </c>
      <c r="R355" s="53">
        <f xml:space="preserve"> P355 * Q355 * (1 + 2.5%) / 1000000</f>
        <v>0</v>
      </c>
      <c r="S355" s="125">
        <f>R355*'[4]RFQ_Matalan Carton'!$M$32</f>
        <v>0</v>
      </c>
      <c r="T355" s="124">
        <f>S355</f>
        <v>0</v>
      </c>
      <c r="U355" s="124">
        <f>I355*T355</f>
        <v>0</v>
      </c>
      <c r="V355" s="123">
        <f>((T355*I355)-W355)*7.5%</f>
        <v>0</v>
      </c>
      <c r="W355" s="124">
        <f>S355*I355*10%</f>
        <v>0</v>
      </c>
      <c r="X355" s="113"/>
    </row>
    <row r="356" spans="1:24">
      <c r="A356" s="118"/>
      <c r="B356" s="118"/>
      <c r="C356" s="119"/>
      <c r="D356" s="118"/>
      <c r="E356" s="118"/>
      <c r="F356" s="118"/>
      <c r="G356" s="119"/>
      <c r="H356" s="119"/>
      <c r="I356" s="119"/>
      <c r="J356" s="119" t="s">
        <v>121</v>
      </c>
      <c r="K356" s="119" t="s">
        <v>68</v>
      </c>
      <c r="L356" s="119" t="s">
        <v>109</v>
      </c>
      <c r="M356" s="51" t="str" cm="1">
        <f t="array" ref="M356">IFERROR(_xlfn.SWITCH(L356,"R-FPA",495,"R-FPB",595,"R-FPC",595,"R-FPD",595,"Custom Carton","input L"),0)</f>
        <v>input L</v>
      </c>
      <c r="N356" s="51" t="str" cm="1">
        <f t="array" ref="N356">IFERROR(_xlfn.SWITCH(L356,"R-FPA",285,"R-FPB",285,"R-FPC",325,"R-FPD",380,"Custom Carton","input W"),0)</f>
        <v>input W</v>
      </c>
      <c r="O356" s="51"/>
      <c r="P356" s="51">
        <f>IFERROR(IF(K356="",0,(M356+N356)*2+15),0)</f>
        <v>0</v>
      </c>
      <c r="Q356" s="51">
        <f>IFERROR(IF(K356="",0,(N356+O356)-10),0)</f>
        <v>0</v>
      </c>
      <c r="R356" s="53">
        <f xml:space="preserve"> P356 * Q356 * (1 + 2.5%) / 1000000</f>
        <v>0</v>
      </c>
      <c r="S356" s="125">
        <f>R356*'[4]RFQ_Matalan Carton'!$M$32</f>
        <v>0</v>
      </c>
      <c r="T356" s="124">
        <f>S356</f>
        <v>0</v>
      </c>
      <c r="U356" s="124">
        <f>I356*T356</f>
        <v>0</v>
      </c>
      <c r="V356" s="123">
        <f>((T356*I356)-W356)*7.5%</f>
        <v>0</v>
      </c>
      <c r="W356" s="124">
        <f>S356*I356*10%</f>
        <v>0</v>
      </c>
      <c r="X356" s="113"/>
    </row>
    <row r="357" spans="1:24">
      <c r="A357" s="118"/>
      <c r="B357" s="118"/>
      <c r="C357" s="119"/>
      <c r="D357" s="118"/>
      <c r="E357" s="118"/>
      <c r="F357" s="118"/>
      <c r="G357" s="119"/>
      <c r="H357" s="119"/>
      <c r="I357" s="119"/>
      <c r="J357" s="119" t="s">
        <v>121</v>
      </c>
      <c r="K357" s="119" t="s">
        <v>68</v>
      </c>
      <c r="L357" s="119" t="s">
        <v>109</v>
      </c>
      <c r="M357" s="51" t="str" cm="1">
        <f t="array" ref="M357">IFERROR(_xlfn.SWITCH(L357,"R-FPA",495,"R-FPB",595,"R-FPC",595,"R-FPD",595,"Custom Carton","input L"),0)</f>
        <v>input L</v>
      </c>
      <c r="N357" s="51" t="str" cm="1">
        <f t="array" ref="N357">IFERROR(_xlfn.SWITCH(L357,"R-FPA",285,"R-FPB",285,"R-FPC",325,"R-FPD",380,"Custom Carton","input W"),0)</f>
        <v>input W</v>
      </c>
      <c r="O357" s="51"/>
      <c r="P357" s="51">
        <f>IFERROR(IF(K357="",0,(M357+N357)*2+15),0)</f>
        <v>0</v>
      </c>
      <c r="Q357" s="51">
        <f>IFERROR(IF(K357="",0,(N357+O357)-10),0)</f>
        <v>0</v>
      </c>
      <c r="R357" s="53">
        <f xml:space="preserve"> P357 * Q357 * (1 + 2.5%) / 1000000</f>
        <v>0</v>
      </c>
      <c r="S357" s="125">
        <f>R357*'[4]RFQ_Matalan Carton'!$M$32</f>
        <v>0</v>
      </c>
      <c r="T357" s="124">
        <f>S357</f>
        <v>0</v>
      </c>
      <c r="U357" s="124">
        <f>I357*T357</f>
        <v>0</v>
      </c>
      <c r="V357" s="123">
        <f>((T357*I357)-W357)*7.5%</f>
        <v>0</v>
      </c>
      <c r="W357" s="124">
        <f>S357*I357*10%</f>
        <v>0</v>
      </c>
      <c r="X357" s="113"/>
    </row>
    <row r="358" spans="1:24">
      <c r="A358" s="118"/>
      <c r="B358" s="118"/>
      <c r="C358" s="119"/>
      <c r="D358" s="118"/>
      <c r="E358" s="118"/>
      <c r="F358" s="118"/>
      <c r="G358" s="119"/>
      <c r="H358" s="119"/>
      <c r="I358" s="119"/>
      <c r="J358" s="119" t="s">
        <v>121</v>
      </c>
      <c r="K358" s="119" t="s">
        <v>68</v>
      </c>
      <c r="L358" s="119" t="s">
        <v>109</v>
      </c>
      <c r="M358" s="51" t="str" cm="1">
        <f t="array" ref="M358">IFERROR(_xlfn.SWITCH(L358,"R-FPA",495,"R-FPB",595,"R-FPC",595,"R-FPD",595,"Custom Carton","input L"),0)</f>
        <v>input L</v>
      </c>
      <c r="N358" s="51" t="str" cm="1">
        <f t="array" ref="N358">IFERROR(_xlfn.SWITCH(L358,"R-FPA",285,"R-FPB",285,"R-FPC",325,"R-FPD",380,"Custom Carton","input W"),0)</f>
        <v>input W</v>
      </c>
      <c r="O358" s="51"/>
      <c r="P358" s="51">
        <f>IFERROR(IF(K358="",0,(M358+N358)*2+15),0)</f>
        <v>0</v>
      </c>
      <c r="Q358" s="51">
        <f>IFERROR(IF(K358="",0,(N358+O358)-10),0)</f>
        <v>0</v>
      </c>
      <c r="R358" s="53">
        <f xml:space="preserve"> P358 * Q358 * (1 + 2.5%) / 1000000</f>
        <v>0</v>
      </c>
      <c r="S358" s="125">
        <f>R358*'[4]RFQ_Matalan Carton'!$M$32</f>
        <v>0</v>
      </c>
      <c r="T358" s="124">
        <f>S358</f>
        <v>0</v>
      </c>
      <c r="U358" s="124">
        <f>I358*T358</f>
        <v>0</v>
      </c>
      <c r="V358" s="123">
        <f>((T358*I358)-W358)*7.5%</f>
        <v>0</v>
      </c>
      <c r="W358" s="124">
        <f>S358*I358*10%</f>
        <v>0</v>
      </c>
      <c r="X358" s="113"/>
    </row>
    <row r="359" spans="1:24">
      <c r="A359" s="118"/>
      <c r="B359" s="118"/>
      <c r="C359" s="119"/>
      <c r="D359" s="118"/>
      <c r="E359" s="118"/>
      <c r="F359" s="118"/>
      <c r="G359" s="119"/>
      <c r="H359" s="119"/>
      <c r="I359" s="119"/>
      <c r="J359" s="119" t="s">
        <v>121</v>
      </c>
      <c r="K359" s="119" t="s">
        <v>68</v>
      </c>
      <c r="L359" s="119" t="s">
        <v>109</v>
      </c>
      <c r="M359" s="51" t="str" cm="1">
        <f t="array" ref="M359">IFERROR(_xlfn.SWITCH(L359,"R-FPA",495,"R-FPB",595,"R-FPC",595,"R-FPD",595,"Custom Carton","input L"),0)</f>
        <v>input L</v>
      </c>
      <c r="N359" s="51" t="str" cm="1">
        <f t="array" ref="N359">IFERROR(_xlfn.SWITCH(L359,"R-FPA",285,"R-FPB",285,"R-FPC",325,"R-FPD",380,"Custom Carton","input W"),0)</f>
        <v>input W</v>
      </c>
      <c r="O359" s="51"/>
      <c r="P359" s="51">
        <f>IFERROR(IF(K359="",0,(M359+N359)*2+15),0)</f>
        <v>0</v>
      </c>
      <c r="Q359" s="51">
        <f>IFERROR(IF(K359="",0,(N359+O359)-10),0)</f>
        <v>0</v>
      </c>
      <c r="R359" s="53">
        <f xml:space="preserve"> P359 * Q359 * (1 + 2.5%) / 1000000</f>
        <v>0</v>
      </c>
      <c r="S359" s="125">
        <f>R359*'[4]RFQ_Matalan Carton'!$M$32</f>
        <v>0</v>
      </c>
      <c r="T359" s="124">
        <f>S359</f>
        <v>0</v>
      </c>
      <c r="U359" s="124">
        <f>I359*T359</f>
        <v>0</v>
      </c>
      <c r="V359" s="123">
        <f>((T359*I359)-W359)*7.5%</f>
        <v>0</v>
      </c>
      <c r="W359" s="124">
        <f>S359*I359*10%</f>
        <v>0</v>
      </c>
      <c r="X359" s="113"/>
    </row>
    <row r="360" spans="1:24">
      <c r="A360" s="118"/>
      <c r="B360" s="118"/>
      <c r="C360" s="119"/>
      <c r="D360" s="118"/>
      <c r="E360" s="118"/>
      <c r="F360" s="118"/>
      <c r="G360" s="119"/>
      <c r="H360" s="119"/>
      <c r="I360" s="119"/>
      <c r="J360" s="119" t="s">
        <v>121</v>
      </c>
      <c r="K360" s="119" t="s">
        <v>68</v>
      </c>
      <c r="L360" s="119" t="s">
        <v>109</v>
      </c>
      <c r="M360" s="51" t="str" cm="1">
        <f t="array" ref="M360">IFERROR(_xlfn.SWITCH(L360,"R-FPA",495,"R-FPB",595,"R-FPC",595,"R-FPD",595,"Custom Carton","input L"),0)</f>
        <v>input L</v>
      </c>
      <c r="N360" s="51" t="str" cm="1">
        <f t="array" ref="N360">IFERROR(_xlfn.SWITCH(L360,"R-FPA",285,"R-FPB",285,"R-FPC",325,"R-FPD",380,"Custom Carton","input W"),0)</f>
        <v>input W</v>
      </c>
      <c r="O360" s="51"/>
      <c r="P360" s="51">
        <f>IFERROR(IF(K360="",0,(M360+N360)*2+15),0)</f>
        <v>0</v>
      </c>
      <c r="Q360" s="51">
        <f>IFERROR(IF(K360="",0,(N360+O360)-10),0)</f>
        <v>0</v>
      </c>
      <c r="R360" s="53">
        <f xml:space="preserve"> P360 * Q360 * (1 + 2.5%) / 1000000</f>
        <v>0</v>
      </c>
      <c r="S360" s="125">
        <f>R360*'[4]RFQ_Matalan Carton'!$M$32</f>
        <v>0</v>
      </c>
      <c r="T360" s="124">
        <f>S360</f>
        <v>0</v>
      </c>
      <c r="U360" s="124">
        <f>I360*T360</f>
        <v>0</v>
      </c>
      <c r="V360" s="123">
        <f>((T360*I360)-W360)*7.5%</f>
        <v>0</v>
      </c>
      <c r="W360" s="124">
        <f>S360*I360*10%</f>
        <v>0</v>
      </c>
      <c r="X360" s="113"/>
    </row>
    <row r="361" spans="1:24">
      <c r="A361" s="118"/>
      <c r="B361" s="118"/>
      <c r="C361" s="119"/>
      <c r="D361" s="118"/>
      <c r="E361" s="118"/>
      <c r="F361" s="118"/>
      <c r="G361" s="119"/>
      <c r="H361" s="119"/>
      <c r="I361" s="119"/>
      <c r="J361" s="119" t="s">
        <v>121</v>
      </c>
      <c r="K361" s="119" t="s">
        <v>68</v>
      </c>
      <c r="L361" s="119" t="s">
        <v>109</v>
      </c>
      <c r="M361" s="51" t="str" cm="1">
        <f t="array" ref="M361">IFERROR(_xlfn.SWITCH(L361,"R-FPA",495,"R-FPB",595,"R-FPC",595,"R-FPD",595,"Custom Carton","input L"),0)</f>
        <v>input L</v>
      </c>
      <c r="N361" s="51" t="str" cm="1">
        <f t="array" ref="N361">IFERROR(_xlfn.SWITCH(L361,"R-FPA",285,"R-FPB",285,"R-FPC",325,"R-FPD",380,"Custom Carton","input W"),0)</f>
        <v>input W</v>
      </c>
      <c r="O361" s="51"/>
      <c r="P361" s="51">
        <f>IFERROR(IF(K361="",0,(M361+N361)*2+15),0)</f>
        <v>0</v>
      </c>
      <c r="Q361" s="51">
        <f>IFERROR(IF(K361="",0,(N361+O361)-10),0)</f>
        <v>0</v>
      </c>
      <c r="R361" s="53">
        <f xml:space="preserve"> P361 * Q361 * (1 + 2.5%) / 1000000</f>
        <v>0</v>
      </c>
      <c r="S361" s="125">
        <f>R361*'[4]RFQ_Matalan Carton'!$M$32</f>
        <v>0</v>
      </c>
      <c r="T361" s="124">
        <f>S361</f>
        <v>0</v>
      </c>
      <c r="U361" s="124">
        <f>I361*T361</f>
        <v>0</v>
      </c>
      <c r="V361" s="123">
        <f>((T361*I361)-W361)*7.5%</f>
        <v>0</v>
      </c>
      <c r="W361" s="124">
        <f>S361*I361*10%</f>
        <v>0</v>
      </c>
      <c r="X361" s="113"/>
    </row>
    <row r="362" spans="1:24">
      <c r="A362" s="118"/>
      <c r="B362" s="118"/>
      <c r="C362" s="119"/>
      <c r="D362" s="118"/>
      <c r="E362" s="118"/>
      <c r="F362" s="118"/>
      <c r="G362" s="119"/>
      <c r="H362" s="119"/>
      <c r="I362" s="119"/>
      <c r="J362" s="119" t="s">
        <v>121</v>
      </c>
      <c r="K362" s="119" t="s">
        <v>68</v>
      </c>
      <c r="L362" s="119" t="s">
        <v>109</v>
      </c>
      <c r="M362" s="51" t="str" cm="1">
        <f t="array" ref="M362">IFERROR(_xlfn.SWITCH(L362,"R-FPA",495,"R-FPB",595,"R-FPC",595,"R-FPD",595,"Custom Carton","input L"),0)</f>
        <v>input L</v>
      </c>
      <c r="N362" s="51" t="str" cm="1">
        <f t="array" ref="N362">IFERROR(_xlfn.SWITCH(L362,"R-FPA",285,"R-FPB",285,"R-FPC",325,"R-FPD",380,"Custom Carton","input W"),0)</f>
        <v>input W</v>
      </c>
      <c r="O362" s="51"/>
      <c r="P362" s="51">
        <f>IFERROR(IF(K362="",0,(M362+N362)*2+15),0)</f>
        <v>0</v>
      </c>
      <c r="Q362" s="51">
        <f>IFERROR(IF(K362="",0,(N362+O362)-10),0)</f>
        <v>0</v>
      </c>
      <c r="R362" s="53">
        <f xml:space="preserve"> P362 * Q362 * (1 + 2.5%) / 1000000</f>
        <v>0</v>
      </c>
      <c r="S362" s="125">
        <f>R362*'[4]RFQ_Matalan Carton'!$M$32</f>
        <v>0</v>
      </c>
      <c r="T362" s="124">
        <f>S362</f>
        <v>0</v>
      </c>
      <c r="U362" s="124">
        <f>I362*T362</f>
        <v>0</v>
      </c>
      <c r="V362" s="123">
        <f>((T362*I362)-W362)*7.5%</f>
        <v>0</v>
      </c>
      <c r="W362" s="124">
        <f>S362*I362*10%</f>
        <v>0</v>
      </c>
      <c r="X362" s="113"/>
    </row>
    <row r="363" spans="1:24">
      <c r="A363" s="118"/>
      <c r="B363" s="118"/>
      <c r="C363" s="119"/>
      <c r="D363" s="118"/>
      <c r="E363" s="118"/>
      <c r="F363" s="118"/>
      <c r="G363" s="119"/>
      <c r="H363" s="119"/>
      <c r="I363" s="119"/>
      <c r="J363" s="119" t="s">
        <v>121</v>
      </c>
      <c r="K363" s="119" t="s">
        <v>68</v>
      </c>
      <c r="L363" s="119" t="s">
        <v>109</v>
      </c>
      <c r="M363" s="51" t="str" cm="1">
        <f t="array" ref="M363">IFERROR(_xlfn.SWITCH(L363,"R-FPA",495,"R-FPB",595,"R-FPC",595,"R-FPD",595,"Custom Carton","input L"),0)</f>
        <v>input L</v>
      </c>
      <c r="N363" s="51" t="str" cm="1">
        <f t="array" ref="N363">IFERROR(_xlfn.SWITCH(L363,"R-FPA",285,"R-FPB",285,"R-FPC",325,"R-FPD",380,"Custom Carton","input W"),0)</f>
        <v>input W</v>
      </c>
      <c r="O363" s="51"/>
      <c r="P363" s="51">
        <f>IFERROR(IF(K363="",0,(M363+N363)*2+15),0)</f>
        <v>0</v>
      </c>
      <c r="Q363" s="51">
        <f>IFERROR(IF(K363="",0,(N363+O363)-10),0)</f>
        <v>0</v>
      </c>
      <c r="R363" s="53">
        <f xml:space="preserve"> P363 * Q363 * (1 + 2.5%) / 1000000</f>
        <v>0</v>
      </c>
      <c r="S363" s="125">
        <f>R363*'[4]RFQ_Matalan Carton'!$M$32</f>
        <v>0</v>
      </c>
      <c r="T363" s="124">
        <f>S363</f>
        <v>0</v>
      </c>
      <c r="U363" s="124">
        <f>I363*T363</f>
        <v>0</v>
      </c>
      <c r="V363" s="123">
        <f>((T363*I363)-W363)*7.5%</f>
        <v>0</v>
      </c>
      <c r="W363" s="124">
        <f>S363*I363*10%</f>
        <v>0</v>
      </c>
      <c r="X363" s="113"/>
    </row>
    <row r="364" spans="1:24">
      <c r="A364" s="118"/>
      <c r="B364" s="118"/>
      <c r="C364" s="119"/>
      <c r="D364" s="118"/>
      <c r="E364" s="118"/>
      <c r="F364" s="118"/>
      <c r="G364" s="119"/>
      <c r="H364" s="119"/>
      <c r="I364" s="119"/>
      <c r="J364" s="119" t="s">
        <v>121</v>
      </c>
      <c r="K364" s="119" t="s">
        <v>68</v>
      </c>
      <c r="L364" s="119" t="s">
        <v>109</v>
      </c>
      <c r="M364" s="51" t="str" cm="1">
        <f t="array" ref="M364">IFERROR(_xlfn.SWITCH(L364,"R-FPA",495,"R-FPB",595,"R-FPC",595,"R-FPD",595,"Custom Carton","input L"),0)</f>
        <v>input L</v>
      </c>
      <c r="N364" s="51" t="str" cm="1">
        <f t="array" ref="N364">IFERROR(_xlfn.SWITCH(L364,"R-FPA",285,"R-FPB",285,"R-FPC",325,"R-FPD",380,"Custom Carton","input W"),0)</f>
        <v>input W</v>
      </c>
      <c r="O364" s="51"/>
      <c r="P364" s="51">
        <f>IFERROR(IF(K364="",0,(M364+N364)*2+15),0)</f>
        <v>0</v>
      </c>
      <c r="Q364" s="51">
        <f>IFERROR(IF(K364="",0,(N364+O364)-10),0)</f>
        <v>0</v>
      </c>
      <c r="R364" s="53">
        <f xml:space="preserve"> P364 * Q364 * (1 + 2.5%) / 1000000</f>
        <v>0</v>
      </c>
      <c r="S364" s="125">
        <f>R364*'[4]RFQ_Matalan Carton'!$M$32</f>
        <v>0</v>
      </c>
      <c r="T364" s="124">
        <f>S364</f>
        <v>0</v>
      </c>
      <c r="U364" s="124">
        <f>I364*T364</f>
        <v>0</v>
      </c>
      <c r="V364" s="123">
        <f>((T364*I364)-W364)*7.5%</f>
        <v>0</v>
      </c>
      <c r="W364" s="124">
        <f>S364*I364*10%</f>
        <v>0</v>
      </c>
      <c r="X364" s="113"/>
    </row>
    <row r="365" spans="1:24">
      <c r="A365" s="118"/>
      <c r="B365" s="118"/>
      <c r="C365" s="119"/>
      <c r="D365" s="118"/>
      <c r="E365" s="118"/>
      <c r="F365" s="118"/>
      <c r="G365" s="119"/>
      <c r="H365" s="119"/>
      <c r="I365" s="119"/>
      <c r="J365" s="119" t="s">
        <v>121</v>
      </c>
      <c r="K365" s="119" t="s">
        <v>68</v>
      </c>
      <c r="L365" s="119" t="s">
        <v>109</v>
      </c>
      <c r="M365" s="51" t="str" cm="1">
        <f t="array" ref="M365">IFERROR(_xlfn.SWITCH(L365,"R-FPA",495,"R-FPB",595,"R-FPC",595,"R-FPD",595,"Custom Carton","input L"),0)</f>
        <v>input L</v>
      </c>
      <c r="N365" s="51" t="str" cm="1">
        <f t="array" ref="N365">IFERROR(_xlfn.SWITCH(L365,"R-FPA",285,"R-FPB",285,"R-FPC",325,"R-FPD",380,"Custom Carton","input W"),0)</f>
        <v>input W</v>
      </c>
      <c r="O365" s="51"/>
      <c r="P365" s="51">
        <f>IFERROR(IF(K365="",0,(M365+N365)*2+15),0)</f>
        <v>0</v>
      </c>
      <c r="Q365" s="51">
        <f>IFERROR(IF(K365="",0,(N365+O365)-10),0)</f>
        <v>0</v>
      </c>
      <c r="R365" s="53">
        <f xml:space="preserve"> P365 * Q365 * (1 + 2.5%) / 1000000</f>
        <v>0</v>
      </c>
      <c r="S365" s="125">
        <f>R365*'[4]RFQ_Matalan Carton'!$M$32</f>
        <v>0</v>
      </c>
      <c r="T365" s="124">
        <f>S365</f>
        <v>0</v>
      </c>
      <c r="U365" s="124">
        <f>I365*T365</f>
        <v>0</v>
      </c>
      <c r="V365" s="123">
        <f>((T365*I365)-W365)*7.5%</f>
        <v>0</v>
      </c>
      <c r="W365" s="124">
        <f>S365*I365*10%</f>
        <v>0</v>
      </c>
      <c r="X365" s="113"/>
    </row>
    <row r="366" spans="1:24">
      <c r="A366" s="118"/>
      <c r="B366" s="118"/>
      <c r="C366" s="119"/>
      <c r="D366" s="118"/>
      <c r="E366" s="118"/>
      <c r="F366" s="118"/>
      <c r="G366" s="119"/>
      <c r="H366" s="119"/>
      <c r="I366" s="119"/>
      <c r="J366" s="119" t="s">
        <v>121</v>
      </c>
      <c r="K366" s="119" t="s">
        <v>68</v>
      </c>
      <c r="L366" s="119" t="s">
        <v>109</v>
      </c>
      <c r="M366" s="51" t="str" cm="1">
        <f t="array" ref="M366">IFERROR(_xlfn.SWITCH(L366,"R-FPA",495,"R-FPB",595,"R-FPC",595,"R-FPD",595,"Custom Carton","input L"),0)</f>
        <v>input L</v>
      </c>
      <c r="N366" s="51" t="str" cm="1">
        <f t="array" ref="N366">IFERROR(_xlfn.SWITCH(L366,"R-FPA",285,"R-FPB",285,"R-FPC",325,"R-FPD",380,"Custom Carton","input W"),0)</f>
        <v>input W</v>
      </c>
      <c r="O366" s="51"/>
      <c r="P366" s="51">
        <f>IFERROR(IF(K366="",0,(M366+N366)*2+15),0)</f>
        <v>0</v>
      </c>
      <c r="Q366" s="51">
        <f>IFERROR(IF(K366="",0,(N366+O366)-10),0)</f>
        <v>0</v>
      </c>
      <c r="R366" s="53">
        <f xml:space="preserve"> P366 * Q366 * (1 + 2.5%) / 1000000</f>
        <v>0</v>
      </c>
      <c r="S366" s="125">
        <f>R366*'[4]RFQ_Matalan Carton'!$M$32</f>
        <v>0</v>
      </c>
      <c r="T366" s="124">
        <f>S366</f>
        <v>0</v>
      </c>
      <c r="U366" s="124">
        <f>I366*T366</f>
        <v>0</v>
      </c>
      <c r="V366" s="123">
        <f>((T366*I366)-W366)*7.5%</f>
        <v>0</v>
      </c>
      <c r="W366" s="124">
        <f>S366*I366*10%</f>
        <v>0</v>
      </c>
      <c r="X366" s="113"/>
    </row>
    <row r="367" spans="1:24">
      <c r="A367" s="118"/>
      <c r="B367" s="118"/>
      <c r="C367" s="119"/>
      <c r="D367" s="118"/>
      <c r="E367" s="118"/>
      <c r="F367" s="118"/>
      <c r="G367" s="119"/>
      <c r="H367" s="119"/>
      <c r="I367" s="119"/>
      <c r="J367" s="119" t="s">
        <v>121</v>
      </c>
      <c r="K367" s="119" t="s">
        <v>68</v>
      </c>
      <c r="L367" s="119" t="s">
        <v>109</v>
      </c>
      <c r="M367" s="51" t="str" cm="1">
        <f t="array" ref="M367">IFERROR(_xlfn.SWITCH(L367,"R-FPA",495,"R-FPB",595,"R-FPC",595,"R-FPD",595,"Custom Carton","input L"),0)</f>
        <v>input L</v>
      </c>
      <c r="N367" s="51" t="str" cm="1">
        <f t="array" ref="N367">IFERROR(_xlfn.SWITCH(L367,"R-FPA",285,"R-FPB",285,"R-FPC",325,"R-FPD",380,"Custom Carton","input W"),0)</f>
        <v>input W</v>
      </c>
      <c r="O367" s="51"/>
      <c r="P367" s="51">
        <f>IFERROR(IF(K367="",0,(M367+N367)*2+15),0)</f>
        <v>0</v>
      </c>
      <c r="Q367" s="51">
        <f>IFERROR(IF(K367="",0,(N367+O367)-10),0)</f>
        <v>0</v>
      </c>
      <c r="R367" s="53">
        <f xml:space="preserve"> P367 * Q367 * (1 + 2.5%) / 1000000</f>
        <v>0</v>
      </c>
      <c r="S367" s="125">
        <f>R367*'[4]RFQ_Matalan Carton'!$M$32</f>
        <v>0</v>
      </c>
      <c r="T367" s="124">
        <f>S367</f>
        <v>0</v>
      </c>
      <c r="U367" s="124">
        <f>I367*T367</f>
        <v>0</v>
      </c>
      <c r="V367" s="123">
        <f>((T367*I367)-W367)*7.5%</f>
        <v>0</v>
      </c>
      <c r="W367" s="124">
        <f>S367*I367*10%</f>
        <v>0</v>
      </c>
      <c r="X367" s="113"/>
    </row>
    <row r="368" spans="1:24">
      <c r="A368" s="118"/>
      <c r="B368" s="118"/>
      <c r="C368" s="119"/>
      <c r="D368" s="118"/>
      <c r="E368" s="118"/>
      <c r="F368" s="118"/>
      <c r="G368" s="119"/>
      <c r="H368" s="119"/>
      <c r="I368" s="119"/>
      <c r="J368" s="119" t="s">
        <v>121</v>
      </c>
      <c r="K368" s="119" t="s">
        <v>68</v>
      </c>
      <c r="L368" s="119" t="s">
        <v>109</v>
      </c>
      <c r="M368" s="51" t="str" cm="1">
        <f t="array" ref="M368">IFERROR(_xlfn.SWITCH(L368,"R-FPA",495,"R-FPB",595,"R-FPC",595,"R-FPD",595,"Custom Carton","input L"),0)</f>
        <v>input L</v>
      </c>
      <c r="N368" s="51" t="str" cm="1">
        <f t="array" ref="N368">IFERROR(_xlfn.SWITCH(L368,"R-FPA",285,"R-FPB",285,"R-FPC",325,"R-FPD",380,"Custom Carton","input W"),0)</f>
        <v>input W</v>
      </c>
      <c r="O368" s="51"/>
      <c r="P368" s="51">
        <f>IFERROR(IF(K368="",0,(M368+N368)*2+15),0)</f>
        <v>0</v>
      </c>
      <c r="Q368" s="51">
        <f>IFERROR(IF(K368="",0,(N368+O368)-10),0)</f>
        <v>0</v>
      </c>
      <c r="R368" s="53">
        <f xml:space="preserve"> P368 * Q368 * (1 + 2.5%) / 1000000</f>
        <v>0</v>
      </c>
      <c r="S368" s="125">
        <f>R368*'[4]RFQ_Matalan Carton'!$M$32</f>
        <v>0</v>
      </c>
      <c r="T368" s="124">
        <f>S368</f>
        <v>0</v>
      </c>
      <c r="U368" s="124">
        <f>I368*T368</f>
        <v>0</v>
      </c>
      <c r="V368" s="123">
        <f>((T368*I368)-W368)*7.5%</f>
        <v>0</v>
      </c>
      <c r="W368" s="124">
        <f>S368*I368*10%</f>
        <v>0</v>
      </c>
      <c r="X368" s="113"/>
    </row>
    <row r="369" spans="1:24">
      <c r="A369" s="118"/>
      <c r="B369" s="118"/>
      <c r="C369" s="119"/>
      <c r="D369" s="118"/>
      <c r="E369" s="118"/>
      <c r="F369" s="118"/>
      <c r="G369" s="119"/>
      <c r="H369" s="119"/>
      <c r="I369" s="119"/>
      <c r="J369" s="119" t="s">
        <v>121</v>
      </c>
      <c r="K369" s="119" t="s">
        <v>68</v>
      </c>
      <c r="L369" s="119" t="s">
        <v>109</v>
      </c>
      <c r="M369" s="51" t="str" cm="1">
        <f t="array" ref="M369">IFERROR(_xlfn.SWITCH(L369,"R-FPA",495,"R-FPB",595,"R-FPC",595,"R-FPD",595,"Custom Carton","input L"),0)</f>
        <v>input L</v>
      </c>
      <c r="N369" s="51" t="str" cm="1">
        <f t="array" ref="N369">IFERROR(_xlfn.SWITCH(L369,"R-FPA",285,"R-FPB",285,"R-FPC",325,"R-FPD",380,"Custom Carton","input W"),0)</f>
        <v>input W</v>
      </c>
      <c r="O369" s="51"/>
      <c r="P369" s="51">
        <f>IFERROR(IF(K369="",0,(M369+N369)*2+15),0)</f>
        <v>0</v>
      </c>
      <c r="Q369" s="51">
        <f>IFERROR(IF(K369="",0,(N369+O369)-10),0)</f>
        <v>0</v>
      </c>
      <c r="R369" s="53">
        <f xml:space="preserve"> P369 * Q369 * (1 + 2.5%) / 1000000</f>
        <v>0</v>
      </c>
      <c r="S369" s="125">
        <f>R369*'[4]RFQ_Matalan Carton'!$M$32</f>
        <v>0</v>
      </c>
      <c r="T369" s="124">
        <f>S369</f>
        <v>0</v>
      </c>
      <c r="U369" s="124">
        <f>I369*T369</f>
        <v>0</v>
      </c>
      <c r="V369" s="123">
        <f>((T369*I369)-W369)*7.5%</f>
        <v>0</v>
      </c>
      <c r="W369" s="124">
        <f>S369*I369*10%</f>
        <v>0</v>
      </c>
      <c r="X369" s="113"/>
    </row>
    <row r="370" spans="1:24">
      <c r="A370" s="118"/>
      <c r="B370" s="118"/>
      <c r="C370" s="119"/>
      <c r="D370" s="118"/>
      <c r="E370" s="118"/>
      <c r="F370" s="118"/>
      <c r="G370" s="119"/>
      <c r="H370" s="119"/>
      <c r="I370" s="119"/>
      <c r="J370" s="119" t="s">
        <v>121</v>
      </c>
      <c r="K370" s="119" t="s">
        <v>68</v>
      </c>
      <c r="L370" s="119" t="s">
        <v>109</v>
      </c>
      <c r="M370" s="51" t="str" cm="1">
        <f t="array" ref="M370">IFERROR(_xlfn.SWITCH(L370,"R-FPA",495,"R-FPB",595,"R-FPC",595,"R-FPD",595,"Custom Carton","input L"),0)</f>
        <v>input L</v>
      </c>
      <c r="N370" s="51" t="str" cm="1">
        <f t="array" ref="N370">IFERROR(_xlfn.SWITCH(L370,"R-FPA",285,"R-FPB",285,"R-FPC",325,"R-FPD",380,"Custom Carton","input W"),0)</f>
        <v>input W</v>
      </c>
      <c r="O370" s="51"/>
      <c r="P370" s="51">
        <f>IFERROR(IF(K370="",0,(M370+N370)*2+15),0)</f>
        <v>0</v>
      </c>
      <c r="Q370" s="51">
        <f>IFERROR(IF(K370="",0,(N370+O370)-10),0)</f>
        <v>0</v>
      </c>
      <c r="R370" s="53">
        <f xml:space="preserve"> P370 * Q370 * (1 + 2.5%) / 1000000</f>
        <v>0</v>
      </c>
      <c r="S370" s="125">
        <f>R370*'[4]RFQ_Matalan Carton'!$M$32</f>
        <v>0</v>
      </c>
      <c r="T370" s="124">
        <f>S370</f>
        <v>0</v>
      </c>
      <c r="U370" s="124">
        <f>I370*T370</f>
        <v>0</v>
      </c>
      <c r="V370" s="123">
        <f>((T370*I370)-W370)*7.5%</f>
        <v>0</v>
      </c>
      <c r="W370" s="124">
        <f>S370*I370*10%</f>
        <v>0</v>
      </c>
      <c r="X370" s="113"/>
    </row>
    <row r="371" spans="1:24">
      <c r="A371" s="118"/>
      <c r="B371" s="118"/>
      <c r="C371" s="119"/>
      <c r="D371" s="118"/>
      <c r="E371" s="118"/>
      <c r="F371" s="118"/>
      <c r="G371" s="119"/>
      <c r="H371" s="119"/>
      <c r="I371" s="119"/>
      <c r="J371" s="119" t="s">
        <v>121</v>
      </c>
      <c r="K371" s="119" t="s">
        <v>68</v>
      </c>
      <c r="L371" s="119" t="s">
        <v>109</v>
      </c>
      <c r="M371" s="51" t="str" cm="1">
        <f t="array" ref="M371">IFERROR(_xlfn.SWITCH(L371,"R-FPA",495,"R-FPB",595,"R-FPC",595,"R-FPD",595,"Custom Carton","input L"),0)</f>
        <v>input L</v>
      </c>
      <c r="N371" s="51" t="str" cm="1">
        <f t="array" ref="N371">IFERROR(_xlfn.SWITCH(L371,"R-FPA",285,"R-FPB",285,"R-FPC",325,"R-FPD",380,"Custom Carton","input W"),0)</f>
        <v>input W</v>
      </c>
      <c r="O371" s="51"/>
      <c r="P371" s="51">
        <f>IFERROR(IF(K371="",0,(M371+N371)*2+15),0)</f>
        <v>0</v>
      </c>
      <c r="Q371" s="51">
        <f>IFERROR(IF(K371="",0,(N371+O371)-10),0)</f>
        <v>0</v>
      </c>
      <c r="R371" s="53">
        <f xml:space="preserve"> P371 * Q371 * (1 + 2.5%) / 1000000</f>
        <v>0</v>
      </c>
      <c r="S371" s="125">
        <f>R371*'[4]RFQ_Matalan Carton'!$M$32</f>
        <v>0</v>
      </c>
      <c r="T371" s="124">
        <f>S371</f>
        <v>0</v>
      </c>
      <c r="U371" s="124">
        <f>I371*T371</f>
        <v>0</v>
      </c>
      <c r="V371" s="123">
        <f>((T371*I371)-W371)*7.5%</f>
        <v>0</v>
      </c>
      <c r="W371" s="124">
        <f>S371*I371*10%</f>
        <v>0</v>
      </c>
      <c r="X371" s="113"/>
    </row>
    <row r="372" spans="1:24">
      <c r="A372" s="118"/>
      <c r="B372" s="118"/>
      <c r="C372" s="119"/>
      <c r="D372" s="118"/>
      <c r="E372" s="118"/>
      <c r="F372" s="118"/>
      <c r="G372" s="119"/>
      <c r="H372" s="119"/>
      <c r="I372" s="119"/>
      <c r="J372" s="119" t="s">
        <v>121</v>
      </c>
      <c r="K372" s="119" t="s">
        <v>68</v>
      </c>
      <c r="L372" s="119" t="s">
        <v>109</v>
      </c>
      <c r="M372" s="51" t="str" cm="1">
        <f t="array" ref="M372">IFERROR(_xlfn.SWITCH(L372,"R-FPA",495,"R-FPB",595,"R-FPC",595,"R-FPD",595,"Custom Carton","input L"),0)</f>
        <v>input L</v>
      </c>
      <c r="N372" s="51" t="str" cm="1">
        <f t="array" ref="N372">IFERROR(_xlfn.SWITCH(L372,"R-FPA",285,"R-FPB",285,"R-FPC",325,"R-FPD",380,"Custom Carton","input W"),0)</f>
        <v>input W</v>
      </c>
      <c r="O372" s="51"/>
      <c r="P372" s="51">
        <f>IFERROR(IF(K372="",0,(M372+N372)*2+15),0)</f>
        <v>0</v>
      </c>
      <c r="Q372" s="51">
        <f>IFERROR(IF(K372="",0,(N372+O372)-10),0)</f>
        <v>0</v>
      </c>
      <c r="R372" s="53">
        <f xml:space="preserve"> P372 * Q372 * (1 + 2.5%) / 1000000</f>
        <v>0</v>
      </c>
      <c r="S372" s="125">
        <f>R372*'[4]RFQ_Matalan Carton'!$M$32</f>
        <v>0</v>
      </c>
      <c r="T372" s="124">
        <f>S372</f>
        <v>0</v>
      </c>
      <c r="U372" s="124">
        <f>I372*T372</f>
        <v>0</v>
      </c>
      <c r="V372" s="123">
        <f>((T372*I372)-W372)*7.5%</f>
        <v>0</v>
      </c>
      <c r="W372" s="124">
        <f>S372*I372*10%</f>
        <v>0</v>
      </c>
      <c r="X372" s="113"/>
    </row>
    <row r="373" spans="1:24">
      <c r="A373" s="118"/>
      <c r="B373" s="118"/>
      <c r="C373" s="119"/>
      <c r="D373" s="118"/>
      <c r="E373" s="118"/>
      <c r="F373" s="118"/>
      <c r="G373" s="119"/>
      <c r="H373" s="119"/>
      <c r="I373" s="119"/>
      <c r="J373" s="119" t="s">
        <v>121</v>
      </c>
      <c r="K373" s="119" t="s">
        <v>68</v>
      </c>
      <c r="L373" s="119" t="s">
        <v>109</v>
      </c>
      <c r="M373" s="51" t="str" cm="1">
        <f t="array" ref="M373">IFERROR(_xlfn.SWITCH(L373,"R-FPA",495,"R-FPB",595,"R-FPC",595,"R-FPD",595,"Custom Carton","input L"),0)</f>
        <v>input L</v>
      </c>
      <c r="N373" s="51" t="str" cm="1">
        <f t="array" ref="N373">IFERROR(_xlfn.SWITCH(L373,"R-FPA",285,"R-FPB",285,"R-FPC",325,"R-FPD",380,"Custom Carton","input W"),0)</f>
        <v>input W</v>
      </c>
      <c r="O373" s="51"/>
      <c r="P373" s="51">
        <f>IFERROR(IF(K373="",0,(M373+N373)*2+15),0)</f>
        <v>0</v>
      </c>
      <c r="Q373" s="51">
        <f>IFERROR(IF(K373="",0,(N373+O373)-10),0)</f>
        <v>0</v>
      </c>
      <c r="R373" s="53">
        <f xml:space="preserve"> P373 * Q373 * (1 + 2.5%) / 1000000</f>
        <v>0</v>
      </c>
      <c r="S373" s="125">
        <f>R373*'[4]RFQ_Matalan Carton'!$M$32</f>
        <v>0</v>
      </c>
      <c r="T373" s="124">
        <f>S373</f>
        <v>0</v>
      </c>
      <c r="U373" s="124">
        <f>I373*T373</f>
        <v>0</v>
      </c>
      <c r="V373" s="123">
        <f>((T373*I373)-W373)*7.5%</f>
        <v>0</v>
      </c>
      <c r="W373" s="124">
        <f>S373*I373*10%</f>
        <v>0</v>
      </c>
      <c r="X373" s="113"/>
    </row>
    <row r="374" spans="1:24">
      <c r="A374" s="118"/>
      <c r="B374" s="118"/>
      <c r="C374" s="119"/>
      <c r="D374" s="118"/>
      <c r="E374" s="118"/>
      <c r="F374" s="118"/>
      <c r="G374" s="119"/>
      <c r="H374" s="119"/>
      <c r="I374" s="119"/>
      <c r="J374" s="119" t="s">
        <v>121</v>
      </c>
      <c r="K374" s="119" t="s">
        <v>68</v>
      </c>
      <c r="L374" s="119" t="s">
        <v>109</v>
      </c>
      <c r="M374" s="51" t="str" cm="1">
        <f t="array" ref="M374">IFERROR(_xlfn.SWITCH(L374,"R-FPA",495,"R-FPB",595,"R-FPC",595,"R-FPD",595,"Custom Carton","input L"),0)</f>
        <v>input L</v>
      </c>
      <c r="N374" s="51" t="str" cm="1">
        <f t="array" ref="N374">IFERROR(_xlfn.SWITCH(L374,"R-FPA",285,"R-FPB",285,"R-FPC",325,"R-FPD",380,"Custom Carton","input W"),0)</f>
        <v>input W</v>
      </c>
      <c r="O374" s="51"/>
      <c r="P374" s="51">
        <f>IFERROR(IF(K374="",0,(M374+N374)*2+15),0)</f>
        <v>0</v>
      </c>
      <c r="Q374" s="51">
        <f>IFERROR(IF(K374="",0,(N374+O374)-10),0)</f>
        <v>0</v>
      </c>
      <c r="R374" s="53">
        <f xml:space="preserve"> P374 * Q374 * (1 + 2.5%) / 1000000</f>
        <v>0</v>
      </c>
      <c r="S374" s="125">
        <f>R374*'[4]RFQ_Matalan Carton'!$M$32</f>
        <v>0</v>
      </c>
      <c r="T374" s="124">
        <f>S374</f>
        <v>0</v>
      </c>
      <c r="U374" s="124">
        <f>I374*T374</f>
        <v>0</v>
      </c>
      <c r="V374" s="123">
        <f>((T374*I374)-W374)*7.5%</f>
        <v>0</v>
      </c>
      <c r="W374" s="124">
        <f>S374*I374*10%</f>
        <v>0</v>
      </c>
      <c r="X374" s="113"/>
    </row>
    <row r="375" spans="1:24">
      <c r="A375" s="118"/>
      <c r="B375" s="118"/>
      <c r="C375" s="119"/>
      <c r="D375" s="118"/>
      <c r="E375" s="118"/>
      <c r="F375" s="118"/>
      <c r="G375" s="119"/>
      <c r="H375" s="119"/>
      <c r="I375" s="119"/>
      <c r="J375" s="119" t="s">
        <v>121</v>
      </c>
      <c r="K375" s="119" t="s">
        <v>68</v>
      </c>
      <c r="L375" s="119" t="s">
        <v>109</v>
      </c>
      <c r="M375" s="51" t="str" cm="1">
        <f t="array" ref="M375">IFERROR(_xlfn.SWITCH(L375,"R-FPA",495,"R-FPB",595,"R-FPC",595,"R-FPD",595,"Custom Carton","input L"),0)</f>
        <v>input L</v>
      </c>
      <c r="N375" s="51" t="str" cm="1">
        <f t="array" ref="N375">IFERROR(_xlfn.SWITCH(L375,"R-FPA",285,"R-FPB",285,"R-FPC",325,"R-FPD",380,"Custom Carton","input W"),0)</f>
        <v>input W</v>
      </c>
      <c r="O375" s="51"/>
      <c r="P375" s="51">
        <f>IFERROR(IF(K375="",0,(M375+N375)*2+15),0)</f>
        <v>0</v>
      </c>
      <c r="Q375" s="51">
        <f>IFERROR(IF(K375="",0,(N375+O375)-10),0)</f>
        <v>0</v>
      </c>
      <c r="R375" s="53">
        <f xml:space="preserve"> P375 * Q375 * (1 + 2.5%) / 1000000</f>
        <v>0</v>
      </c>
      <c r="S375" s="125">
        <f>R375*'[4]RFQ_Matalan Carton'!$M$32</f>
        <v>0</v>
      </c>
      <c r="T375" s="124">
        <f>S375</f>
        <v>0</v>
      </c>
      <c r="U375" s="124">
        <f>I375*T375</f>
        <v>0</v>
      </c>
      <c r="V375" s="123">
        <f>((T375*I375)-W375)*7.5%</f>
        <v>0</v>
      </c>
      <c r="W375" s="124">
        <f>S375*I375*10%</f>
        <v>0</v>
      </c>
      <c r="X375" s="113"/>
    </row>
    <row r="376" spans="1:24">
      <c r="A376" s="118"/>
      <c r="B376" s="118"/>
      <c r="C376" s="119"/>
      <c r="D376" s="118"/>
      <c r="E376" s="118"/>
      <c r="F376" s="118"/>
      <c r="G376" s="119"/>
      <c r="H376" s="119"/>
      <c r="I376" s="119"/>
      <c r="J376" s="119" t="s">
        <v>121</v>
      </c>
      <c r="K376" s="119" t="s">
        <v>68</v>
      </c>
      <c r="L376" s="119" t="s">
        <v>109</v>
      </c>
      <c r="M376" s="51" t="str" cm="1">
        <f t="array" ref="M376">IFERROR(_xlfn.SWITCH(L376,"R-FPA",495,"R-FPB",595,"R-FPC",595,"R-FPD",595,"Custom Carton","input L"),0)</f>
        <v>input L</v>
      </c>
      <c r="N376" s="51" t="str" cm="1">
        <f t="array" ref="N376">IFERROR(_xlfn.SWITCH(L376,"R-FPA",285,"R-FPB",285,"R-FPC",325,"R-FPD",380,"Custom Carton","input W"),0)</f>
        <v>input W</v>
      </c>
      <c r="O376" s="51"/>
      <c r="P376" s="51">
        <f>IFERROR(IF(K376="",0,(M376+N376)*2+15),0)</f>
        <v>0</v>
      </c>
      <c r="Q376" s="51">
        <f>IFERROR(IF(K376="",0,(N376+O376)-10),0)</f>
        <v>0</v>
      </c>
      <c r="R376" s="53">
        <f xml:space="preserve"> P376 * Q376 * (1 + 2.5%) / 1000000</f>
        <v>0</v>
      </c>
      <c r="S376" s="125">
        <f>R376*'[4]RFQ_Matalan Carton'!$M$32</f>
        <v>0</v>
      </c>
      <c r="T376" s="124">
        <f>S376</f>
        <v>0</v>
      </c>
      <c r="U376" s="124">
        <f>I376*T376</f>
        <v>0</v>
      </c>
      <c r="V376" s="123">
        <f>((T376*I376)-W376)*7.5%</f>
        <v>0</v>
      </c>
      <c r="W376" s="124">
        <f>S376*I376*10%</f>
        <v>0</v>
      </c>
      <c r="X376" s="113"/>
    </row>
    <row r="377" spans="1:24">
      <c r="A377" s="118"/>
      <c r="B377" s="118"/>
      <c r="C377" s="119"/>
      <c r="D377" s="118"/>
      <c r="E377" s="118"/>
      <c r="F377" s="118"/>
      <c r="G377" s="119"/>
      <c r="H377" s="119"/>
      <c r="I377" s="119"/>
      <c r="J377" s="119" t="s">
        <v>121</v>
      </c>
      <c r="K377" s="119" t="s">
        <v>68</v>
      </c>
      <c r="L377" s="119" t="s">
        <v>109</v>
      </c>
      <c r="M377" s="51" t="str" cm="1">
        <f t="array" ref="M377">IFERROR(_xlfn.SWITCH(L377,"R-FPA",495,"R-FPB",595,"R-FPC",595,"R-FPD",595,"Custom Carton","input L"),0)</f>
        <v>input L</v>
      </c>
      <c r="N377" s="51" t="str" cm="1">
        <f t="array" ref="N377">IFERROR(_xlfn.SWITCH(L377,"R-FPA",285,"R-FPB",285,"R-FPC",325,"R-FPD",380,"Custom Carton","input W"),0)</f>
        <v>input W</v>
      </c>
      <c r="O377" s="51"/>
      <c r="P377" s="51">
        <f>IFERROR(IF(K377="",0,(M377+N377)*2+15),0)</f>
        <v>0</v>
      </c>
      <c r="Q377" s="51">
        <f>IFERROR(IF(K377="",0,(N377+O377)-10),0)</f>
        <v>0</v>
      </c>
      <c r="R377" s="53">
        <f xml:space="preserve"> P377 * Q377 * (1 + 2.5%) / 1000000</f>
        <v>0</v>
      </c>
      <c r="S377" s="125">
        <f>R377*'[4]RFQ_Matalan Carton'!$M$32</f>
        <v>0</v>
      </c>
      <c r="T377" s="124">
        <f>S377</f>
        <v>0</v>
      </c>
      <c r="U377" s="124">
        <f>I377*T377</f>
        <v>0</v>
      </c>
      <c r="V377" s="123">
        <f>((T377*I377)-W377)*7.5%</f>
        <v>0</v>
      </c>
      <c r="W377" s="124">
        <f>S377*I377*10%</f>
        <v>0</v>
      </c>
      <c r="X377" s="113"/>
    </row>
    <row r="378" spans="1:24">
      <c r="A378" s="118"/>
      <c r="B378" s="118"/>
      <c r="C378" s="119"/>
      <c r="D378" s="118"/>
      <c r="E378" s="118"/>
      <c r="F378" s="118"/>
      <c r="G378" s="119"/>
      <c r="H378" s="119"/>
      <c r="I378" s="119"/>
      <c r="J378" s="119" t="s">
        <v>121</v>
      </c>
      <c r="K378" s="119" t="s">
        <v>68</v>
      </c>
      <c r="L378" s="119" t="s">
        <v>109</v>
      </c>
      <c r="M378" s="51" t="str" cm="1">
        <f t="array" ref="M378">IFERROR(_xlfn.SWITCH(L378,"R-FPA",495,"R-FPB",595,"R-FPC",595,"R-FPD",595,"Custom Carton","input L"),0)</f>
        <v>input L</v>
      </c>
      <c r="N378" s="51" t="str" cm="1">
        <f t="array" ref="N378">IFERROR(_xlfn.SWITCH(L378,"R-FPA",285,"R-FPB",285,"R-FPC",325,"R-FPD",380,"Custom Carton","input W"),0)</f>
        <v>input W</v>
      </c>
      <c r="O378" s="51"/>
      <c r="P378" s="51">
        <f>IFERROR(IF(K378="",0,(M378+N378)*2+15),0)</f>
        <v>0</v>
      </c>
      <c r="Q378" s="51">
        <f>IFERROR(IF(K378="",0,(N378+O378)-10),0)</f>
        <v>0</v>
      </c>
      <c r="R378" s="53">
        <f xml:space="preserve"> P378 * Q378 * (1 + 2.5%) / 1000000</f>
        <v>0</v>
      </c>
      <c r="S378" s="125">
        <f>R378*'[4]RFQ_Matalan Carton'!$M$32</f>
        <v>0</v>
      </c>
      <c r="T378" s="124">
        <f>S378</f>
        <v>0</v>
      </c>
      <c r="U378" s="124">
        <f>I378*T378</f>
        <v>0</v>
      </c>
      <c r="V378" s="123">
        <f>((T378*I378)-W378)*7.5%</f>
        <v>0</v>
      </c>
      <c r="W378" s="124">
        <f>S378*I378*10%</f>
        <v>0</v>
      </c>
      <c r="X378" s="113"/>
    </row>
    <row r="379" spans="1:24">
      <c r="A379" s="118"/>
      <c r="B379" s="118"/>
      <c r="C379" s="119"/>
      <c r="D379" s="118"/>
      <c r="E379" s="118"/>
      <c r="F379" s="118"/>
      <c r="G379" s="119"/>
      <c r="H379" s="119"/>
      <c r="I379" s="119"/>
      <c r="J379" s="119" t="s">
        <v>121</v>
      </c>
      <c r="K379" s="119" t="s">
        <v>68</v>
      </c>
      <c r="L379" s="119" t="s">
        <v>109</v>
      </c>
      <c r="M379" s="51" t="str" cm="1">
        <f t="array" ref="M379">IFERROR(_xlfn.SWITCH(L379,"R-FPA",495,"R-FPB",595,"R-FPC",595,"R-FPD",595,"Custom Carton","input L"),0)</f>
        <v>input L</v>
      </c>
      <c r="N379" s="51" t="str" cm="1">
        <f t="array" ref="N379">IFERROR(_xlfn.SWITCH(L379,"R-FPA",285,"R-FPB",285,"R-FPC",325,"R-FPD",380,"Custom Carton","input W"),0)</f>
        <v>input W</v>
      </c>
      <c r="O379" s="51"/>
      <c r="P379" s="51">
        <f>IFERROR(IF(K379="",0,(M379+N379)*2+15),0)</f>
        <v>0</v>
      </c>
      <c r="Q379" s="51">
        <f>IFERROR(IF(K379="",0,(N379+O379)-10),0)</f>
        <v>0</v>
      </c>
      <c r="R379" s="53">
        <f xml:space="preserve"> P379 * Q379 * (1 + 2.5%) / 1000000</f>
        <v>0</v>
      </c>
      <c r="S379" s="125">
        <f>R379*'[4]RFQ_Matalan Carton'!$M$32</f>
        <v>0</v>
      </c>
      <c r="T379" s="124">
        <f>S379</f>
        <v>0</v>
      </c>
      <c r="U379" s="124">
        <f>I379*T379</f>
        <v>0</v>
      </c>
      <c r="V379" s="123">
        <f>((T379*I379)-W379)*7.5%</f>
        <v>0</v>
      </c>
      <c r="W379" s="124">
        <f>S379*I379*10%</f>
        <v>0</v>
      </c>
      <c r="X379" s="113"/>
    </row>
    <row r="380" spans="1:24">
      <c r="A380" s="118"/>
      <c r="B380" s="118"/>
      <c r="C380" s="119"/>
      <c r="D380" s="118"/>
      <c r="E380" s="118"/>
      <c r="F380" s="118"/>
      <c r="G380" s="119"/>
      <c r="H380" s="119"/>
      <c r="I380" s="119"/>
      <c r="J380" s="119" t="s">
        <v>121</v>
      </c>
      <c r="K380" s="119" t="s">
        <v>68</v>
      </c>
      <c r="L380" s="119" t="s">
        <v>109</v>
      </c>
      <c r="M380" s="51" t="str" cm="1">
        <f t="array" ref="M380">IFERROR(_xlfn.SWITCH(L380,"R-FPA",495,"R-FPB",595,"R-FPC",595,"R-FPD",595,"Custom Carton","input L"),0)</f>
        <v>input L</v>
      </c>
      <c r="N380" s="51" t="str" cm="1">
        <f t="array" ref="N380">IFERROR(_xlfn.SWITCH(L380,"R-FPA",285,"R-FPB",285,"R-FPC",325,"R-FPD",380,"Custom Carton","input W"),0)</f>
        <v>input W</v>
      </c>
      <c r="O380" s="51"/>
      <c r="P380" s="51">
        <f>IFERROR(IF(K380="",0,(M380+N380)*2+15),0)</f>
        <v>0</v>
      </c>
      <c r="Q380" s="51">
        <f>IFERROR(IF(K380="",0,(N380+O380)-10),0)</f>
        <v>0</v>
      </c>
      <c r="R380" s="53">
        <f xml:space="preserve"> P380 * Q380 * (1 + 2.5%) / 1000000</f>
        <v>0</v>
      </c>
      <c r="S380" s="125">
        <f>R380*'[4]RFQ_Matalan Carton'!$M$32</f>
        <v>0</v>
      </c>
      <c r="T380" s="124">
        <f>S380</f>
        <v>0</v>
      </c>
      <c r="U380" s="124">
        <f>I380*T380</f>
        <v>0</v>
      </c>
      <c r="V380" s="123">
        <f>((T380*I380)-W380)*7.5%</f>
        <v>0</v>
      </c>
      <c r="W380" s="124">
        <f>S380*I380*10%</f>
        <v>0</v>
      </c>
      <c r="X380" s="113"/>
    </row>
    <row r="381" spans="1:24">
      <c r="A381" s="118"/>
      <c r="B381" s="118"/>
      <c r="C381" s="119"/>
      <c r="D381" s="118"/>
      <c r="E381" s="118"/>
      <c r="F381" s="118"/>
      <c r="G381" s="119"/>
      <c r="H381" s="119"/>
      <c r="I381" s="119"/>
      <c r="J381" s="119" t="s">
        <v>121</v>
      </c>
      <c r="K381" s="119" t="s">
        <v>68</v>
      </c>
      <c r="L381" s="119" t="s">
        <v>109</v>
      </c>
      <c r="M381" s="51" t="str" cm="1">
        <f t="array" ref="M381">IFERROR(_xlfn.SWITCH(L381,"R-FPA",495,"R-FPB",595,"R-FPC",595,"R-FPD",595,"Custom Carton","input L"),0)</f>
        <v>input L</v>
      </c>
      <c r="N381" s="51" t="str" cm="1">
        <f t="array" ref="N381">IFERROR(_xlfn.SWITCH(L381,"R-FPA",285,"R-FPB",285,"R-FPC",325,"R-FPD",380,"Custom Carton","input W"),0)</f>
        <v>input W</v>
      </c>
      <c r="O381" s="51"/>
      <c r="P381" s="51">
        <f>IFERROR(IF(K381="",0,(M381+N381)*2+15),0)</f>
        <v>0</v>
      </c>
      <c r="Q381" s="51">
        <f>IFERROR(IF(K381="",0,(N381+O381)-10),0)</f>
        <v>0</v>
      </c>
      <c r="R381" s="53">
        <f xml:space="preserve"> P381 * Q381 * (1 + 2.5%) / 1000000</f>
        <v>0</v>
      </c>
      <c r="S381" s="125">
        <f>R381*'[4]RFQ_Matalan Carton'!$M$32</f>
        <v>0</v>
      </c>
      <c r="T381" s="124">
        <f>S381</f>
        <v>0</v>
      </c>
      <c r="U381" s="124">
        <f>I381*T381</f>
        <v>0</v>
      </c>
      <c r="V381" s="123">
        <f>((T381*I381)-W381)*7.5%</f>
        <v>0</v>
      </c>
      <c r="W381" s="124">
        <f>S381*I381*10%</f>
        <v>0</v>
      </c>
      <c r="X381" s="113"/>
    </row>
    <row r="382" spans="1:24">
      <c r="A382" s="118"/>
      <c r="B382" s="118"/>
      <c r="C382" s="119"/>
      <c r="D382" s="118"/>
      <c r="E382" s="118"/>
      <c r="F382" s="118"/>
      <c r="G382" s="119"/>
      <c r="H382" s="119"/>
      <c r="I382" s="119"/>
      <c r="J382" s="119" t="s">
        <v>121</v>
      </c>
      <c r="K382" s="119" t="s">
        <v>68</v>
      </c>
      <c r="L382" s="119" t="s">
        <v>109</v>
      </c>
      <c r="M382" s="51" t="str" cm="1">
        <f t="array" ref="M382">IFERROR(_xlfn.SWITCH(L382,"R-FPA",495,"R-FPB",595,"R-FPC",595,"R-FPD",595,"Custom Carton","input L"),0)</f>
        <v>input L</v>
      </c>
      <c r="N382" s="51" t="str" cm="1">
        <f t="array" ref="N382">IFERROR(_xlfn.SWITCH(L382,"R-FPA",285,"R-FPB",285,"R-FPC",325,"R-FPD",380,"Custom Carton","input W"),0)</f>
        <v>input W</v>
      </c>
      <c r="O382" s="51"/>
      <c r="P382" s="51">
        <f>IFERROR(IF(K382="",0,(M382+N382)*2+15),0)</f>
        <v>0</v>
      </c>
      <c r="Q382" s="51">
        <f>IFERROR(IF(K382="",0,(N382+O382)-10),0)</f>
        <v>0</v>
      </c>
      <c r="R382" s="53">
        <f xml:space="preserve"> P382 * Q382 * (1 + 2.5%) / 1000000</f>
        <v>0</v>
      </c>
      <c r="S382" s="125">
        <f>R382*'[4]RFQ_Matalan Carton'!$M$32</f>
        <v>0</v>
      </c>
      <c r="T382" s="124">
        <f>S382</f>
        <v>0</v>
      </c>
      <c r="U382" s="124">
        <f>I382*T382</f>
        <v>0</v>
      </c>
      <c r="V382" s="123">
        <f>((T382*I382)-W382)*7.5%</f>
        <v>0</v>
      </c>
      <c r="W382" s="124">
        <f>S382*I382*10%</f>
        <v>0</v>
      </c>
      <c r="X382" s="113"/>
    </row>
    <row r="383" spans="1:24">
      <c r="A383" s="118"/>
      <c r="B383" s="118"/>
      <c r="C383" s="119"/>
      <c r="D383" s="118"/>
      <c r="E383" s="118"/>
      <c r="F383" s="118"/>
      <c r="G383" s="119"/>
      <c r="H383" s="119"/>
      <c r="I383" s="119"/>
      <c r="J383" s="119" t="s">
        <v>121</v>
      </c>
      <c r="K383" s="119" t="s">
        <v>68</v>
      </c>
      <c r="L383" s="119" t="s">
        <v>109</v>
      </c>
      <c r="M383" s="51" t="str" cm="1">
        <f t="array" ref="M383">IFERROR(_xlfn.SWITCH(L383,"R-FPA",495,"R-FPB",595,"R-FPC",595,"R-FPD",595,"Custom Carton","input L"),0)</f>
        <v>input L</v>
      </c>
      <c r="N383" s="51" t="str" cm="1">
        <f t="array" ref="N383">IFERROR(_xlfn.SWITCH(L383,"R-FPA",285,"R-FPB",285,"R-FPC",325,"R-FPD",380,"Custom Carton","input W"),0)</f>
        <v>input W</v>
      </c>
      <c r="O383" s="51"/>
      <c r="P383" s="51">
        <f>IFERROR(IF(K383="",0,(M383+N383)*2+15),0)</f>
        <v>0</v>
      </c>
      <c r="Q383" s="51">
        <f>IFERROR(IF(K383="",0,(N383+O383)-10),0)</f>
        <v>0</v>
      </c>
      <c r="R383" s="53">
        <f xml:space="preserve"> P383 * Q383 * (1 + 2.5%) / 1000000</f>
        <v>0</v>
      </c>
      <c r="S383" s="125">
        <f>R383*'[4]RFQ_Matalan Carton'!$M$32</f>
        <v>0</v>
      </c>
      <c r="T383" s="124">
        <f>S383</f>
        <v>0</v>
      </c>
      <c r="U383" s="124">
        <f>I383*T383</f>
        <v>0</v>
      </c>
      <c r="V383" s="123">
        <f>((T383*I383)-W383)*7.5%</f>
        <v>0</v>
      </c>
      <c r="W383" s="124">
        <f>S383*I383*10%</f>
        <v>0</v>
      </c>
      <c r="X383" s="113"/>
    </row>
    <row r="384" spans="1:24">
      <c r="A384" s="118"/>
      <c r="B384" s="118"/>
      <c r="C384" s="119"/>
      <c r="D384" s="118"/>
      <c r="E384" s="118"/>
      <c r="F384" s="118"/>
      <c r="G384" s="119"/>
      <c r="H384" s="119"/>
      <c r="I384" s="119"/>
      <c r="J384" s="119" t="s">
        <v>121</v>
      </c>
      <c r="K384" s="119" t="s">
        <v>68</v>
      </c>
      <c r="L384" s="119" t="s">
        <v>109</v>
      </c>
      <c r="M384" s="51" t="str" cm="1">
        <f t="array" ref="M384">IFERROR(_xlfn.SWITCH(L384,"R-FPA",495,"R-FPB",595,"R-FPC",595,"R-FPD",595,"Custom Carton","input L"),0)</f>
        <v>input L</v>
      </c>
      <c r="N384" s="51" t="str" cm="1">
        <f t="array" ref="N384">IFERROR(_xlfn.SWITCH(L384,"R-FPA",285,"R-FPB",285,"R-FPC",325,"R-FPD",380,"Custom Carton","input W"),0)</f>
        <v>input W</v>
      </c>
      <c r="O384" s="51"/>
      <c r="P384" s="51">
        <f>IFERROR(IF(K384="",0,(M384+N384)*2+15),0)</f>
        <v>0</v>
      </c>
      <c r="Q384" s="51">
        <f>IFERROR(IF(K384="",0,(N384+O384)-10),0)</f>
        <v>0</v>
      </c>
      <c r="R384" s="53">
        <f xml:space="preserve"> P384 * Q384 * (1 + 2.5%) / 1000000</f>
        <v>0</v>
      </c>
      <c r="S384" s="125">
        <f>R384*'[4]RFQ_Matalan Carton'!$M$32</f>
        <v>0</v>
      </c>
      <c r="T384" s="124">
        <f>S384</f>
        <v>0</v>
      </c>
      <c r="U384" s="124">
        <f>I384*T384</f>
        <v>0</v>
      </c>
      <c r="V384" s="123">
        <f>((T384*I384)-W384)*7.5%</f>
        <v>0</v>
      </c>
      <c r="W384" s="124">
        <f>S384*I384*10%</f>
        <v>0</v>
      </c>
      <c r="X384" s="113"/>
    </row>
    <row r="385" spans="1:24">
      <c r="A385" s="118"/>
      <c r="B385" s="118"/>
      <c r="C385" s="119"/>
      <c r="D385" s="118"/>
      <c r="E385" s="118"/>
      <c r="F385" s="118"/>
      <c r="G385" s="119"/>
      <c r="H385" s="119"/>
      <c r="I385" s="119"/>
      <c r="J385" s="119" t="s">
        <v>121</v>
      </c>
      <c r="K385" s="119" t="s">
        <v>68</v>
      </c>
      <c r="L385" s="119" t="s">
        <v>109</v>
      </c>
      <c r="M385" s="51" t="str" cm="1">
        <f t="array" ref="M385">IFERROR(_xlfn.SWITCH(L385,"R-FPA",495,"R-FPB",595,"R-FPC",595,"R-FPD",595,"Custom Carton","input L"),0)</f>
        <v>input L</v>
      </c>
      <c r="N385" s="51" t="str" cm="1">
        <f t="array" ref="N385">IFERROR(_xlfn.SWITCH(L385,"R-FPA",285,"R-FPB",285,"R-FPC",325,"R-FPD",380,"Custom Carton","input W"),0)</f>
        <v>input W</v>
      </c>
      <c r="O385" s="51"/>
      <c r="P385" s="51">
        <f>IFERROR(IF(K385="",0,(M385+N385)*2+15),0)</f>
        <v>0</v>
      </c>
      <c r="Q385" s="51">
        <f>IFERROR(IF(K385="",0,(N385+O385)-10),0)</f>
        <v>0</v>
      </c>
      <c r="R385" s="53">
        <f xml:space="preserve"> P385 * Q385 * (1 + 2.5%) / 1000000</f>
        <v>0</v>
      </c>
      <c r="S385" s="125">
        <f>R385*'[4]RFQ_Matalan Carton'!$M$32</f>
        <v>0</v>
      </c>
      <c r="T385" s="124">
        <f>S385</f>
        <v>0</v>
      </c>
      <c r="U385" s="124">
        <f>I385*T385</f>
        <v>0</v>
      </c>
      <c r="V385" s="123">
        <f>((T385*I385)-W385)*7.5%</f>
        <v>0</v>
      </c>
      <c r="W385" s="124">
        <f>S385*I385*10%</f>
        <v>0</v>
      </c>
      <c r="X385" s="113"/>
    </row>
    <row r="386" spans="1:24">
      <c r="A386" s="118"/>
      <c r="B386" s="120"/>
      <c r="C386" s="119"/>
      <c r="D386" s="118"/>
      <c r="E386" s="118"/>
      <c r="F386" s="118"/>
      <c r="G386" s="119"/>
      <c r="H386" s="119"/>
      <c r="I386" s="119"/>
      <c r="J386" s="119" t="s">
        <v>121</v>
      </c>
      <c r="K386" s="119" t="s">
        <v>68</v>
      </c>
      <c r="L386" s="119" t="s">
        <v>109</v>
      </c>
      <c r="M386" s="51" t="str" cm="1">
        <f t="array" ref="M386">IFERROR(_xlfn.SWITCH(L386,"R-FPA",495,"R-FPB",595,"R-FPC",595,"R-FPD",595,"Custom Carton","input L"),0)</f>
        <v>input L</v>
      </c>
      <c r="N386" s="51" t="str" cm="1">
        <f t="array" ref="N386">IFERROR(_xlfn.SWITCH(L386,"R-FPA",285,"R-FPB",285,"R-FPC",325,"R-FPD",380,"Custom Carton","input W"),0)</f>
        <v>input W</v>
      </c>
      <c r="O386" s="51"/>
      <c r="P386" s="51">
        <f>IFERROR(IF(K386="",0,(M386+N386)*2+15),0)</f>
        <v>0</v>
      </c>
      <c r="Q386" s="51">
        <f>IFERROR(IF(K386="",0,(N386+O386)-10),0)</f>
        <v>0</v>
      </c>
      <c r="R386" s="53">
        <f xml:space="preserve"> P386 * Q386 * (1 + 2.5%) / 1000000</f>
        <v>0</v>
      </c>
      <c r="S386" s="125">
        <f>R386*'[4]RFQ_Matalan Carton'!$M$32</f>
        <v>0</v>
      </c>
      <c r="T386" s="124">
        <f>S386</f>
        <v>0</v>
      </c>
      <c r="U386" s="124">
        <f>I386*T386</f>
        <v>0</v>
      </c>
      <c r="V386" s="123">
        <f>((T386*I386)-W386)*7.5%</f>
        <v>0</v>
      </c>
      <c r="W386" s="124">
        <f>S386*I386*10%</f>
        <v>0</v>
      </c>
      <c r="X386" s="113"/>
    </row>
    <row r="387" spans="1:24">
      <c r="A387" s="118"/>
      <c r="B387" s="118"/>
      <c r="C387" s="119"/>
      <c r="D387" s="118"/>
      <c r="E387" s="118"/>
      <c r="F387" s="118"/>
      <c r="G387" s="119"/>
      <c r="H387" s="119"/>
      <c r="I387" s="119"/>
      <c r="J387" s="119" t="s">
        <v>121</v>
      </c>
      <c r="K387" s="119" t="s">
        <v>68</v>
      </c>
      <c r="L387" s="119" t="s">
        <v>109</v>
      </c>
      <c r="M387" s="51" t="str" cm="1">
        <f t="array" ref="M387">IFERROR(_xlfn.SWITCH(L387,"R-FPA",495,"R-FPB",595,"R-FPC",595,"R-FPD",595,"Custom Carton","input L"),0)</f>
        <v>input L</v>
      </c>
      <c r="N387" s="51" t="str" cm="1">
        <f t="array" ref="N387">IFERROR(_xlfn.SWITCH(L387,"R-FPA",285,"R-FPB",285,"R-FPC",325,"R-FPD",380,"Custom Carton","input W"),0)</f>
        <v>input W</v>
      </c>
      <c r="O387" s="51"/>
      <c r="P387" s="51">
        <f>IFERROR(IF(K387="",0,(M387+N387)*2+15),0)</f>
        <v>0</v>
      </c>
      <c r="Q387" s="51">
        <f>IFERROR(IF(K387="",0,(N387+O387)-10),0)</f>
        <v>0</v>
      </c>
      <c r="R387" s="53">
        <f xml:space="preserve"> P387 * Q387 * (1 + 2.5%) / 1000000</f>
        <v>0</v>
      </c>
      <c r="S387" s="125">
        <f>R387*'[4]RFQ_Matalan Carton'!$M$32</f>
        <v>0</v>
      </c>
      <c r="T387" s="124">
        <f>S387</f>
        <v>0</v>
      </c>
      <c r="U387" s="124">
        <f>I387*T387</f>
        <v>0</v>
      </c>
      <c r="V387" s="123">
        <f>((T387*I387)-W387)*7.5%</f>
        <v>0</v>
      </c>
      <c r="W387" s="124">
        <f>S387*I387*10%</f>
        <v>0</v>
      </c>
      <c r="X387" s="113"/>
    </row>
    <row r="388" spans="1:24">
      <c r="A388" s="118"/>
      <c r="B388" s="118"/>
      <c r="C388" s="119"/>
      <c r="D388" s="118"/>
      <c r="E388" s="118"/>
      <c r="F388" s="118"/>
      <c r="G388" s="119"/>
      <c r="H388" s="119"/>
      <c r="I388" s="119"/>
      <c r="J388" s="119" t="s">
        <v>121</v>
      </c>
      <c r="K388" s="119" t="s">
        <v>68</v>
      </c>
      <c r="L388" s="119" t="s">
        <v>109</v>
      </c>
      <c r="M388" s="51" t="str" cm="1">
        <f t="array" ref="M388">IFERROR(_xlfn.SWITCH(L388,"R-FPA",495,"R-FPB",595,"R-FPC",595,"R-FPD",595,"Custom Carton","input L"),0)</f>
        <v>input L</v>
      </c>
      <c r="N388" s="51" t="str" cm="1">
        <f t="array" ref="N388">IFERROR(_xlfn.SWITCH(L388,"R-FPA",285,"R-FPB",285,"R-FPC",325,"R-FPD",380,"Custom Carton","input W"),0)</f>
        <v>input W</v>
      </c>
      <c r="O388" s="51"/>
      <c r="P388" s="51">
        <f>IFERROR(IF(K388="",0,(M388+N388)*2+15),0)</f>
        <v>0</v>
      </c>
      <c r="Q388" s="51">
        <f>IFERROR(IF(K388="",0,(N388+O388)-10),0)</f>
        <v>0</v>
      </c>
      <c r="R388" s="53">
        <f xml:space="preserve"> P388 * Q388 * (1 + 2.5%) / 1000000</f>
        <v>0</v>
      </c>
      <c r="S388" s="125">
        <f>R388*'[4]RFQ_Matalan Carton'!$M$32</f>
        <v>0</v>
      </c>
      <c r="T388" s="124">
        <f>S388</f>
        <v>0</v>
      </c>
      <c r="U388" s="124">
        <f>I388*T388</f>
        <v>0</v>
      </c>
      <c r="V388" s="123">
        <f>((T388*I388)-W388)*7.5%</f>
        <v>0</v>
      </c>
      <c r="W388" s="124">
        <f>S388*I388*10%</f>
        <v>0</v>
      </c>
      <c r="X388" s="113"/>
    </row>
    <row r="389" spans="1:24">
      <c r="A389" s="118"/>
      <c r="B389" s="118"/>
      <c r="C389" s="119"/>
      <c r="D389" s="118"/>
      <c r="E389" s="118"/>
      <c r="F389" s="118"/>
      <c r="G389" s="119"/>
      <c r="H389" s="119"/>
      <c r="I389" s="119"/>
      <c r="J389" s="119" t="s">
        <v>121</v>
      </c>
      <c r="K389" s="119" t="s">
        <v>68</v>
      </c>
      <c r="L389" s="119" t="s">
        <v>109</v>
      </c>
      <c r="M389" s="51" t="str" cm="1">
        <f t="array" ref="M389">IFERROR(_xlfn.SWITCH(L389,"R-FPA",495,"R-FPB",595,"R-FPC",595,"R-FPD",595,"Custom Carton","input L"),0)</f>
        <v>input L</v>
      </c>
      <c r="N389" s="51" t="str" cm="1">
        <f t="array" ref="N389">IFERROR(_xlfn.SWITCH(L389,"R-FPA",285,"R-FPB",285,"R-FPC",325,"R-FPD",380,"Custom Carton","input W"),0)</f>
        <v>input W</v>
      </c>
      <c r="O389" s="51"/>
      <c r="P389" s="51">
        <f>IFERROR(IF(K389="",0,(M389+N389)*2+15),0)</f>
        <v>0</v>
      </c>
      <c r="Q389" s="51">
        <f>IFERROR(IF(K389="",0,(N389+O389)-10),0)</f>
        <v>0</v>
      </c>
      <c r="R389" s="53">
        <f xml:space="preserve"> P389 * Q389 * (1 + 2.5%) / 1000000</f>
        <v>0</v>
      </c>
      <c r="S389" s="125">
        <f>R389*'[4]RFQ_Matalan Carton'!$M$32</f>
        <v>0</v>
      </c>
      <c r="T389" s="124">
        <f>S389</f>
        <v>0</v>
      </c>
      <c r="U389" s="124">
        <f>I389*T389</f>
        <v>0</v>
      </c>
      <c r="V389" s="123">
        <f>((T389*I389)-W389)*7.5%</f>
        <v>0</v>
      </c>
      <c r="W389" s="124">
        <f>S389*I389*10%</f>
        <v>0</v>
      </c>
      <c r="X389" s="113"/>
    </row>
    <row r="390" spans="1:24">
      <c r="A390" s="118"/>
      <c r="B390" s="118"/>
      <c r="C390" s="119"/>
      <c r="D390" s="118"/>
      <c r="E390" s="118"/>
      <c r="F390" s="118"/>
      <c r="G390" s="119"/>
      <c r="H390" s="119"/>
      <c r="I390" s="119"/>
      <c r="J390" s="119" t="s">
        <v>121</v>
      </c>
      <c r="K390" s="119" t="s">
        <v>68</v>
      </c>
      <c r="L390" s="119" t="s">
        <v>109</v>
      </c>
      <c r="M390" s="51" t="str" cm="1">
        <f t="array" ref="M390">IFERROR(_xlfn.SWITCH(L390,"R-FPA",495,"R-FPB",595,"R-FPC",595,"R-FPD",595,"Custom Carton","input L"),0)</f>
        <v>input L</v>
      </c>
      <c r="N390" s="51" t="str" cm="1">
        <f t="array" ref="N390">IFERROR(_xlfn.SWITCH(L390,"R-FPA",285,"R-FPB",285,"R-FPC",325,"R-FPD",380,"Custom Carton","input W"),0)</f>
        <v>input W</v>
      </c>
      <c r="O390" s="51"/>
      <c r="P390" s="51">
        <f>IFERROR(IF(K390="",0,(M390+N390)*2+15),0)</f>
        <v>0</v>
      </c>
      <c r="Q390" s="51">
        <f>IFERROR(IF(K390="",0,(N390+O390)-10),0)</f>
        <v>0</v>
      </c>
      <c r="R390" s="53">
        <f xml:space="preserve"> P390 * Q390 * (1 + 2.5%) / 1000000</f>
        <v>0</v>
      </c>
      <c r="S390" s="125">
        <f>R390*'[4]RFQ_Matalan Carton'!$M$32</f>
        <v>0</v>
      </c>
      <c r="T390" s="124">
        <f>S390</f>
        <v>0</v>
      </c>
      <c r="U390" s="124">
        <f>I390*T390</f>
        <v>0</v>
      </c>
      <c r="V390" s="123">
        <f>((T390*I390)-W390)*7.5%</f>
        <v>0</v>
      </c>
      <c r="W390" s="124">
        <f>S390*I390*10%</f>
        <v>0</v>
      </c>
      <c r="X390" s="113"/>
    </row>
    <row r="391" spans="1:24">
      <c r="A391" s="118"/>
      <c r="B391" s="118"/>
      <c r="C391" s="119"/>
      <c r="D391" s="118"/>
      <c r="E391" s="118"/>
      <c r="F391" s="118"/>
      <c r="G391" s="119"/>
      <c r="H391" s="119"/>
      <c r="I391" s="119"/>
      <c r="J391" s="119" t="s">
        <v>121</v>
      </c>
      <c r="K391" s="119" t="s">
        <v>68</v>
      </c>
      <c r="L391" s="119" t="s">
        <v>109</v>
      </c>
      <c r="M391" s="51" t="str" cm="1">
        <f t="array" ref="M391">IFERROR(_xlfn.SWITCH(L391,"R-FPA",495,"R-FPB",595,"R-FPC",595,"R-FPD",595,"Custom Carton","input L"),0)</f>
        <v>input L</v>
      </c>
      <c r="N391" s="51" t="str" cm="1">
        <f t="array" ref="N391">IFERROR(_xlfn.SWITCH(L391,"R-FPA",285,"R-FPB",285,"R-FPC",325,"R-FPD",380,"Custom Carton","input W"),0)</f>
        <v>input W</v>
      </c>
      <c r="O391" s="51"/>
      <c r="P391" s="51">
        <f>IFERROR(IF(K391="",0,(M391+N391)*2+15),0)</f>
        <v>0</v>
      </c>
      <c r="Q391" s="51">
        <f>IFERROR(IF(K391="",0,(N391+O391)-10),0)</f>
        <v>0</v>
      </c>
      <c r="R391" s="53">
        <f xml:space="preserve"> P391 * Q391 * (1 + 2.5%) / 1000000</f>
        <v>0</v>
      </c>
      <c r="S391" s="125">
        <f>R391*'[4]RFQ_Matalan Carton'!$M$32</f>
        <v>0</v>
      </c>
      <c r="T391" s="124">
        <f>S391</f>
        <v>0</v>
      </c>
      <c r="U391" s="124">
        <f>I391*T391</f>
        <v>0</v>
      </c>
      <c r="V391" s="123">
        <f>((T391*I391)-W391)*7.5%</f>
        <v>0</v>
      </c>
      <c r="W391" s="124">
        <f>S391*I391*10%</f>
        <v>0</v>
      </c>
      <c r="X391" s="113"/>
    </row>
    <row r="392" spans="1:24">
      <c r="A392" s="118"/>
      <c r="B392" s="118"/>
      <c r="C392" s="119"/>
      <c r="D392" s="118"/>
      <c r="E392" s="118"/>
      <c r="F392" s="118"/>
      <c r="G392" s="119"/>
      <c r="H392" s="119"/>
      <c r="I392" s="119"/>
      <c r="J392" s="119" t="s">
        <v>121</v>
      </c>
      <c r="K392" s="119" t="s">
        <v>68</v>
      </c>
      <c r="L392" s="119" t="s">
        <v>109</v>
      </c>
      <c r="M392" s="51" t="str" cm="1">
        <f t="array" ref="M392">IFERROR(_xlfn.SWITCH(L392,"R-FPA",495,"R-FPB",595,"R-FPC",595,"R-FPD",595,"Custom Carton","input L"),0)</f>
        <v>input L</v>
      </c>
      <c r="N392" s="51" t="str" cm="1">
        <f t="array" ref="N392">IFERROR(_xlfn.SWITCH(L392,"R-FPA",285,"R-FPB",285,"R-FPC",325,"R-FPD",380,"Custom Carton","input W"),0)</f>
        <v>input W</v>
      </c>
      <c r="O392" s="51"/>
      <c r="P392" s="51">
        <f>IFERROR(IF(K392="",0,(M392+N392)*2+15),0)</f>
        <v>0</v>
      </c>
      <c r="Q392" s="51">
        <f>IFERROR(IF(K392="",0,(N392+O392)-10),0)</f>
        <v>0</v>
      </c>
      <c r="R392" s="53">
        <f xml:space="preserve"> P392 * Q392 * (1 + 2.5%) / 1000000</f>
        <v>0</v>
      </c>
      <c r="S392" s="125">
        <f>R392*'[4]RFQ_Matalan Carton'!$M$32</f>
        <v>0</v>
      </c>
      <c r="T392" s="124">
        <f>S392</f>
        <v>0</v>
      </c>
      <c r="U392" s="124">
        <f>I392*T392</f>
        <v>0</v>
      </c>
      <c r="V392" s="123">
        <f>((T392*I392)-W392)*7.5%</f>
        <v>0</v>
      </c>
      <c r="W392" s="124">
        <f>S392*I392*10%</f>
        <v>0</v>
      </c>
      <c r="X392" s="113"/>
    </row>
    <row r="393" spans="1:24">
      <c r="A393" s="118"/>
      <c r="B393" s="118"/>
      <c r="C393" s="119"/>
      <c r="D393" s="118"/>
      <c r="E393" s="118"/>
      <c r="F393" s="118"/>
      <c r="G393" s="119"/>
      <c r="H393" s="119"/>
      <c r="I393" s="119"/>
      <c r="J393" s="119" t="s">
        <v>121</v>
      </c>
      <c r="K393" s="119" t="s">
        <v>68</v>
      </c>
      <c r="L393" s="119" t="s">
        <v>109</v>
      </c>
      <c r="M393" s="51" t="str" cm="1">
        <f t="array" ref="M393">IFERROR(_xlfn.SWITCH(L393,"R-FPA",495,"R-FPB",595,"R-FPC",595,"R-FPD",595,"Custom Carton","input L"),0)</f>
        <v>input L</v>
      </c>
      <c r="N393" s="51" t="str" cm="1">
        <f t="array" ref="N393">IFERROR(_xlfn.SWITCH(L393,"R-FPA",285,"R-FPB",285,"R-FPC",325,"R-FPD",380,"Custom Carton","input W"),0)</f>
        <v>input W</v>
      </c>
      <c r="O393" s="51"/>
      <c r="P393" s="51">
        <f>IFERROR(IF(K393="",0,(M393+N393)*2+15),0)</f>
        <v>0</v>
      </c>
      <c r="Q393" s="51">
        <f>IFERROR(IF(K393="",0,(N393+O393)-10),0)</f>
        <v>0</v>
      </c>
      <c r="R393" s="53">
        <f xml:space="preserve"> P393 * Q393 * (1 + 2.5%) / 1000000</f>
        <v>0</v>
      </c>
      <c r="S393" s="125">
        <f>R393*'[4]RFQ_Matalan Carton'!$M$32</f>
        <v>0</v>
      </c>
      <c r="T393" s="124">
        <f>S393</f>
        <v>0</v>
      </c>
      <c r="U393" s="124">
        <f>I393*T393</f>
        <v>0</v>
      </c>
      <c r="V393" s="123">
        <f>((T393*I393)-W393)*7.5%</f>
        <v>0</v>
      </c>
      <c r="W393" s="124">
        <f>S393*I393*10%</f>
        <v>0</v>
      </c>
      <c r="X393" s="113"/>
    </row>
    <row r="394" spans="1:24">
      <c r="A394" s="118"/>
      <c r="B394" s="118"/>
      <c r="C394" s="119"/>
      <c r="D394" s="118"/>
      <c r="E394" s="118"/>
      <c r="F394" s="118"/>
      <c r="G394" s="119"/>
      <c r="H394" s="119"/>
      <c r="I394" s="119"/>
      <c r="J394" s="119" t="s">
        <v>121</v>
      </c>
      <c r="K394" s="119" t="s">
        <v>68</v>
      </c>
      <c r="L394" s="119" t="s">
        <v>109</v>
      </c>
      <c r="M394" s="51" t="str" cm="1">
        <f t="array" ref="M394">IFERROR(_xlfn.SWITCH(L394,"R-FPA",495,"R-FPB",595,"R-FPC",595,"R-FPD",595,"Custom Carton","input L"),0)</f>
        <v>input L</v>
      </c>
      <c r="N394" s="51" t="str" cm="1">
        <f t="array" ref="N394">IFERROR(_xlfn.SWITCH(L394,"R-FPA",285,"R-FPB",285,"R-FPC",325,"R-FPD",380,"Custom Carton","input W"),0)</f>
        <v>input W</v>
      </c>
      <c r="O394" s="51"/>
      <c r="P394" s="51">
        <f>IFERROR(IF(K394="",0,(M394+N394)*2+15),0)</f>
        <v>0</v>
      </c>
      <c r="Q394" s="51">
        <f>IFERROR(IF(K394="",0,(N394+O394)-10),0)</f>
        <v>0</v>
      </c>
      <c r="R394" s="53">
        <f xml:space="preserve"> P394 * Q394 * (1 + 2.5%) / 1000000</f>
        <v>0</v>
      </c>
      <c r="S394" s="125">
        <f>R394*'[4]RFQ_Matalan Carton'!$M$32</f>
        <v>0</v>
      </c>
      <c r="T394" s="124">
        <f>S394</f>
        <v>0</v>
      </c>
      <c r="U394" s="124">
        <f>I394*T394</f>
        <v>0</v>
      </c>
      <c r="V394" s="123">
        <f>((T394*I394)-W394)*7.5%</f>
        <v>0</v>
      </c>
      <c r="W394" s="124">
        <f>S394*I394*10%</f>
        <v>0</v>
      </c>
      <c r="X394" s="113"/>
    </row>
    <row r="395" spans="1:24">
      <c r="A395" s="118"/>
      <c r="B395" s="118"/>
      <c r="C395" s="119"/>
      <c r="D395" s="118"/>
      <c r="E395" s="118"/>
      <c r="F395" s="118"/>
      <c r="G395" s="119"/>
      <c r="H395" s="119"/>
      <c r="I395" s="119"/>
      <c r="J395" s="119" t="s">
        <v>121</v>
      </c>
      <c r="K395" s="119" t="s">
        <v>68</v>
      </c>
      <c r="L395" s="119" t="s">
        <v>109</v>
      </c>
      <c r="M395" s="51" t="str" cm="1">
        <f t="array" ref="M395">IFERROR(_xlfn.SWITCH(L395,"R-FPA",495,"R-FPB",595,"R-FPC",595,"R-FPD",595,"Custom Carton","input L"),0)</f>
        <v>input L</v>
      </c>
      <c r="N395" s="51" t="str" cm="1">
        <f t="array" ref="N395">IFERROR(_xlfn.SWITCH(L395,"R-FPA",285,"R-FPB",285,"R-FPC",325,"R-FPD",380,"Custom Carton","input W"),0)</f>
        <v>input W</v>
      </c>
      <c r="O395" s="51"/>
      <c r="P395" s="51">
        <f>IFERROR(IF(K395="",0,(M395+N395)*2+15),0)</f>
        <v>0</v>
      </c>
      <c r="Q395" s="51">
        <f>IFERROR(IF(K395="",0,(N395+O395)-10),0)</f>
        <v>0</v>
      </c>
      <c r="R395" s="53">
        <f xml:space="preserve"> P395 * Q395 * (1 + 2.5%) / 1000000</f>
        <v>0</v>
      </c>
      <c r="S395" s="125">
        <f>R395*'[4]RFQ_Matalan Carton'!$M$32</f>
        <v>0</v>
      </c>
      <c r="T395" s="124">
        <f>S395</f>
        <v>0</v>
      </c>
      <c r="U395" s="124">
        <f>I395*T395</f>
        <v>0</v>
      </c>
      <c r="V395" s="123">
        <f>((T395*I395)-W395)*7.5%</f>
        <v>0</v>
      </c>
      <c r="W395" s="124">
        <f>S395*I395*10%</f>
        <v>0</v>
      </c>
      <c r="X395" s="113"/>
    </row>
    <row r="396" spans="1:24">
      <c r="A396" s="118"/>
      <c r="B396" s="118"/>
      <c r="C396" s="119"/>
      <c r="D396" s="118"/>
      <c r="E396" s="118"/>
      <c r="F396" s="118"/>
      <c r="G396" s="119"/>
      <c r="H396" s="119"/>
      <c r="I396" s="119"/>
      <c r="J396" s="119" t="s">
        <v>121</v>
      </c>
      <c r="K396" s="119" t="s">
        <v>68</v>
      </c>
      <c r="L396" s="119" t="s">
        <v>109</v>
      </c>
      <c r="M396" s="51" t="str" cm="1">
        <f t="array" ref="M396">IFERROR(_xlfn.SWITCH(L396,"R-FPA",495,"R-FPB",595,"R-FPC",595,"R-FPD",595,"Custom Carton","input L"),0)</f>
        <v>input L</v>
      </c>
      <c r="N396" s="51" t="str" cm="1">
        <f t="array" ref="N396">IFERROR(_xlfn.SWITCH(L396,"R-FPA",285,"R-FPB",285,"R-FPC",325,"R-FPD",380,"Custom Carton","input W"),0)</f>
        <v>input W</v>
      </c>
      <c r="O396" s="51"/>
      <c r="P396" s="51">
        <f>IFERROR(IF(K396="",0,(M396+N396)*2+15),0)</f>
        <v>0</v>
      </c>
      <c r="Q396" s="51">
        <f>IFERROR(IF(K396="",0,(N396+O396)-10),0)</f>
        <v>0</v>
      </c>
      <c r="R396" s="53">
        <f xml:space="preserve"> P396 * Q396 * (1 + 2.5%) / 1000000</f>
        <v>0</v>
      </c>
      <c r="S396" s="125">
        <f>R396*'[4]RFQ_Matalan Carton'!$M$32</f>
        <v>0</v>
      </c>
      <c r="T396" s="124">
        <f>S396</f>
        <v>0</v>
      </c>
      <c r="U396" s="124">
        <f>I396*T396</f>
        <v>0</v>
      </c>
      <c r="V396" s="123">
        <f>((T396*I396)-W396)*7.5%</f>
        <v>0</v>
      </c>
      <c r="W396" s="124">
        <f>S396*I396*10%</f>
        <v>0</v>
      </c>
      <c r="X396" s="113"/>
    </row>
    <row r="397" spans="1:24">
      <c r="A397" s="118"/>
      <c r="B397" s="118"/>
      <c r="C397" s="119"/>
      <c r="D397" s="118"/>
      <c r="E397" s="118"/>
      <c r="F397" s="118"/>
      <c r="G397" s="119"/>
      <c r="H397" s="119"/>
      <c r="I397" s="119"/>
      <c r="J397" s="119" t="s">
        <v>121</v>
      </c>
      <c r="K397" s="119" t="s">
        <v>68</v>
      </c>
      <c r="L397" s="119" t="s">
        <v>109</v>
      </c>
      <c r="M397" s="51" t="str" cm="1">
        <f t="array" ref="M397">IFERROR(_xlfn.SWITCH(L397,"R-FPA",495,"R-FPB",595,"R-FPC",595,"R-FPD",595,"Custom Carton","input L"),0)</f>
        <v>input L</v>
      </c>
      <c r="N397" s="51" t="str" cm="1">
        <f t="array" ref="N397">IFERROR(_xlfn.SWITCH(L397,"R-FPA",285,"R-FPB",285,"R-FPC",325,"R-FPD",380,"Custom Carton","input W"),0)</f>
        <v>input W</v>
      </c>
      <c r="O397" s="51"/>
      <c r="P397" s="51">
        <f>IFERROR(IF(K397="",0,(M397+N397)*2+15),0)</f>
        <v>0</v>
      </c>
      <c r="Q397" s="51">
        <f>IFERROR(IF(K397="",0,(N397+O397)-10),0)</f>
        <v>0</v>
      </c>
      <c r="R397" s="53">
        <f xml:space="preserve"> P397 * Q397 * (1 + 2.5%) / 1000000</f>
        <v>0</v>
      </c>
      <c r="S397" s="125">
        <f>R397*'[4]RFQ_Matalan Carton'!$M$32</f>
        <v>0</v>
      </c>
      <c r="T397" s="124">
        <f>S397</f>
        <v>0</v>
      </c>
      <c r="U397" s="124">
        <f>I397*T397</f>
        <v>0</v>
      </c>
      <c r="V397" s="123">
        <f>((T397*I397)-W397)*7.5%</f>
        <v>0</v>
      </c>
      <c r="W397" s="124">
        <f>S397*I397*10%</f>
        <v>0</v>
      </c>
      <c r="X397" s="113"/>
    </row>
    <row r="398" spans="1:24">
      <c r="A398" s="118"/>
      <c r="B398" s="118"/>
      <c r="C398" s="119"/>
      <c r="D398" s="118"/>
      <c r="E398" s="118"/>
      <c r="F398" s="118"/>
      <c r="G398" s="119"/>
      <c r="H398" s="119"/>
      <c r="I398" s="119"/>
      <c r="J398" s="119" t="s">
        <v>121</v>
      </c>
      <c r="K398" s="119" t="s">
        <v>68</v>
      </c>
      <c r="L398" s="119" t="s">
        <v>109</v>
      </c>
      <c r="M398" s="51" t="str" cm="1">
        <f t="array" ref="M398">IFERROR(_xlfn.SWITCH(L398,"R-FPA",495,"R-FPB",595,"R-FPC",595,"R-FPD",595,"Custom Carton","input L"),0)</f>
        <v>input L</v>
      </c>
      <c r="N398" s="51" t="str" cm="1">
        <f t="array" ref="N398">IFERROR(_xlfn.SWITCH(L398,"R-FPA",285,"R-FPB",285,"R-FPC",325,"R-FPD",380,"Custom Carton","input W"),0)</f>
        <v>input W</v>
      </c>
      <c r="O398" s="51"/>
      <c r="P398" s="51">
        <f>IFERROR(IF(K398="",0,(M398+N398)*2+15),0)</f>
        <v>0</v>
      </c>
      <c r="Q398" s="51">
        <f>IFERROR(IF(K398="",0,(N398+O398)-10),0)</f>
        <v>0</v>
      </c>
      <c r="R398" s="53">
        <f xml:space="preserve"> P398 * Q398 * (1 + 2.5%) / 1000000</f>
        <v>0</v>
      </c>
      <c r="S398" s="125">
        <f>R398*'[4]RFQ_Matalan Carton'!$M$32</f>
        <v>0</v>
      </c>
      <c r="T398" s="124">
        <f>S398</f>
        <v>0</v>
      </c>
      <c r="U398" s="124">
        <f>I398*T398</f>
        <v>0</v>
      </c>
      <c r="V398" s="123">
        <f>((T398*I398)-W398)*7.5%</f>
        <v>0</v>
      </c>
      <c r="W398" s="124">
        <f>S398*I398*10%</f>
        <v>0</v>
      </c>
      <c r="X398" s="113"/>
    </row>
    <row r="399" spans="1:24">
      <c r="A399" s="118"/>
      <c r="B399" s="118"/>
      <c r="C399" s="119"/>
      <c r="D399" s="118"/>
      <c r="E399" s="118"/>
      <c r="F399" s="118"/>
      <c r="G399" s="119"/>
      <c r="H399" s="119"/>
      <c r="I399" s="119"/>
      <c r="J399" s="119" t="s">
        <v>121</v>
      </c>
      <c r="K399" s="119" t="s">
        <v>68</v>
      </c>
      <c r="L399" s="119" t="s">
        <v>109</v>
      </c>
      <c r="M399" s="51" t="str" cm="1">
        <f t="array" ref="M399">IFERROR(_xlfn.SWITCH(L399,"R-FPA",495,"R-FPB",595,"R-FPC",595,"R-FPD",595,"Custom Carton","input L"),0)</f>
        <v>input L</v>
      </c>
      <c r="N399" s="51" t="str" cm="1">
        <f t="array" ref="N399">IFERROR(_xlfn.SWITCH(L399,"R-FPA",285,"R-FPB",285,"R-FPC",325,"R-FPD",380,"Custom Carton","input W"),0)</f>
        <v>input W</v>
      </c>
      <c r="O399" s="51"/>
      <c r="P399" s="51">
        <f>IFERROR(IF(K399="",0,(M399+N399)*2+15),0)</f>
        <v>0</v>
      </c>
      <c r="Q399" s="51">
        <f>IFERROR(IF(K399="",0,(N399+O399)-10),0)</f>
        <v>0</v>
      </c>
      <c r="R399" s="53">
        <f xml:space="preserve"> P399 * Q399 * (1 + 2.5%) / 1000000</f>
        <v>0</v>
      </c>
      <c r="S399" s="125">
        <f>R399*'[4]RFQ_Matalan Carton'!$M$32</f>
        <v>0</v>
      </c>
      <c r="T399" s="124">
        <f>S399</f>
        <v>0</v>
      </c>
      <c r="U399" s="124">
        <f>I399*T399</f>
        <v>0</v>
      </c>
      <c r="V399" s="123">
        <f>((T399*I399)-W399)*7.5%</f>
        <v>0</v>
      </c>
      <c r="W399" s="124">
        <f>S399*I399*10%</f>
        <v>0</v>
      </c>
      <c r="X399" s="113"/>
    </row>
    <row r="400" spans="1:24">
      <c r="A400" s="118"/>
      <c r="B400" s="118"/>
      <c r="C400" s="119"/>
      <c r="D400" s="118"/>
      <c r="E400" s="118"/>
      <c r="F400" s="118"/>
      <c r="G400" s="119"/>
      <c r="H400" s="119"/>
      <c r="I400" s="119"/>
      <c r="J400" s="119" t="s">
        <v>121</v>
      </c>
      <c r="K400" s="119" t="s">
        <v>68</v>
      </c>
      <c r="L400" s="119" t="s">
        <v>109</v>
      </c>
      <c r="M400" s="51" t="str" cm="1">
        <f t="array" ref="M400">IFERROR(_xlfn.SWITCH(L400,"R-FPA",495,"R-FPB",595,"R-FPC",595,"R-FPD",595,"Custom Carton","input L"),0)</f>
        <v>input L</v>
      </c>
      <c r="N400" s="51" t="str" cm="1">
        <f t="array" ref="N400">IFERROR(_xlfn.SWITCH(L400,"R-FPA",285,"R-FPB",285,"R-FPC",325,"R-FPD",380,"Custom Carton","input W"),0)</f>
        <v>input W</v>
      </c>
      <c r="O400" s="51"/>
      <c r="P400" s="51">
        <f>IFERROR(IF(K400="",0,(M400+N400)*2+15),0)</f>
        <v>0</v>
      </c>
      <c r="Q400" s="51">
        <f>IFERROR(IF(K400="",0,(N400+O400)-10),0)</f>
        <v>0</v>
      </c>
      <c r="R400" s="53">
        <f xml:space="preserve"> P400 * Q400 * (1 + 2.5%) / 1000000</f>
        <v>0</v>
      </c>
      <c r="S400" s="125">
        <f>R400*'[4]RFQ_Matalan Carton'!$M$32</f>
        <v>0</v>
      </c>
      <c r="T400" s="124">
        <f>S400</f>
        <v>0</v>
      </c>
      <c r="U400" s="124">
        <f>I400*T400</f>
        <v>0</v>
      </c>
      <c r="V400" s="123">
        <f>((T400*I400)-W400)*7.5%</f>
        <v>0</v>
      </c>
      <c r="W400" s="124">
        <f>S400*I400*10%</f>
        <v>0</v>
      </c>
      <c r="X400" s="113"/>
    </row>
    <row r="401" spans="1:24">
      <c r="A401" s="118"/>
      <c r="B401" s="118"/>
      <c r="C401" s="119"/>
      <c r="D401" s="118"/>
      <c r="E401" s="118"/>
      <c r="F401" s="118"/>
      <c r="G401" s="119"/>
      <c r="H401" s="119"/>
      <c r="I401" s="119"/>
      <c r="J401" s="119" t="s">
        <v>121</v>
      </c>
      <c r="K401" s="119" t="s">
        <v>68</v>
      </c>
      <c r="L401" s="119" t="s">
        <v>109</v>
      </c>
      <c r="M401" s="51" t="str" cm="1">
        <f t="array" ref="M401">IFERROR(_xlfn.SWITCH(L401,"R-FPA",495,"R-FPB",595,"R-FPC",595,"R-FPD",595,"Custom Carton","input L"),0)</f>
        <v>input L</v>
      </c>
      <c r="N401" s="51" t="str" cm="1">
        <f t="array" ref="N401">IFERROR(_xlfn.SWITCH(L401,"R-FPA",285,"R-FPB",285,"R-FPC",325,"R-FPD",380,"Custom Carton","input W"),0)</f>
        <v>input W</v>
      </c>
      <c r="O401" s="51"/>
      <c r="P401" s="51">
        <f>IFERROR(IF(K401="",0,(M401+N401)*2+15),0)</f>
        <v>0</v>
      </c>
      <c r="Q401" s="51">
        <f>IFERROR(IF(K401="",0,(N401+O401)-10),0)</f>
        <v>0</v>
      </c>
      <c r="R401" s="53">
        <f xml:space="preserve"> P401 * Q401 * (1 + 2.5%) / 1000000</f>
        <v>0</v>
      </c>
      <c r="S401" s="125">
        <f>R401*'[4]RFQ_Matalan Carton'!$M$32</f>
        <v>0</v>
      </c>
      <c r="T401" s="124">
        <f>S401</f>
        <v>0</v>
      </c>
      <c r="U401" s="124">
        <f>I401*T401</f>
        <v>0</v>
      </c>
      <c r="V401" s="123">
        <f>((T401*I401)-W401)*7.5%</f>
        <v>0</v>
      </c>
      <c r="W401" s="124">
        <f>S401*I401*10%</f>
        <v>0</v>
      </c>
      <c r="X401" s="113"/>
    </row>
    <row r="402" spans="1:24">
      <c r="A402" s="118"/>
      <c r="B402" s="118"/>
      <c r="C402" s="119"/>
      <c r="D402" s="118"/>
      <c r="E402" s="118"/>
      <c r="F402" s="118"/>
      <c r="G402" s="119"/>
      <c r="H402" s="119"/>
      <c r="I402" s="119"/>
      <c r="J402" s="119" t="s">
        <v>121</v>
      </c>
      <c r="K402" s="119" t="s">
        <v>68</v>
      </c>
      <c r="L402" s="119" t="s">
        <v>109</v>
      </c>
      <c r="M402" s="51" t="str" cm="1">
        <f t="array" ref="M402">IFERROR(_xlfn.SWITCH(L402,"R-FPA",495,"R-FPB",595,"R-FPC",595,"R-FPD",595,"Custom Carton","input L"),0)</f>
        <v>input L</v>
      </c>
      <c r="N402" s="51" t="str" cm="1">
        <f t="array" ref="N402">IFERROR(_xlfn.SWITCH(L402,"R-FPA",285,"R-FPB",285,"R-FPC",325,"R-FPD",380,"Custom Carton","input W"),0)</f>
        <v>input W</v>
      </c>
      <c r="O402" s="51"/>
      <c r="P402" s="51">
        <f>IFERROR(IF(K402="",0,(M402+N402)*2+15),0)</f>
        <v>0</v>
      </c>
      <c r="Q402" s="51">
        <f>IFERROR(IF(K402="",0,(N402+O402)-10),0)</f>
        <v>0</v>
      </c>
      <c r="R402" s="53">
        <f xml:space="preserve"> P402 * Q402 * (1 + 2.5%) / 1000000</f>
        <v>0</v>
      </c>
      <c r="S402" s="125">
        <f>R402*'[4]RFQ_Matalan Carton'!$M$32</f>
        <v>0</v>
      </c>
      <c r="T402" s="124">
        <f>S402</f>
        <v>0</v>
      </c>
      <c r="U402" s="124">
        <f>I402*T402</f>
        <v>0</v>
      </c>
      <c r="V402" s="123">
        <f>((T402*I402)-W402)*7.5%</f>
        <v>0</v>
      </c>
      <c r="W402" s="124">
        <f>S402*I402*10%</f>
        <v>0</v>
      </c>
      <c r="X402" s="113"/>
    </row>
    <row r="403" spans="1:24">
      <c r="A403" s="118"/>
      <c r="B403" s="118"/>
      <c r="C403" s="119"/>
      <c r="D403" s="118"/>
      <c r="E403" s="118"/>
      <c r="F403" s="118"/>
      <c r="G403" s="119"/>
      <c r="H403" s="119"/>
      <c r="I403" s="119"/>
      <c r="J403" s="119" t="s">
        <v>121</v>
      </c>
      <c r="K403" s="119" t="s">
        <v>68</v>
      </c>
      <c r="L403" s="119" t="s">
        <v>109</v>
      </c>
      <c r="M403" s="51" t="str" cm="1">
        <f t="array" ref="M403">IFERROR(_xlfn.SWITCH(L403,"R-FPA",495,"R-FPB",595,"R-FPC",595,"R-FPD",595,"Custom Carton","input L"),0)</f>
        <v>input L</v>
      </c>
      <c r="N403" s="51" t="str" cm="1">
        <f t="array" ref="N403">IFERROR(_xlfn.SWITCH(L403,"R-FPA",285,"R-FPB",285,"R-FPC",325,"R-FPD",380,"Custom Carton","input W"),0)</f>
        <v>input W</v>
      </c>
      <c r="O403" s="51"/>
      <c r="P403" s="51">
        <f>IFERROR(IF(K403="",0,(M403+N403)*2+15),0)</f>
        <v>0</v>
      </c>
      <c r="Q403" s="51">
        <f>IFERROR(IF(K403="",0,(N403+O403)-10),0)</f>
        <v>0</v>
      </c>
      <c r="R403" s="53">
        <f xml:space="preserve"> P403 * Q403 * (1 + 2.5%) / 1000000</f>
        <v>0</v>
      </c>
      <c r="S403" s="125">
        <f>R403*'[4]RFQ_Matalan Carton'!$M$32</f>
        <v>0</v>
      </c>
      <c r="T403" s="124">
        <f>S403</f>
        <v>0</v>
      </c>
      <c r="U403" s="124">
        <f>I403*T403</f>
        <v>0</v>
      </c>
      <c r="V403" s="123">
        <f>((T403*I403)-W403)*7.5%</f>
        <v>0</v>
      </c>
      <c r="W403" s="124">
        <f>S403*I403*10%</f>
        <v>0</v>
      </c>
      <c r="X403" s="113"/>
    </row>
    <row r="404" spans="1:24">
      <c r="A404" s="118"/>
      <c r="B404" s="118"/>
      <c r="C404" s="119"/>
      <c r="D404" s="118"/>
      <c r="E404" s="118"/>
      <c r="F404" s="118"/>
      <c r="G404" s="119"/>
      <c r="H404" s="119"/>
      <c r="I404" s="119"/>
      <c r="J404" s="119" t="s">
        <v>121</v>
      </c>
      <c r="K404" s="119" t="s">
        <v>68</v>
      </c>
      <c r="L404" s="119" t="s">
        <v>109</v>
      </c>
      <c r="M404" s="51" t="str" cm="1">
        <f t="array" ref="M404">IFERROR(_xlfn.SWITCH(L404,"R-FPA",495,"R-FPB",595,"R-FPC",595,"R-FPD",595,"Custom Carton","input L"),0)</f>
        <v>input L</v>
      </c>
      <c r="N404" s="51" t="str" cm="1">
        <f t="array" ref="N404">IFERROR(_xlfn.SWITCH(L404,"R-FPA",285,"R-FPB",285,"R-FPC",325,"R-FPD",380,"Custom Carton","input W"),0)</f>
        <v>input W</v>
      </c>
      <c r="O404" s="51"/>
      <c r="P404" s="51">
        <f>IFERROR(IF(K404="",0,(M404+N404)*2+15),0)</f>
        <v>0</v>
      </c>
      <c r="Q404" s="51">
        <f>IFERROR(IF(K404="",0,(N404+O404)-10),0)</f>
        <v>0</v>
      </c>
      <c r="R404" s="53">
        <f xml:space="preserve"> P404 * Q404 * (1 + 2.5%) / 1000000</f>
        <v>0</v>
      </c>
      <c r="S404" s="125">
        <f>R404*'[4]RFQ_Matalan Carton'!$M$32</f>
        <v>0</v>
      </c>
      <c r="T404" s="124">
        <f>S404</f>
        <v>0</v>
      </c>
      <c r="U404" s="124">
        <f>I404*T404</f>
        <v>0</v>
      </c>
      <c r="V404" s="123">
        <f>((T404*I404)-W404)*7.5%</f>
        <v>0</v>
      </c>
      <c r="W404" s="124">
        <f>S404*I404*10%</f>
        <v>0</v>
      </c>
      <c r="X404" s="113"/>
    </row>
    <row r="405" spans="1:24">
      <c r="A405" s="118"/>
      <c r="B405" s="118"/>
      <c r="C405" s="119"/>
      <c r="D405" s="118"/>
      <c r="E405" s="118"/>
      <c r="F405" s="118"/>
      <c r="G405" s="119"/>
      <c r="H405" s="119"/>
      <c r="I405" s="119"/>
      <c r="J405" s="119" t="s">
        <v>121</v>
      </c>
      <c r="K405" s="119" t="s">
        <v>68</v>
      </c>
      <c r="L405" s="119" t="s">
        <v>109</v>
      </c>
      <c r="M405" s="51" t="str" cm="1">
        <f t="array" ref="M405">IFERROR(_xlfn.SWITCH(L405,"R-FPA",495,"R-FPB",595,"R-FPC",595,"R-FPD",595,"Custom Carton","input L"),0)</f>
        <v>input L</v>
      </c>
      <c r="N405" s="51" t="str" cm="1">
        <f t="array" ref="N405">IFERROR(_xlfn.SWITCH(L405,"R-FPA",285,"R-FPB",285,"R-FPC",325,"R-FPD",380,"Custom Carton","input W"),0)</f>
        <v>input W</v>
      </c>
      <c r="O405" s="51"/>
      <c r="P405" s="51">
        <f>IFERROR(IF(K405="",0,(M405+N405)*2+15),0)</f>
        <v>0</v>
      </c>
      <c r="Q405" s="51">
        <f>IFERROR(IF(K405="",0,(N405+O405)-10),0)</f>
        <v>0</v>
      </c>
      <c r="R405" s="53">
        <f xml:space="preserve"> P405 * Q405 * (1 + 2.5%) / 1000000</f>
        <v>0</v>
      </c>
      <c r="S405" s="125">
        <f>R405*'[4]RFQ_Matalan Carton'!$M$32</f>
        <v>0</v>
      </c>
      <c r="T405" s="124">
        <f>S405</f>
        <v>0</v>
      </c>
      <c r="U405" s="124">
        <f>I405*T405</f>
        <v>0</v>
      </c>
      <c r="V405" s="123">
        <f>((T405*I405)-W405)*7.5%</f>
        <v>0</v>
      </c>
      <c r="W405" s="124">
        <f>S405*I405*10%</f>
        <v>0</v>
      </c>
      <c r="X405" s="113"/>
    </row>
    <row r="406" spans="1:24">
      <c r="A406" s="118"/>
      <c r="B406" s="118"/>
      <c r="C406" s="119"/>
      <c r="D406" s="118"/>
      <c r="E406" s="118"/>
      <c r="F406" s="118"/>
      <c r="G406" s="119"/>
      <c r="H406" s="119"/>
      <c r="I406" s="119"/>
      <c r="J406" s="119" t="s">
        <v>121</v>
      </c>
      <c r="K406" s="119" t="s">
        <v>68</v>
      </c>
      <c r="L406" s="119" t="s">
        <v>109</v>
      </c>
      <c r="M406" s="51" t="str" cm="1">
        <f t="array" ref="M406">IFERROR(_xlfn.SWITCH(L406,"R-FPA",495,"R-FPB",595,"R-FPC",595,"R-FPD",595,"Custom Carton","input L"),0)</f>
        <v>input L</v>
      </c>
      <c r="N406" s="51" t="str" cm="1">
        <f t="array" ref="N406">IFERROR(_xlfn.SWITCH(L406,"R-FPA",285,"R-FPB",285,"R-FPC",325,"R-FPD",380,"Custom Carton","input W"),0)</f>
        <v>input W</v>
      </c>
      <c r="O406" s="51"/>
      <c r="P406" s="51">
        <f>IFERROR(IF(K406="",0,(M406+N406)*2+15),0)</f>
        <v>0</v>
      </c>
      <c r="Q406" s="51">
        <f>IFERROR(IF(K406="",0,(N406+O406)-10),0)</f>
        <v>0</v>
      </c>
      <c r="R406" s="53">
        <f xml:space="preserve"> P406 * Q406 * (1 + 2.5%) / 1000000</f>
        <v>0</v>
      </c>
      <c r="S406" s="125">
        <f>R406*'[4]RFQ_Matalan Carton'!$M$32</f>
        <v>0</v>
      </c>
      <c r="T406" s="124">
        <f>S406</f>
        <v>0</v>
      </c>
      <c r="U406" s="124">
        <f>I406*T406</f>
        <v>0</v>
      </c>
      <c r="V406" s="123">
        <f>((T406*I406)-W406)*7.5%</f>
        <v>0</v>
      </c>
      <c r="W406" s="124">
        <f>S406*I406*10%</f>
        <v>0</v>
      </c>
      <c r="X406" s="113"/>
    </row>
    <row r="407" spans="1:24">
      <c r="A407" s="118"/>
      <c r="B407" s="118"/>
      <c r="C407" s="119"/>
      <c r="D407" s="118"/>
      <c r="E407" s="118"/>
      <c r="F407" s="118"/>
      <c r="G407" s="119"/>
      <c r="H407" s="119"/>
      <c r="I407" s="119"/>
      <c r="J407" s="119" t="s">
        <v>121</v>
      </c>
      <c r="K407" s="119" t="s">
        <v>68</v>
      </c>
      <c r="L407" s="119" t="s">
        <v>109</v>
      </c>
      <c r="M407" s="51" t="str" cm="1">
        <f t="array" ref="M407">IFERROR(_xlfn.SWITCH(L407,"R-FPA",495,"R-FPB",595,"R-FPC",595,"R-FPD",595,"Custom Carton","input L"),0)</f>
        <v>input L</v>
      </c>
      <c r="N407" s="51" t="str" cm="1">
        <f t="array" ref="N407">IFERROR(_xlfn.SWITCH(L407,"R-FPA",285,"R-FPB",285,"R-FPC",325,"R-FPD",380,"Custom Carton","input W"),0)</f>
        <v>input W</v>
      </c>
      <c r="O407" s="51"/>
      <c r="P407" s="51">
        <f>IFERROR(IF(K407="",0,(M407+N407)*2+15),0)</f>
        <v>0</v>
      </c>
      <c r="Q407" s="51">
        <f>IFERROR(IF(K407="",0,(N407+O407)-10),0)</f>
        <v>0</v>
      </c>
      <c r="R407" s="53">
        <f xml:space="preserve"> P407 * Q407 * (1 + 2.5%) / 1000000</f>
        <v>0</v>
      </c>
      <c r="S407" s="125">
        <f>R407*'[4]RFQ_Matalan Carton'!$M$32</f>
        <v>0</v>
      </c>
      <c r="T407" s="124">
        <f>S407</f>
        <v>0</v>
      </c>
      <c r="U407" s="124">
        <f>I407*T407</f>
        <v>0</v>
      </c>
      <c r="V407" s="123">
        <f>((T407*I407)-W407)*7.5%</f>
        <v>0</v>
      </c>
      <c r="W407" s="124">
        <f>S407*I407*10%</f>
        <v>0</v>
      </c>
      <c r="X407" s="113"/>
    </row>
    <row r="408" spans="1:24">
      <c r="A408" s="118"/>
      <c r="B408" s="118"/>
      <c r="C408" s="119"/>
      <c r="D408" s="118"/>
      <c r="E408" s="118"/>
      <c r="F408" s="118"/>
      <c r="G408" s="119"/>
      <c r="H408" s="119"/>
      <c r="I408" s="119"/>
      <c r="J408" s="119" t="s">
        <v>121</v>
      </c>
      <c r="K408" s="119" t="s">
        <v>68</v>
      </c>
      <c r="L408" s="119" t="s">
        <v>109</v>
      </c>
      <c r="M408" s="51" t="str" cm="1">
        <f t="array" ref="M408">IFERROR(_xlfn.SWITCH(L408,"R-FPA",495,"R-FPB",595,"R-FPC",595,"R-FPD",595,"Custom Carton","input L"),0)</f>
        <v>input L</v>
      </c>
      <c r="N408" s="51" t="str" cm="1">
        <f t="array" ref="N408">IFERROR(_xlfn.SWITCH(L408,"R-FPA",285,"R-FPB",285,"R-FPC",325,"R-FPD",380,"Custom Carton","input W"),0)</f>
        <v>input W</v>
      </c>
      <c r="O408" s="51"/>
      <c r="P408" s="51">
        <f>IFERROR(IF(K408="",0,(M408+N408)*2+15),0)</f>
        <v>0</v>
      </c>
      <c r="Q408" s="51">
        <f>IFERROR(IF(K408="",0,(N408+O408)-10),0)</f>
        <v>0</v>
      </c>
      <c r="R408" s="53">
        <f xml:space="preserve"> P408 * Q408 * (1 + 2.5%) / 1000000</f>
        <v>0</v>
      </c>
      <c r="S408" s="125">
        <f>R408*'[4]RFQ_Matalan Carton'!$M$32</f>
        <v>0</v>
      </c>
      <c r="T408" s="124">
        <f>S408</f>
        <v>0</v>
      </c>
      <c r="U408" s="124">
        <f>I408*T408</f>
        <v>0</v>
      </c>
      <c r="V408" s="123">
        <f>((T408*I408)-W408)*7.5%</f>
        <v>0</v>
      </c>
      <c r="W408" s="124">
        <f>S408*I408*10%</f>
        <v>0</v>
      </c>
      <c r="X408" s="113"/>
    </row>
    <row r="409" spans="1:24">
      <c r="A409" s="118"/>
      <c r="B409" s="118"/>
      <c r="C409" s="119"/>
      <c r="D409" s="118"/>
      <c r="E409" s="118"/>
      <c r="F409" s="118"/>
      <c r="G409" s="119"/>
      <c r="H409" s="119"/>
      <c r="I409" s="119"/>
      <c r="J409" s="119" t="s">
        <v>121</v>
      </c>
      <c r="K409" s="119" t="s">
        <v>68</v>
      </c>
      <c r="L409" s="119" t="s">
        <v>109</v>
      </c>
      <c r="M409" s="51" t="str" cm="1">
        <f t="array" ref="M409">IFERROR(_xlfn.SWITCH(L409,"R-FPA",495,"R-FPB",595,"R-FPC",595,"R-FPD",595,"Custom Carton","input L"),0)</f>
        <v>input L</v>
      </c>
      <c r="N409" s="51" t="str" cm="1">
        <f t="array" ref="N409">IFERROR(_xlfn.SWITCH(L409,"R-FPA",285,"R-FPB",285,"R-FPC",325,"R-FPD",380,"Custom Carton","input W"),0)</f>
        <v>input W</v>
      </c>
      <c r="O409" s="51"/>
      <c r="P409" s="51">
        <f>IFERROR(IF(K409="",0,(M409+N409)*2+15),0)</f>
        <v>0</v>
      </c>
      <c r="Q409" s="51">
        <f>IFERROR(IF(K409="",0,(N409+O409)-10),0)</f>
        <v>0</v>
      </c>
      <c r="R409" s="53">
        <f xml:space="preserve"> P409 * Q409 * (1 + 2.5%) / 1000000</f>
        <v>0</v>
      </c>
      <c r="S409" s="125">
        <f>R409*'[4]RFQ_Matalan Carton'!$M$32</f>
        <v>0</v>
      </c>
      <c r="T409" s="124">
        <f>S409</f>
        <v>0</v>
      </c>
      <c r="U409" s="124">
        <f>I409*T409</f>
        <v>0</v>
      </c>
      <c r="V409" s="123">
        <f>((T409*I409)-W409)*7.5%</f>
        <v>0</v>
      </c>
      <c r="W409" s="124">
        <f>S409*I409*10%</f>
        <v>0</v>
      </c>
      <c r="X409" s="113"/>
    </row>
    <row r="410" spans="1:24">
      <c r="A410" s="118"/>
      <c r="B410" s="118"/>
      <c r="C410" s="119"/>
      <c r="D410" s="118"/>
      <c r="E410" s="118"/>
      <c r="F410" s="118"/>
      <c r="G410" s="119"/>
      <c r="H410" s="119"/>
      <c r="I410" s="119"/>
      <c r="J410" s="119" t="s">
        <v>121</v>
      </c>
      <c r="K410" s="119" t="s">
        <v>68</v>
      </c>
      <c r="L410" s="119" t="s">
        <v>109</v>
      </c>
      <c r="M410" s="51" t="str" cm="1">
        <f t="array" ref="M410">IFERROR(_xlfn.SWITCH(L410,"R-FPA",495,"R-FPB",595,"R-FPC",595,"R-FPD",595,"Custom Carton","input L"),0)</f>
        <v>input L</v>
      </c>
      <c r="N410" s="51" t="str" cm="1">
        <f t="array" ref="N410">IFERROR(_xlfn.SWITCH(L410,"R-FPA",285,"R-FPB",285,"R-FPC",325,"R-FPD",380,"Custom Carton","input W"),0)</f>
        <v>input W</v>
      </c>
      <c r="O410" s="51"/>
      <c r="P410" s="51">
        <f>IFERROR(IF(K410="",0,(M410+N410)*2+15),0)</f>
        <v>0</v>
      </c>
      <c r="Q410" s="51">
        <f>IFERROR(IF(K410="",0,(N410+O410)-10),0)</f>
        <v>0</v>
      </c>
      <c r="R410" s="53">
        <f xml:space="preserve"> P410 * Q410 * (1 + 2.5%) / 1000000</f>
        <v>0</v>
      </c>
      <c r="S410" s="125">
        <f>R410*'[4]RFQ_Matalan Carton'!$M$32</f>
        <v>0</v>
      </c>
      <c r="T410" s="124">
        <f>S410</f>
        <v>0</v>
      </c>
      <c r="U410" s="124">
        <f>I410*T410</f>
        <v>0</v>
      </c>
      <c r="V410" s="123">
        <f>((T410*I410)-W410)*7.5%</f>
        <v>0</v>
      </c>
      <c r="W410" s="124">
        <f>S410*I410*10%</f>
        <v>0</v>
      </c>
      <c r="X410" s="113"/>
    </row>
    <row r="411" spans="1:24">
      <c r="A411" s="118"/>
      <c r="B411" s="118"/>
      <c r="C411" s="119"/>
      <c r="D411" s="118"/>
      <c r="E411" s="118"/>
      <c r="F411" s="118"/>
      <c r="G411" s="119"/>
      <c r="H411" s="119"/>
      <c r="I411" s="119"/>
      <c r="J411" s="119" t="s">
        <v>121</v>
      </c>
      <c r="K411" s="119" t="s">
        <v>68</v>
      </c>
      <c r="L411" s="119" t="s">
        <v>109</v>
      </c>
      <c r="M411" s="51" t="str" cm="1">
        <f t="array" ref="M411">IFERROR(_xlfn.SWITCH(L411,"R-FPA",495,"R-FPB",595,"R-FPC",595,"R-FPD",595,"Custom Carton","input L"),0)</f>
        <v>input L</v>
      </c>
      <c r="N411" s="51" t="str" cm="1">
        <f t="array" ref="N411">IFERROR(_xlfn.SWITCH(L411,"R-FPA",285,"R-FPB",285,"R-FPC",325,"R-FPD",380,"Custom Carton","input W"),0)</f>
        <v>input W</v>
      </c>
      <c r="O411" s="51"/>
      <c r="P411" s="51">
        <f>IFERROR(IF(K411="",0,(M411+N411)*2+15),0)</f>
        <v>0</v>
      </c>
      <c r="Q411" s="51">
        <f>IFERROR(IF(K411="",0,(N411+O411)-10),0)</f>
        <v>0</v>
      </c>
      <c r="R411" s="53">
        <f xml:space="preserve"> P411 * Q411 * (1 + 2.5%) / 1000000</f>
        <v>0</v>
      </c>
      <c r="S411" s="125">
        <f>R411*'[4]RFQ_Matalan Carton'!$M$32</f>
        <v>0</v>
      </c>
      <c r="T411" s="124">
        <f>S411</f>
        <v>0</v>
      </c>
      <c r="U411" s="124">
        <f>I411*T411</f>
        <v>0</v>
      </c>
      <c r="V411" s="123">
        <f>((T411*I411)-W411)*7.5%</f>
        <v>0</v>
      </c>
      <c r="W411" s="124">
        <f>S411*I411*10%</f>
        <v>0</v>
      </c>
      <c r="X411" s="113"/>
    </row>
    <row r="412" spans="1:24">
      <c r="A412" s="118"/>
      <c r="B412" s="118"/>
      <c r="C412" s="119"/>
      <c r="D412" s="118"/>
      <c r="E412" s="118"/>
      <c r="F412" s="118"/>
      <c r="G412" s="119"/>
      <c r="H412" s="119"/>
      <c r="I412" s="119"/>
      <c r="J412" s="119" t="s">
        <v>121</v>
      </c>
      <c r="K412" s="119" t="s">
        <v>68</v>
      </c>
      <c r="L412" s="119" t="s">
        <v>109</v>
      </c>
      <c r="M412" s="51" t="str" cm="1">
        <f t="array" ref="M412">IFERROR(_xlfn.SWITCH(L412,"R-FPA",495,"R-FPB",595,"R-FPC",595,"R-FPD",595,"Custom Carton","input L"),0)</f>
        <v>input L</v>
      </c>
      <c r="N412" s="51" t="str" cm="1">
        <f t="array" ref="N412">IFERROR(_xlfn.SWITCH(L412,"R-FPA",285,"R-FPB",285,"R-FPC",325,"R-FPD",380,"Custom Carton","input W"),0)</f>
        <v>input W</v>
      </c>
      <c r="O412" s="51"/>
      <c r="P412" s="51">
        <f>IFERROR(IF(K412="",0,(M412+N412)*2+15),0)</f>
        <v>0</v>
      </c>
      <c r="Q412" s="51">
        <f>IFERROR(IF(K412="",0,(N412+O412)-10),0)</f>
        <v>0</v>
      </c>
      <c r="R412" s="53">
        <f xml:space="preserve"> P412 * Q412 * (1 + 2.5%) / 1000000</f>
        <v>0</v>
      </c>
      <c r="S412" s="125">
        <f>R412*'[4]RFQ_Matalan Carton'!$M$32</f>
        <v>0</v>
      </c>
      <c r="T412" s="124">
        <f>S412</f>
        <v>0</v>
      </c>
      <c r="U412" s="124">
        <f>I412*T412</f>
        <v>0</v>
      </c>
      <c r="V412" s="123">
        <f>((T412*I412)-W412)*7.5%</f>
        <v>0</v>
      </c>
      <c r="W412" s="124">
        <f>S412*I412*10%</f>
        <v>0</v>
      </c>
      <c r="X412" s="113"/>
    </row>
    <row r="413" spans="1:24">
      <c r="A413" s="118"/>
      <c r="B413" s="122"/>
      <c r="C413" s="119"/>
      <c r="D413" s="118"/>
      <c r="E413" s="118"/>
      <c r="F413" s="118"/>
      <c r="G413" s="119"/>
      <c r="H413" s="119"/>
      <c r="I413" s="119"/>
      <c r="J413" s="119" t="s">
        <v>121</v>
      </c>
      <c r="K413" s="119" t="s">
        <v>68</v>
      </c>
      <c r="L413" s="119" t="s">
        <v>109</v>
      </c>
      <c r="M413" s="51" t="str" cm="1">
        <f t="array" ref="M413">IFERROR(_xlfn.SWITCH(L413,"R-FPA",495,"R-FPB",595,"R-FPC",595,"R-FPD",595,"Custom Carton","input L"),0)</f>
        <v>input L</v>
      </c>
      <c r="N413" s="51" t="str" cm="1">
        <f t="array" ref="N413">IFERROR(_xlfn.SWITCH(L413,"R-FPA",285,"R-FPB",285,"R-FPC",325,"R-FPD",380,"Custom Carton","input W"),0)</f>
        <v>input W</v>
      </c>
      <c r="O413" s="51"/>
      <c r="P413" s="51">
        <f>IFERROR(IF(K413="",0,(M413+N413)*2+15),0)</f>
        <v>0</v>
      </c>
      <c r="Q413" s="51">
        <f>IFERROR(IF(K413="",0,(N413+O413)-10),0)</f>
        <v>0</v>
      </c>
      <c r="R413" s="53">
        <f xml:space="preserve"> P413 * Q413 * (1 + 2.5%) / 1000000</f>
        <v>0</v>
      </c>
      <c r="S413" s="125">
        <f>R413*'[4]RFQ_Matalan Carton'!$M$32</f>
        <v>0</v>
      </c>
      <c r="T413" s="124">
        <f>S413</f>
        <v>0</v>
      </c>
      <c r="U413" s="124">
        <f>I413*T413</f>
        <v>0</v>
      </c>
      <c r="V413" s="123">
        <f>((T413*I413)-W413)*7.5%</f>
        <v>0</v>
      </c>
      <c r="W413" s="124">
        <f>S413*I413*10%</f>
        <v>0</v>
      </c>
      <c r="X413" s="113"/>
    </row>
    <row r="414" spans="1:24">
      <c r="A414" s="118"/>
      <c r="B414" s="118"/>
      <c r="C414" s="119"/>
      <c r="D414" s="118"/>
      <c r="E414" s="118"/>
      <c r="F414" s="118"/>
      <c r="G414" s="119"/>
      <c r="H414" s="119"/>
      <c r="I414" s="119"/>
      <c r="J414" s="119" t="s">
        <v>121</v>
      </c>
      <c r="K414" s="119" t="s">
        <v>68</v>
      </c>
      <c r="L414" s="119" t="s">
        <v>109</v>
      </c>
      <c r="M414" s="51" t="str" cm="1">
        <f t="array" ref="M414">IFERROR(_xlfn.SWITCH(L414,"R-FPA",495,"R-FPB",595,"R-FPC",595,"R-FPD",595,"Custom Carton","input L"),0)</f>
        <v>input L</v>
      </c>
      <c r="N414" s="51" t="str" cm="1">
        <f t="array" ref="N414">IFERROR(_xlfn.SWITCH(L414,"R-FPA",285,"R-FPB",285,"R-FPC",325,"R-FPD",380,"Custom Carton","input W"),0)</f>
        <v>input W</v>
      </c>
      <c r="O414" s="51"/>
      <c r="P414" s="51">
        <f>IFERROR(IF(K414="",0,(M414+N414)*2+15),0)</f>
        <v>0</v>
      </c>
      <c r="Q414" s="51">
        <f>IFERROR(IF(K414="",0,(N414+O414)-10),0)</f>
        <v>0</v>
      </c>
      <c r="R414" s="53">
        <f xml:space="preserve"> P414 * Q414 * (1 + 2.5%) / 1000000</f>
        <v>0</v>
      </c>
      <c r="S414" s="125">
        <f>R414*'[4]RFQ_Matalan Carton'!$M$32</f>
        <v>0</v>
      </c>
      <c r="T414" s="124">
        <f>S414</f>
        <v>0</v>
      </c>
      <c r="U414" s="124">
        <f>I414*T414</f>
        <v>0</v>
      </c>
      <c r="V414" s="123">
        <f>((T414*I414)-W414)*7.5%</f>
        <v>0</v>
      </c>
      <c r="W414" s="124">
        <f>S414*I414*10%</f>
        <v>0</v>
      </c>
      <c r="X414" s="113"/>
    </row>
    <row r="415" spans="1:24">
      <c r="A415" s="118"/>
      <c r="B415" s="118"/>
      <c r="C415" s="119"/>
      <c r="D415" s="118"/>
      <c r="E415" s="118"/>
      <c r="F415" s="118"/>
      <c r="G415" s="119"/>
      <c r="H415" s="119"/>
      <c r="I415" s="119"/>
      <c r="J415" s="119" t="s">
        <v>121</v>
      </c>
      <c r="K415" s="119" t="s">
        <v>68</v>
      </c>
      <c r="L415" s="119" t="s">
        <v>109</v>
      </c>
      <c r="M415" s="51" t="str" cm="1">
        <f t="array" ref="M415">IFERROR(_xlfn.SWITCH(L415,"R-FPA",495,"R-FPB",595,"R-FPC",595,"R-FPD",595,"Custom Carton","input L"),0)</f>
        <v>input L</v>
      </c>
      <c r="N415" s="51" t="str" cm="1">
        <f t="array" ref="N415">IFERROR(_xlfn.SWITCH(L415,"R-FPA",285,"R-FPB",285,"R-FPC",325,"R-FPD",380,"Custom Carton","input W"),0)</f>
        <v>input W</v>
      </c>
      <c r="O415" s="51"/>
      <c r="P415" s="51">
        <f>IFERROR(IF(K415="",0,(M415+N415)*2+15),0)</f>
        <v>0</v>
      </c>
      <c r="Q415" s="51">
        <f>IFERROR(IF(K415="",0,(N415+O415)-10),0)</f>
        <v>0</v>
      </c>
      <c r="R415" s="53">
        <f xml:space="preserve"> P415 * Q415 * (1 + 2.5%) / 1000000</f>
        <v>0</v>
      </c>
      <c r="S415" s="125">
        <f>R415*'[4]RFQ_Matalan Carton'!$M$32</f>
        <v>0</v>
      </c>
      <c r="T415" s="124">
        <f>S415</f>
        <v>0</v>
      </c>
      <c r="U415" s="124">
        <f>I415*T415</f>
        <v>0</v>
      </c>
      <c r="V415" s="123">
        <f>((T415*I415)-W415)*7.5%</f>
        <v>0</v>
      </c>
      <c r="W415" s="124">
        <f>S415*I415*10%</f>
        <v>0</v>
      </c>
      <c r="X415" s="113"/>
    </row>
    <row r="416" spans="1:24">
      <c r="A416" s="118"/>
      <c r="B416" s="118"/>
      <c r="C416" s="119"/>
      <c r="D416" s="118"/>
      <c r="E416" s="118"/>
      <c r="F416" s="118"/>
      <c r="G416" s="119"/>
      <c r="H416" s="119"/>
      <c r="I416" s="119"/>
      <c r="J416" s="119" t="s">
        <v>121</v>
      </c>
      <c r="K416" s="119" t="s">
        <v>68</v>
      </c>
      <c r="L416" s="119" t="s">
        <v>109</v>
      </c>
      <c r="M416" s="51" t="str" cm="1">
        <f t="array" ref="M416">IFERROR(_xlfn.SWITCH(L416,"R-FPA",495,"R-FPB",595,"R-FPC",595,"R-FPD",595,"Custom Carton","input L"),0)</f>
        <v>input L</v>
      </c>
      <c r="N416" s="51" t="str" cm="1">
        <f t="array" ref="N416">IFERROR(_xlfn.SWITCH(L416,"R-FPA",285,"R-FPB",285,"R-FPC",325,"R-FPD",380,"Custom Carton","input W"),0)</f>
        <v>input W</v>
      </c>
      <c r="O416" s="51"/>
      <c r="P416" s="51">
        <f>IFERROR(IF(K416="",0,(M416+N416)*2+15),0)</f>
        <v>0</v>
      </c>
      <c r="Q416" s="51">
        <f>IFERROR(IF(K416="",0,(N416+O416)-10),0)</f>
        <v>0</v>
      </c>
      <c r="R416" s="53">
        <f xml:space="preserve"> P416 * Q416 * (1 + 2.5%) / 1000000</f>
        <v>0</v>
      </c>
      <c r="S416" s="125">
        <f>R416*'[4]RFQ_Matalan Carton'!$M$32</f>
        <v>0</v>
      </c>
      <c r="T416" s="124">
        <f>S416</f>
        <v>0</v>
      </c>
      <c r="U416" s="124">
        <f>I416*T416</f>
        <v>0</v>
      </c>
      <c r="V416" s="123">
        <f>((T416*I416)-W416)*7.5%</f>
        <v>0</v>
      </c>
      <c r="W416" s="124">
        <f>S416*I416*10%</f>
        <v>0</v>
      </c>
      <c r="X416" s="113"/>
    </row>
    <row r="417" spans="1:24">
      <c r="A417" s="118"/>
      <c r="B417" s="118"/>
      <c r="C417" s="119"/>
      <c r="D417" s="118"/>
      <c r="E417" s="118"/>
      <c r="F417" s="118"/>
      <c r="G417" s="119"/>
      <c r="H417" s="119"/>
      <c r="I417" s="119"/>
      <c r="J417" s="119" t="s">
        <v>121</v>
      </c>
      <c r="K417" s="119" t="s">
        <v>68</v>
      </c>
      <c r="L417" s="119" t="s">
        <v>109</v>
      </c>
      <c r="M417" s="51" t="str" cm="1">
        <f t="array" ref="M417">IFERROR(_xlfn.SWITCH(L417,"R-FPA",495,"R-FPB",595,"R-FPC",595,"R-FPD",595,"Custom Carton","input L"),0)</f>
        <v>input L</v>
      </c>
      <c r="N417" s="51" t="str" cm="1">
        <f t="array" ref="N417">IFERROR(_xlfn.SWITCH(L417,"R-FPA",285,"R-FPB",285,"R-FPC",325,"R-FPD",380,"Custom Carton","input W"),0)</f>
        <v>input W</v>
      </c>
      <c r="O417" s="51"/>
      <c r="P417" s="51">
        <f>IFERROR(IF(K417="",0,(M417+N417)*2+15),0)</f>
        <v>0</v>
      </c>
      <c r="Q417" s="51">
        <f>IFERROR(IF(K417="",0,(N417+O417)-10),0)</f>
        <v>0</v>
      </c>
      <c r="R417" s="53">
        <f xml:space="preserve"> P417 * Q417 * (1 + 2.5%) / 1000000</f>
        <v>0</v>
      </c>
      <c r="S417" s="125">
        <f>R417*'[4]RFQ_Matalan Carton'!$M$32</f>
        <v>0</v>
      </c>
      <c r="T417" s="124">
        <f>S417</f>
        <v>0</v>
      </c>
      <c r="U417" s="124">
        <f>I417*T417</f>
        <v>0</v>
      </c>
      <c r="V417" s="123">
        <f>((T417*I417)-W417)*7.5%</f>
        <v>0</v>
      </c>
      <c r="W417" s="124">
        <f>S417*I417*10%</f>
        <v>0</v>
      </c>
      <c r="X417" s="113"/>
    </row>
    <row r="418" spans="1:24">
      <c r="A418" s="118"/>
      <c r="B418" s="118"/>
      <c r="C418" s="119"/>
      <c r="D418" s="118"/>
      <c r="E418" s="118"/>
      <c r="F418" s="118"/>
      <c r="G418" s="119"/>
      <c r="H418" s="119"/>
      <c r="I418" s="119"/>
      <c r="J418" s="119" t="s">
        <v>121</v>
      </c>
      <c r="K418" s="119" t="s">
        <v>68</v>
      </c>
      <c r="L418" s="119" t="s">
        <v>109</v>
      </c>
      <c r="M418" s="51" t="str" cm="1">
        <f t="array" ref="M418">IFERROR(_xlfn.SWITCH(L418,"R-FPA",495,"R-FPB",595,"R-FPC",595,"R-FPD",595,"Custom Carton","input L"),0)</f>
        <v>input L</v>
      </c>
      <c r="N418" s="51" t="str" cm="1">
        <f t="array" ref="N418">IFERROR(_xlfn.SWITCH(L418,"R-FPA",285,"R-FPB",285,"R-FPC",325,"R-FPD",380,"Custom Carton","input W"),0)</f>
        <v>input W</v>
      </c>
      <c r="O418" s="51"/>
      <c r="P418" s="51">
        <f>IFERROR(IF(K418="",0,(M418+N418)*2+15),0)</f>
        <v>0</v>
      </c>
      <c r="Q418" s="51">
        <f>IFERROR(IF(K418="",0,(N418+O418)-10),0)</f>
        <v>0</v>
      </c>
      <c r="R418" s="53">
        <f xml:space="preserve"> P418 * Q418 * (1 + 2.5%) / 1000000</f>
        <v>0</v>
      </c>
      <c r="S418" s="125">
        <f>R418*'[4]RFQ_Matalan Carton'!$M$32</f>
        <v>0</v>
      </c>
      <c r="T418" s="124">
        <f>S418</f>
        <v>0</v>
      </c>
      <c r="U418" s="124">
        <f>I418*T418</f>
        <v>0</v>
      </c>
      <c r="V418" s="123">
        <f>((T418*I418)-W418)*7.5%</f>
        <v>0</v>
      </c>
      <c r="W418" s="124">
        <f>S418*I418*10%</f>
        <v>0</v>
      </c>
      <c r="X418" s="113"/>
    </row>
    <row r="419" spans="1:24">
      <c r="A419" s="120"/>
      <c r="B419" s="120"/>
      <c r="C419" s="121"/>
      <c r="D419" s="120"/>
      <c r="E419" s="120"/>
      <c r="F419" s="118"/>
      <c r="G419" s="121"/>
      <c r="H419" s="121"/>
      <c r="I419" s="121"/>
      <c r="J419" s="121" t="s">
        <v>121</v>
      </c>
      <c r="K419" s="121" t="s">
        <v>68</v>
      </c>
      <c r="L419" s="119" t="s">
        <v>109</v>
      </c>
      <c r="M419" s="51" t="str" cm="1">
        <f t="array" ref="M419">IFERROR(_xlfn.SWITCH(L419,"R-FPA",495,"R-FPB",595,"R-FPC",595,"R-FPD",595,"Custom Carton","input L"),0)</f>
        <v>input L</v>
      </c>
      <c r="N419" s="51" t="str" cm="1">
        <f t="array" ref="N419">IFERROR(_xlfn.SWITCH(L419,"R-FPA",285,"R-FPB",285,"R-FPC",325,"R-FPD",380,"Custom Carton","input W"),0)</f>
        <v>input W</v>
      </c>
      <c r="O419" s="51"/>
      <c r="P419" s="51">
        <f>IFERROR(IF(K419="",0,(M419+N419)*2+15),0)</f>
        <v>0</v>
      </c>
      <c r="Q419" s="51">
        <f>IFERROR(IF(K419="",0,(N419+O419)-10),0)</f>
        <v>0</v>
      </c>
      <c r="R419" s="53">
        <f xml:space="preserve"> P419 * Q419 * (1 + 2.5%) / 1000000</f>
        <v>0</v>
      </c>
      <c r="S419" s="125">
        <f>R419*'[4]RFQ_Matalan Carton'!$M$32</f>
        <v>0</v>
      </c>
      <c r="T419" s="124">
        <f>S419</f>
        <v>0</v>
      </c>
      <c r="U419" s="124">
        <f>I419*T419</f>
        <v>0</v>
      </c>
      <c r="V419" s="123">
        <f>((T419*I419)-W419)*7.5%</f>
        <v>0</v>
      </c>
      <c r="W419" s="124">
        <f>S419*I419*10%</f>
        <v>0</v>
      </c>
      <c r="X419" s="113"/>
    </row>
    <row r="420" spans="1:24">
      <c r="A420" s="118"/>
      <c r="B420" s="118"/>
      <c r="C420" s="119"/>
      <c r="D420" s="118"/>
      <c r="E420" s="118"/>
      <c r="F420" s="118"/>
      <c r="G420" s="119"/>
      <c r="H420" s="119"/>
      <c r="I420" s="119"/>
      <c r="J420" s="119" t="s">
        <v>121</v>
      </c>
      <c r="K420" s="119" t="s">
        <v>68</v>
      </c>
      <c r="L420" s="119" t="s">
        <v>109</v>
      </c>
      <c r="M420" s="51" t="str" cm="1">
        <f t="array" ref="M420">IFERROR(_xlfn.SWITCH(L420,"R-FPA",495,"R-FPB",595,"R-FPC",595,"R-FPD",595,"Custom Carton","input L"),0)</f>
        <v>input L</v>
      </c>
      <c r="N420" s="51" t="str" cm="1">
        <f t="array" ref="N420">IFERROR(_xlfn.SWITCH(L420,"R-FPA",285,"R-FPB",285,"R-FPC",325,"R-FPD",380,"Custom Carton","input W"),0)</f>
        <v>input W</v>
      </c>
      <c r="O420" s="51"/>
      <c r="P420" s="51">
        <f>IFERROR(IF(K420="",0,(M420+N420)*2+15),0)</f>
        <v>0</v>
      </c>
      <c r="Q420" s="51">
        <f>IFERROR(IF(K420="",0,(N420+O420)-10),0)</f>
        <v>0</v>
      </c>
      <c r="R420" s="53">
        <f xml:space="preserve"> P420 * Q420 * (1 + 2.5%) / 1000000</f>
        <v>0</v>
      </c>
      <c r="S420" s="125">
        <f>R420*'[4]RFQ_Matalan Carton'!$M$32</f>
        <v>0</v>
      </c>
      <c r="T420" s="124">
        <f>S420</f>
        <v>0</v>
      </c>
      <c r="U420" s="124">
        <f>I420*T420</f>
        <v>0</v>
      </c>
      <c r="V420" s="123">
        <f>((T420*I420)-W420)*7.5%</f>
        <v>0</v>
      </c>
      <c r="W420" s="124">
        <f>S420*I420*10%</f>
        <v>0</v>
      </c>
      <c r="X420" s="113"/>
    </row>
    <row r="421" spans="1:24">
      <c r="A421" s="118"/>
      <c r="B421" s="118"/>
      <c r="C421" s="119"/>
      <c r="D421" s="118"/>
      <c r="E421" s="118"/>
      <c r="F421" s="118"/>
      <c r="G421" s="119"/>
      <c r="H421" s="121"/>
      <c r="I421" s="121"/>
      <c r="J421" s="119" t="s">
        <v>121</v>
      </c>
      <c r="K421" s="119" t="s">
        <v>68</v>
      </c>
      <c r="L421" s="119" t="s">
        <v>109</v>
      </c>
      <c r="M421" s="51" t="str" cm="1">
        <f t="array" ref="M421">IFERROR(_xlfn.SWITCH(L421,"R-FPA",495,"R-FPB",595,"R-FPC",595,"R-FPD",595,"Custom Carton","input L"),0)</f>
        <v>input L</v>
      </c>
      <c r="N421" s="51" t="str" cm="1">
        <f t="array" ref="N421">IFERROR(_xlfn.SWITCH(L421,"R-FPA",285,"R-FPB",285,"R-FPC",325,"R-FPD",380,"Custom Carton","input W"),0)</f>
        <v>input W</v>
      </c>
      <c r="O421" s="51"/>
      <c r="P421" s="51">
        <f>IFERROR(IF(K421="",0,(M421+N421)*2+15),0)</f>
        <v>0</v>
      </c>
      <c r="Q421" s="51">
        <f>IFERROR(IF(K421="",0,(N421+O421)-10),0)</f>
        <v>0</v>
      </c>
      <c r="R421" s="53">
        <f xml:space="preserve"> P421 * Q421 * (1 + 2.5%) / 1000000</f>
        <v>0</v>
      </c>
      <c r="S421" s="125">
        <f>R421*'[4]RFQ_Matalan Carton'!$M$32</f>
        <v>0</v>
      </c>
      <c r="T421" s="124">
        <f>S421</f>
        <v>0</v>
      </c>
      <c r="U421" s="124">
        <f>I421*T421</f>
        <v>0</v>
      </c>
      <c r="V421" s="123">
        <f>((T421*I421)-W421)*7.5%</f>
        <v>0</v>
      </c>
      <c r="W421" s="124">
        <f>S421*I421*10%</f>
        <v>0</v>
      </c>
      <c r="X421" s="113"/>
    </row>
    <row r="422" spans="1:24">
      <c r="A422" s="118"/>
      <c r="B422" s="118"/>
      <c r="C422" s="119"/>
      <c r="D422" s="118"/>
      <c r="E422" s="118"/>
      <c r="F422" s="118"/>
      <c r="G422" s="119"/>
      <c r="H422" s="119"/>
      <c r="I422" s="119"/>
      <c r="J422" s="119" t="s">
        <v>121</v>
      </c>
      <c r="K422" s="119" t="s">
        <v>68</v>
      </c>
      <c r="L422" s="119" t="s">
        <v>109</v>
      </c>
      <c r="M422" s="51" t="str" cm="1">
        <f t="array" ref="M422">IFERROR(_xlfn.SWITCH(L422,"R-FPA",495,"R-FPB",595,"R-FPC",595,"R-FPD",595,"Custom Carton","input L"),0)</f>
        <v>input L</v>
      </c>
      <c r="N422" s="51" t="str" cm="1">
        <f t="array" ref="N422">IFERROR(_xlfn.SWITCH(L422,"R-FPA",285,"R-FPB",285,"R-FPC",325,"R-FPD",380,"Custom Carton","input W"),0)</f>
        <v>input W</v>
      </c>
      <c r="O422" s="51"/>
      <c r="P422" s="51">
        <f>IFERROR(IF(K422="",0,(M422+N422)*2+15),0)</f>
        <v>0</v>
      </c>
      <c r="Q422" s="51">
        <f>IFERROR(IF(K422="",0,(N422+O422)-10),0)</f>
        <v>0</v>
      </c>
      <c r="R422" s="53">
        <f xml:space="preserve"> P422 * Q422 * (1 + 2.5%) / 1000000</f>
        <v>0</v>
      </c>
      <c r="S422" s="125">
        <f>R422*'[4]RFQ_Matalan Carton'!$M$32</f>
        <v>0</v>
      </c>
      <c r="T422" s="124">
        <f>S422</f>
        <v>0</v>
      </c>
      <c r="U422" s="124">
        <f>I422*T422</f>
        <v>0</v>
      </c>
      <c r="V422" s="123">
        <f>((T422*I422)-W422)*7.5%</f>
        <v>0</v>
      </c>
      <c r="W422" s="124">
        <f>S422*I422*10%</f>
        <v>0</v>
      </c>
      <c r="X422" s="113"/>
    </row>
    <row r="423" spans="1:24">
      <c r="A423" s="118"/>
      <c r="B423" s="118"/>
      <c r="C423" s="119"/>
      <c r="D423" s="118"/>
      <c r="E423" s="118"/>
      <c r="F423" s="118"/>
      <c r="G423" s="119"/>
      <c r="H423" s="119"/>
      <c r="I423" s="119"/>
      <c r="J423" s="119" t="s">
        <v>121</v>
      </c>
      <c r="K423" s="119" t="s">
        <v>68</v>
      </c>
      <c r="L423" s="119" t="s">
        <v>109</v>
      </c>
      <c r="M423" s="51" t="str" cm="1">
        <f t="array" ref="M423">IFERROR(_xlfn.SWITCH(L423,"R-FPA",495,"R-FPB",595,"R-FPC",595,"R-FPD",595,"Custom Carton","input L"),0)</f>
        <v>input L</v>
      </c>
      <c r="N423" s="51" t="str" cm="1">
        <f t="array" ref="N423">IFERROR(_xlfn.SWITCH(L423,"R-FPA",285,"R-FPB",285,"R-FPC",325,"R-FPD",380,"Custom Carton","input W"),0)</f>
        <v>input W</v>
      </c>
      <c r="O423" s="51"/>
      <c r="P423" s="51">
        <f>IFERROR(IF(K423="",0,(M423+N423)*2+15),0)</f>
        <v>0</v>
      </c>
      <c r="Q423" s="51">
        <f>IFERROR(IF(K423="",0,(N423+O423)-10),0)</f>
        <v>0</v>
      </c>
      <c r="R423" s="53">
        <f xml:space="preserve"> P423 * Q423 * (1 + 2.5%) / 1000000</f>
        <v>0</v>
      </c>
      <c r="S423" s="125">
        <f>R423*'[4]RFQ_Matalan Carton'!$M$32</f>
        <v>0</v>
      </c>
      <c r="T423" s="124">
        <f>S423</f>
        <v>0</v>
      </c>
      <c r="U423" s="124">
        <f>I423*T423</f>
        <v>0</v>
      </c>
      <c r="V423" s="123">
        <f>((T423*I423)-W423)*7.5%</f>
        <v>0</v>
      </c>
      <c r="W423" s="124">
        <f>S423*I423*10%</f>
        <v>0</v>
      </c>
      <c r="X423" s="113"/>
    </row>
    <row r="424" spans="1:24">
      <c r="A424" s="118"/>
      <c r="B424" s="118"/>
      <c r="C424" s="119"/>
      <c r="D424" s="118"/>
      <c r="E424" s="118"/>
      <c r="F424" s="118"/>
      <c r="G424" s="119"/>
      <c r="H424" s="119"/>
      <c r="I424" s="119"/>
      <c r="J424" s="119" t="s">
        <v>121</v>
      </c>
      <c r="K424" s="119" t="s">
        <v>68</v>
      </c>
      <c r="L424" s="119" t="s">
        <v>109</v>
      </c>
      <c r="M424" s="51" t="str" cm="1">
        <f t="array" ref="M424">IFERROR(_xlfn.SWITCH(L424,"R-FPA",495,"R-FPB",595,"R-FPC",595,"R-FPD",595,"Custom Carton","input L"),0)</f>
        <v>input L</v>
      </c>
      <c r="N424" s="51" t="str" cm="1">
        <f t="array" ref="N424">IFERROR(_xlfn.SWITCH(L424,"R-FPA",285,"R-FPB",285,"R-FPC",325,"R-FPD",380,"Custom Carton","input W"),0)</f>
        <v>input W</v>
      </c>
      <c r="O424" s="51"/>
      <c r="P424" s="51">
        <f>IFERROR(IF(K424="",0,(M424+N424)*2+15),0)</f>
        <v>0</v>
      </c>
      <c r="Q424" s="51">
        <f>IFERROR(IF(K424="",0,(N424+O424)-10),0)</f>
        <v>0</v>
      </c>
      <c r="R424" s="53">
        <f xml:space="preserve"> P424 * Q424 * (1 + 2.5%) / 1000000</f>
        <v>0</v>
      </c>
      <c r="S424" s="125">
        <f>R424*'[4]RFQ_Matalan Carton'!$M$32</f>
        <v>0</v>
      </c>
      <c r="T424" s="124">
        <f>S424</f>
        <v>0</v>
      </c>
      <c r="U424" s="124">
        <f>I424*T424</f>
        <v>0</v>
      </c>
      <c r="V424" s="123">
        <f>((T424*I424)-W424)*7.5%</f>
        <v>0</v>
      </c>
      <c r="W424" s="124">
        <f>S424*I424*10%</f>
        <v>0</v>
      </c>
      <c r="X424" s="113"/>
    </row>
    <row r="425" spans="1:24">
      <c r="A425" s="118"/>
      <c r="B425" s="118"/>
      <c r="C425" s="119"/>
      <c r="D425" s="118"/>
      <c r="E425" s="118"/>
      <c r="F425" s="118"/>
      <c r="G425" s="119"/>
      <c r="H425" s="119"/>
      <c r="I425" s="119"/>
      <c r="J425" s="119" t="s">
        <v>121</v>
      </c>
      <c r="K425" s="119" t="s">
        <v>68</v>
      </c>
      <c r="L425" s="119" t="s">
        <v>109</v>
      </c>
      <c r="M425" s="51" t="str" cm="1">
        <f t="array" ref="M425">IFERROR(_xlfn.SWITCH(L425,"R-FPA",495,"R-FPB",595,"R-FPC",595,"R-FPD",595,"Custom Carton","input L"),0)</f>
        <v>input L</v>
      </c>
      <c r="N425" s="51" t="str" cm="1">
        <f t="array" ref="N425">IFERROR(_xlfn.SWITCH(L425,"R-FPA",285,"R-FPB",285,"R-FPC",325,"R-FPD",380,"Custom Carton","input W"),0)</f>
        <v>input W</v>
      </c>
      <c r="O425" s="51"/>
      <c r="P425" s="51">
        <f>IFERROR(IF(K425="",0,(M425+N425)*2+15),0)</f>
        <v>0</v>
      </c>
      <c r="Q425" s="51">
        <f>IFERROR(IF(K425="",0,(N425+O425)-10),0)</f>
        <v>0</v>
      </c>
      <c r="R425" s="53">
        <f xml:space="preserve"> P425 * Q425 * (1 + 2.5%) / 1000000</f>
        <v>0</v>
      </c>
      <c r="S425" s="125">
        <f>R425*'[4]RFQ_Matalan Carton'!$M$32</f>
        <v>0</v>
      </c>
      <c r="T425" s="124">
        <f>S425</f>
        <v>0</v>
      </c>
      <c r="U425" s="124">
        <f>I425*T425</f>
        <v>0</v>
      </c>
      <c r="V425" s="123">
        <f>((T425*I425)-W425)*7.5%</f>
        <v>0</v>
      </c>
      <c r="W425" s="124">
        <f>S425*I425*10%</f>
        <v>0</v>
      </c>
      <c r="X425" s="113"/>
    </row>
    <row r="426" spans="1:24">
      <c r="A426" s="118"/>
      <c r="B426" s="118"/>
      <c r="C426" s="119"/>
      <c r="D426" s="118"/>
      <c r="E426" s="118"/>
      <c r="F426" s="118"/>
      <c r="G426" s="119"/>
      <c r="H426" s="119"/>
      <c r="I426" s="119"/>
      <c r="J426" s="119" t="s">
        <v>121</v>
      </c>
      <c r="K426" s="119" t="s">
        <v>68</v>
      </c>
      <c r="L426" s="119" t="s">
        <v>109</v>
      </c>
      <c r="M426" s="51" t="str" cm="1">
        <f t="array" ref="M426">IFERROR(_xlfn.SWITCH(L426,"R-FPA",495,"R-FPB",595,"R-FPC",595,"R-FPD",595,"Custom Carton","input L"),0)</f>
        <v>input L</v>
      </c>
      <c r="N426" s="51" t="str" cm="1">
        <f t="array" ref="N426">IFERROR(_xlfn.SWITCH(L426,"R-FPA",285,"R-FPB",285,"R-FPC",325,"R-FPD",380,"Custom Carton","input W"),0)</f>
        <v>input W</v>
      </c>
      <c r="O426" s="51"/>
      <c r="P426" s="51">
        <f>IFERROR(IF(K426="",0,(M426+N426)*2+15),0)</f>
        <v>0</v>
      </c>
      <c r="Q426" s="51">
        <f>IFERROR(IF(K426="",0,(N426+O426)-10),0)</f>
        <v>0</v>
      </c>
      <c r="R426" s="53">
        <f xml:space="preserve"> P426 * Q426 * (1 + 2.5%) / 1000000</f>
        <v>0</v>
      </c>
      <c r="S426" s="125">
        <f>R426*'[4]RFQ_Matalan Carton'!$M$32</f>
        <v>0</v>
      </c>
      <c r="T426" s="124">
        <f>S426</f>
        <v>0</v>
      </c>
      <c r="U426" s="124">
        <f>I426*T426</f>
        <v>0</v>
      </c>
      <c r="V426" s="123">
        <f>((T426*I426)-W426)*7.5%</f>
        <v>0</v>
      </c>
      <c r="W426" s="124">
        <f>S426*I426*10%</f>
        <v>0</v>
      </c>
      <c r="X426" s="113"/>
    </row>
    <row r="427" spans="1:24">
      <c r="A427" s="118"/>
      <c r="B427" s="118"/>
      <c r="C427" s="119"/>
      <c r="D427" s="118"/>
      <c r="E427" s="118"/>
      <c r="F427" s="118"/>
      <c r="G427" s="119"/>
      <c r="H427" s="119"/>
      <c r="I427" s="119"/>
      <c r="J427" s="119" t="s">
        <v>121</v>
      </c>
      <c r="K427" s="119" t="s">
        <v>68</v>
      </c>
      <c r="L427" s="119" t="s">
        <v>109</v>
      </c>
      <c r="M427" s="51" t="str" cm="1">
        <f t="array" ref="M427">IFERROR(_xlfn.SWITCH(L427,"R-FPA",495,"R-FPB",595,"R-FPC",595,"R-FPD",595,"Custom Carton","input L"),0)</f>
        <v>input L</v>
      </c>
      <c r="N427" s="51" t="str" cm="1">
        <f t="array" ref="N427">IFERROR(_xlfn.SWITCH(L427,"R-FPA",285,"R-FPB",285,"R-FPC",325,"R-FPD",380,"Custom Carton","input W"),0)</f>
        <v>input W</v>
      </c>
      <c r="O427" s="51"/>
      <c r="P427" s="51">
        <f>IFERROR(IF(K427="",0,(M427+N427)*2+15),0)</f>
        <v>0</v>
      </c>
      <c r="Q427" s="51">
        <f>IFERROR(IF(K427="",0,(N427+O427)-10),0)</f>
        <v>0</v>
      </c>
      <c r="R427" s="53">
        <f xml:space="preserve"> P427 * Q427 * (1 + 2.5%) / 1000000</f>
        <v>0</v>
      </c>
      <c r="S427" s="125">
        <f>R427*'[4]RFQ_Matalan Carton'!$M$32</f>
        <v>0</v>
      </c>
      <c r="T427" s="124">
        <f>S427</f>
        <v>0</v>
      </c>
      <c r="U427" s="124">
        <f>I427*T427</f>
        <v>0</v>
      </c>
      <c r="V427" s="123">
        <f>((T427*I427)-W427)*7.5%</f>
        <v>0</v>
      </c>
      <c r="W427" s="124">
        <f>S427*I427*10%</f>
        <v>0</v>
      </c>
      <c r="X427" s="113"/>
    </row>
    <row r="428" spans="1:24">
      <c r="A428" s="118"/>
      <c r="B428" s="118"/>
      <c r="C428" s="119"/>
      <c r="D428" s="118"/>
      <c r="E428" s="118"/>
      <c r="F428" s="118"/>
      <c r="G428" s="119"/>
      <c r="H428" s="119"/>
      <c r="I428" s="119"/>
      <c r="J428" s="119" t="s">
        <v>121</v>
      </c>
      <c r="K428" s="119" t="s">
        <v>68</v>
      </c>
      <c r="L428" s="119" t="s">
        <v>109</v>
      </c>
      <c r="M428" s="51" t="str" cm="1">
        <f t="array" ref="M428">IFERROR(_xlfn.SWITCH(L428,"R-FPA",495,"R-FPB",595,"R-FPC",595,"R-FPD",595,"Custom Carton","input L"),0)</f>
        <v>input L</v>
      </c>
      <c r="N428" s="51" t="str" cm="1">
        <f t="array" ref="N428">IFERROR(_xlfn.SWITCH(L428,"R-FPA",285,"R-FPB",285,"R-FPC",325,"R-FPD",380,"Custom Carton","input W"),0)</f>
        <v>input W</v>
      </c>
      <c r="O428" s="51"/>
      <c r="P428" s="51">
        <f>IFERROR(IF(K428="",0,(M428+N428)*2+15),0)</f>
        <v>0</v>
      </c>
      <c r="Q428" s="51">
        <f>IFERROR(IF(K428="",0,(N428+O428)-10),0)</f>
        <v>0</v>
      </c>
      <c r="R428" s="53">
        <f xml:space="preserve"> P428 * Q428 * (1 + 2.5%) / 1000000</f>
        <v>0</v>
      </c>
      <c r="S428" s="125">
        <f>R428*'[4]RFQ_Matalan Carton'!$M$32</f>
        <v>0</v>
      </c>
      <c r="T428" s="124">
        <f>S428</f>
        <v>0</v>
      </c>
      <c r="U428" s="124">
        <f>I428*T428</f>
        <v>0</v>
      </c>
      <c r="V428" s="123">
        <f>((T428*I428)-W428)*7.5%</f>
        <v>0</v>
      </c>
      <c r="W428" s="124">
        <f>S428*I428*10%</f>
        <v>0</v>
      </c>
      <c r="X428" s="113"/>
    </row>
    <row r="429" spans="1:24">
      <c r="A429" s="118"/>
      <c r="B429" s="118"/>
      <c r="C429" s="119"/>
      <c r="D429" s="118"/>
      <c r="E429" s="118"/>
      <c r="F429" s="118"/>
      <c r="G429" s="119"/>
      <c r="H429" s="119"/>
      <c r="I429" s="119"/>
      <c r="J429" s="119" t="s">
        <v>121</v>
      </c>
      <c r="K429" s="119" t="s">
        <v>68</v>
      </c>
      <c r="L429" s="119" t="s">
        <v>109</v>
      </c>
      <c r="M429" s="51" t="str" cm="1">
        <f t="array" ref="M429">IFERROR(_xlfn.SWITCH(L429,"R-FPA",495,"R-FPB",595,"R-FPC",595,"R-FPD",595,"Custom Carton","input L"),0)</f>
        <v>input L</v>
      </c>
      <c r="N429" s="51" t="str" cm="1">
        <f t="array" ref="N429">IFERROR(_xlfn.SWITCH(L429,"R-FPA",285,"R-FPB",285,"R-FPC",325,"R-FPD",380,"Custom Carton","input W"),0)</f>
        <v>input W</v>
      </c>
      <c r="O429" s="51"/>
      <c r="P429" s="51">
        <f>IFERROR(IF(K429="",0,(M429+N429)*2+15),0)</f>
        <v>0</v>
      </c>
      <c r="Q429" s="51">
        <f>IFERROR(IF(K429="",0,(N429+O429)-10),0)</f>
        <v>0</v>
      </c>
      <c r="R429" s="53">
        <f xml:space="preserve"> P429 * Q429 * (1 + 2.5%) / 1000000</f>
        <v>0</v>
      </c>
      <c r="S429" s="125">
        <f>R429*'[4]RFQ_Matalan Carton'!$M$32</f>
        <v>0</v>
      </c>
      <c r="T429" s="124">
        <f>S429</f>
        <v>0</v>
      </c>
      <c r="U429" s="124">
        <f>I429*T429</f>
        <v>0</v>
      </c>
      <c r="V429" s="123">
        <f>((T429*I429)-W429)*7.5%</f>
        <v>0</v>
      </c>
      <c r="W429" s="124">
        <f>S429*I429*10%</f>
        <v>0</v>
      </c>
      <c r="X429" s="113"/>
    </row>
    <row r="430" spans="1:24">
      <c r="A430" s="118"/>
      <c r="B430" s="118"/>
      <c r="C430" s="119"/>
      <c r="D430" s="118"/>
      <c r="E430" s="118"/>
      <c r="F430" s="118"/>
      <c r="G430" s="119"/>
      <c r="H430" s="119"/>
      <c r="I430" s="119"/>
      <c r="J430" s="119" t="s">
        <v>121</v>
      </c>
      <c r="K430" s="119" t="s">
        <v>68</v>
      </c>
      <c r="L430" s="119" t="s">
        <v>109</v>
      </c>
      <c r="M430" s="51" t="str" cm="1">
        <f t="array" ref="M430">IFERROR(_xlfn.SWITCH(L430,"R-FPA",495,"R-FPB",595,"R-FPC",595,"R-FPD",595,"Custom Carton","input L"),0)</f>
        <v>input L</v>
      </c>
      <c r="N430" s="51" t="str" cm="1">
        <f t="array" ref="N430">IFERROR(_xlfn.SWITCH(L430,"R-FPA",285,"R-FPB",285,"R-FPC",325,"R-FPD",380,"Custom Carton","input W"),0)</f>
        <v>input W</v>
      </c>
      <c r="O430" s="51"/>
      <c r="P430" s="51">
        <f>IFERROR(IF(K430="",0,(M430+N430)*2+15),0)</f>
        <v>0</v>
      </c>
      <c r="Q430" s="51">
        <f>IFERROR(IF(K430="",0,(N430+O430)-10),0)</f>
        <v>0</v>
      </c>
      <c r="R430" s="53">
        <f xml:space="preserve"> P430 * Q430 * (1 + 2.5%) / 1000000</f>
        <v>0</v>
      </c>
      <c r="S430" s="125">
        <f>R430*'[4]RFQ_Matalan Carton'!$M$32</f>
        <v>0</v>
      </c>
      <c r="T430" s="124">
        <f>S430</f>
        <v>0</v>
      </c>
      <c r="U430" s="124">
        <f>I430*T430</f>
        <v>0</v>
      </c>
      <c r="V430" s="123">
        <f>((T430*I430)-W430)*7.5%</f>
        <v>0</v>
      </c>
      <c r="W430" s="124">
        <f>S430*I430*10%</f>
        <v>0</v>
      </c>
      <c r="X430" s="113"/>
    </row>
    <row r="431" spans="1:24">
      <c r="A431" s="118"/>
      <c r="B431" s="118"/>
      <c r="C431" s="119"/>
      <c r="D431" s="118"/>
      <c r="E431" s="118"/>
      <c r="F431" s="118"/>
      <c r="G431" s="119"/>
      <c r="H431" s="119"/>
      <c r="I431" s="119"/>
      <c r="J431" s="119" t="s">
        <v>121</v>
      </c>
      <c r="K431" s="119" t="s">
        <v>68</v>
      </c>
      <c r="L431" s="119" t="s">
        <v>109</v>
      </c>
      <c r="M431" s="51" t="str" cm="1">
        <f t="array" ref="M431">IFERROR(_xlfn.SWITCH(L431,"R-FPA",495,"R-FPB",595,"R-FPC",595,"R-FPD",595,"Custom Carton","input L"),0)</f>
        <v>input L</v>
      </c>
      <c r="N431" s="51" t="str" cm="1">
        <f t="array" ref="N431">IFERROR(_xlfn.SWITCH(L431,"R-FPA",285,"R-FPB",285,"R-FPC",325,"R-FPD",380,"Custom Carton","input W"),0)</f>
        <v>input W</v>
      </c>
      <c r="O431" s="51"/>
      <c r="P431" s="51">
        <f>IFERROR(IF(K431="",0,(M431+N431)*2+15),0)</f>
        <v>0</v>
      </c>
      <c r="Q431" s="51">
        <f>IFERROR(IF(K431="",0,(N431+O431)-10),0)</f>
        <v>0</v>
      </c>
      <c r="R431" s="53">
        <f xml:space="preserve"> P431 * Q431 * (1 + 2.5%) / 1000000</f>
        <v>0</v>
      </c>
      <c r="S431" s="125">
        <f>R431*'[4]RFQ_Matalan Carton'!$M$32</f>
        <v>0</v>
      </c>
      <c r="T431" s="124">
        <f>S431</f>
        <v>0</v>
      </c>
      <c r="U431" s="124">
        <f>I431*T431</f>
        <v>0</v>
      </c>
      <c r="V431" s="123">
        <f>((T431*I431)-W431)*7.5%</f>
        <v>0</v>
      </c>
      <c r="W431" s="124">
        <f>S431*I431*10%</f>
        <v>0</v>
      </c>
      <c r="X431" s="113"/>
    </row>
    <row r="432" spans="1:24">
      <c r="A432" s="118"/>
      <c r="B432" s="118"/>
      <c r="C432" s="119"/>
      <c r="D432" s="118"/>
      <c r="E432" s="118"/>
      <c r="F432" s="118"/>
      <c r="G432" s="119"/>
      <c r="H432" s="119"/>
      <c r="I432" s="119"/>
      <c r="J432" s="119" t="s">
        <v>121</v>
      </c>
      <c r="K432" s="119" t="s">
        <v>68</v>
      </c>
      <c r="L432" s="119" t="s">
        <v>109</v>
      </c>
      <c r="M432" s="51" t="str" cm="1">
        <f t="array" ref="M432">IFERROR(_xlfn.SWITCH(L432,"R-FPA",495,"R-FPB",595,"R-FPC",595,"R-FPD",595,"Custom Carton","input L"),0)</f>
        <v>input L</v>
      </c>
      <c r="N432" s="51" t="str" cm="1">
        <f t="array" ref="N432">IFERROR(_xlfn.SWITCH(L432,"R-FPA",285,"R-FPB",285,"R-FPC",325,"R-FPD",380,"Custom Carton","input W"),0)</f>
        <v>input W</v>
      </c>
      <c r="O432" s="51"/>
      <c r="P432" s="51">
        <f>IFERROR(IF(K432="",0,(M432+N432)*2+15),0)</f>
        <v>0</v>
      </c>
      <c r="Q432" s="51">
        <f>IFERROR(IF(K432="",0,(N432+O432)-10),0)</f>
        <v>0</v>
      </c>
      <c r="R432" s="53">
        <f xml:space="preserve"> P432 * Q432 * (1 + 2.5%) / 1000000</f>
        <v>0</v>
      </c>
      <c r="S432" s="125">
        <f>R432*'[4]RFQ_Matalan Carton'!$M$32</f>
        <v>0</v>
      </c>
      <c r="T432" s="124">
        <f>S432</f>
        <v>0</v>
      </c>
      <c r="U432" s="124">
        <f>I432*T432</f>
        <v>0</v>
      </c>
      <c r="V432" s="123">
        <f>((T432*I432)-W432)*7.5%</f>
        <v>0</v>
      </c>
      <c r="W432" s="124">
        <f>S432*I432*10%</f>
        <v>0</v>
      </c>
      <c r="X432" s="113"/>
    </row>
    <row r="433" spans="1:24">
      <c r="A433" s="118"/>
      <c r="B433" s="118"/>
      <c r="C433" s="119"/>
      <c r="D433" s="118"/>
      <c r="E433" s="118"/>
      <c r="F433" s="118"/>
      <c r="G433" s="119"/>
      <c r="H433" s="119"/>
      <c r="I433" s="119"/>
      <c r="J433" s="119" t="s">
        <v>121</v>
      </c>
      <c r="K433" s="119" t="s">
        <v>68</v>
      </c>
      <c r="L433" s="119" t="s">
        <v>109</v>
      </c>
      <c r="M433" s="51" t="str" cm="1">
        <f t="array" ref="M433">IFERROR(_xlfn.SWITCH(L433,"R-FPA",495,"R-FPB",595,"R-FPC",595,"R-FPD",595,"Custom Carton","input L"),0)</f>
        <v>input L</v>
      </c>
      <c r="N433" s="51" t="str" cm="1">
        <f t="array" ref="N433">IFERROR(_xlfn.SWITCH(L433,"R-FPA",285,"R-FPB",285,"R-FPC",325,"R-FPD",380,"Custom Carton","input W"),0)</f>
        <v>input W</v>
      </c>
      <c r="O433" s="51"/>
      <c r="P433" s="51">
        <f>IFERROR(IF(K433="",0,(M433+N433)*2+15),0)</f>
        <v>0</v>
      </c>
      <c r="Q433" s="51">
        <f>IFERROR(IF(K433="",0,(N433+O433)-10),0)</f>
        <v>0</v>
      </c>
      <c r="R433" s="53">
        <f xml:space="preserve"> P433 * Q433 * (1 + 2.5%) / 1000000</f>
        <v>0</v>
      </c>
      <c r="S433" s="125">
        <f>R433*'[4]RFQ_Matalan Carton'!$M$32</f>
        <v>0</v>
      </c>
      <c r="T433" s="124">
        <f>S433</f>
        <v>0</v>
      </c>
      <c r="U433" s="124">
        <f>I433*T433</f>
        <v>0</v>
      </c>
      <c r="V433" s="123">
        <f>((T433*I433)-W433)*7.5%</f>
        <v>0</v>
      </c>
      <c r="W433" s="124">
        <f>S433*I433*10%</f>
        <v>0</v>
      </c>
      <c r="X433" s="113"/>
    </row>
    <row r="434" spans="1:24">
      <c r="A434" s="118"/>
      <c r="B434" s="118"/>
      <c r="C434" s="119"/>
      <c r="D434" s="118"/>
      <c r="E434" s="118"/>
      <c r="F434" s="118"/>
      <c r="G434" s="121"/>
      <c r="H434" s="121"/>
      <c r="I434" s="121"/>
      <c r="J434" s="119" t="s">
        <v>121</v>
      </c>
      <c r="K434" s="119" t="s">
        <v>68</v>
      </c>
      <c r="L434" s="119" t="s">
        <v>109</v>
      </c>
      <c r="M434" s="51" t="str" cm="1">
        <f t="array" ref="M434">IFERROR(_xlfn.SWITCH(L434,"R-FPA",495,"R-FPB",595,"R-FPC",595,"R-FPD",595,"Custom Carton","input L"),0)</f>
        <v>input L</v>
      </c>
      <c r="N434" s="51" t="str" cm="1">
        <f t="array" ref="N434">IFERROR(_xlfn.SWITCH(L434,"R-FPA",285,"R-FPB",285,"R-FPC",325,"R-FPD",380,"Custom Carton","input W"),0)</f>
        <v>input W</v>
      </c>
      <c r="O434" s="51"/>
      <c r="P434" s="51">
        <f>IFERROR(IF(K434="",0,(M434+N434)*2+15),0)</f>
        <v>0</v>
      </c>
      <c r="Q434" s="51">
        <f>IFERROR(IF(K434="",0,(N434+O434)-10),0)</f>
        <v>0</v>
      </c>
      <c r="R434" s="53">
        <f xml:space="preserve"> P434 * Q434 * (1 + 2.5%) / 1000000</f>
        <v>0</v>
      </c>
      <c r="S434" s="125">
        <f>R434*'[4]RFQ_Matalan Carton'!$M$32</f>
        <v>0</v>
      </c>
      <c r="T434" s="124">
        <f>S434</f>
        <v>0</v>
      </c>
      <c r="U434" s="124">
        <f>I434*T434</f>
        <v>0</v>
      </c>
      <c r="V434" s="123">
        <f>((T434*I434)-W434)*7.5%</f>
        <v>0</v>
      </c>
      <c r="W434" s="124">
        <f>S434*I434*10%</f>
        <v>0</v>
      </c>
      <c r="X434" s="113"/>
    </row>
    <row r="435" spans="1:24">
      <c r="A435" s="118"/>
      <c r="B435" s="118"/>
      <c r="C435" s="119"/>
      <c r="D435" s="118"/>
      <c r="E435" s="118"/>
      <c r="F435" s="118"/>
      <c r="G435" s="119"/>
      <c r="H435" s="119"/>
      <c r="I435" s="119"/>
      <c r="J435" s="119" t="s">
        <v>121</v>
      </c>
      <c r="K435" s="119" t="s">
        <v>68</v>
      </c>
      <c r="L435" s="119" t="s">
        <v>109</v>
      </c>
      <c r="M435" s="51" t="str" cm="1">
        <f t="array" ref="M435">IFERROR(_xlfn.SWITCH(L435,"R-FPA",495,"R-FPB",595,"R-FPC",595,"R-FPD",595,"Custom Carton","input L"),0)</f>
        <v>input L</v>
      </c>
      <c r="N435" s="51" t="str" cm="1">
        <f t="array" ref="N435">IFERROR(_xlfn.SWITCH(L435,"R-FPA",285,"R-FPB",285,"R-FPC",325,"R-FPD",380,"Custom Carton","input W"),0)</f>
        <v>input W</v>
      </c>
      <c r="O435" s="51"/>
      <c r="P435" s="51">
        <f>IFERROR(IF(K435="",0,(M435+N435)*2+15),0)</f>
        <v>0</v>
      </c>
      <c r="Q435" s="51">
        <f>IFERROR(IF(K435="",0,(N435+O435)-10),0)</f>
        <v>0</v>
      </c>
      <c r="R435" s="53">
        <f xml:space="preserve"> P435 * Q435 * (1 + 2.5%) / 1000000</f>
        <v>0</v>
      </c>
      <c r="S435" s="125">
        <f>R435*'[4]RFQ_Matalan Carton'!$M$32</f>
        <v>0</v>
      </c>
      <c r="T435" s="124">
        <f>S435</f>
        <v>0</v>
      </c>
      <c r="U435" s="124">
        <f>I435*T435</f>
        <v>0</v>
      </c>
      <c r="V435" s="123">
        <f>((T435*I435)-W435)*7.5%</f>
        <v>0</v>
      </c>
      <c r="W435" s="124">
        <f>S435*I435*10%</f>
        <v>0</v>
      </c>
      <c r="X435" s="113"/>
    </row>
    <row r="436" spans="1:24">
      <c r="A436" s="118"/>
      <c r="B436" s="118"/>
      <c r="C436" s="119"/>
      <c r="D436" s="118"/>
      <c r="E436" s="118"/>
      <c r="F436" s="118"/>
      <c r="G436" s="119"/>
      <c r="H436" s="119"/>
      <c r="I436" s="119"/>
      <c r="J436" s="119" t="s">
        <v>121</v>
      </c>
      <c r="K436" s="119" t="s">
        <v>68</v>
      </c>
      <c r="L436" s="119" t="s">
        <v>109</v>
      </c>
      <c r="M436" s="51" t="str" cm="1">
        <f t="array" ref="M436">IFERROR(_xlfn.SWITCH(L436,"R-FPA",495,"R-FPB",595,"R-FPC",595,"R-FPD",595,"Custom Carton","input L"),0)</f>
        <v>input L</v>
      </c>
      <c r="N436" s="51" t="str" cm="1">
        <f t="array" ref="N436">IFERROR(_xlfn.SWITCH(L436,"R-FPA",285,"R-FPB",285,"R-FPC",325,"R-FPD",380,"Custom Carton","input W"),0)</f>
        <v>input W</v>
      </c>
      <c r="O436" s="51"/>
      <c r="P436" s="51">
        <f>IFERROR(IF(K436="",0,(M436+N436)*2+15),0)</f>
        <v>0</v>
      </c>
      <c r="Q436" s="51">
        <f>IFERROR(IF(K436="",0,(N436+O436)-10),0)</f>
        <v>0</v>
      </c>
      <c r="R436" s="53">
        <f xml:space="preserve"> P436 * Q436 * (1 + 2.5%) / 1000000</f>
        <v>0</v>
      </c>
      <c r="S436" s="125">
        <f>R436*'[4]RFQ_Matalan Carton'!$M$32</f>
        <v>0</v>
      </c>
      <c r="T436" s="124">
        <f>S436</f>
        <v>0</v>
      </c>
      <c r="U436" s="124">
        <f>I436*T436</f>
        <v>0</v>
      </c>
      <c r="V436" s="123">
        <f>((T436*I436)-W436)*7.5%</f>
        <v>0</v>
      </c>
      <c r="W436" s="124">
        <f>S436*I436*10%</f>
        <v>0</v>
      </c>
      <c r="X436" s="113"/>
    </row>
    <row r="437" spans="1:24">
      <c r="A437" s="118"/>
      <c r="B437" s="118"/>
      <c r="C437" s="119"/>
      <c r="D437" s="118"/>
      <c r="E437" s="118"/>
      <c r="F437" s="118"/>
      <c r="G437" s="119"/>
      <c r="H437" s="119"/>
      <c r="I437" s="119"/>
      <c r="J437" s="119" t="s">
        <v>121</v>
      </c>
      <c r="K437" s="119" t="s">
        <v>68</v>
      </c>
      <c r="L437" s="119" t="s">
        <v>109</v>
      </c>
      <c r="M437" s="51" t="str" cm="1">
        <f t="array" ref="M437">IFERROR(_xlfn.SWITCH(L437,"R-FPA",495,"R-FPB",595,"R-FPC",595,"R-FPD",595,"Custom Carton","input L"),0)</f>
        <v>input L</v>
      </c>
      <c r="N437" s="51" t="str" cm="1">
        <f t="array" ref="N437">IFERROR(_xlfn.SWITCH(L437,"R-FPA",285,"R-FPB",285,"R-FPC",325,"R-FPD",380,"Custom Carton","input W"),0)</f>
        <v>input W</v>
      </c>
      <c r="O437" s="51"/>
      <c r="P437" s="51">
        <f>IFERROR(IF(K437="",0,(M437+N437)*2+15),0)</f>
        <v>0</v>
      </c>
      <c r="Q437" s="51">
        <f>IFERROR(IF(K437="",0,(N437+O437)-10),0)</f>
        <v>0</v>
      </c>
      <c r="R437" s="53">
        <f xml:space="preserve"> P437 * Q437 * (1 + 2.5%) / 1000000</f>
        <v>0</v>
      </c>
      <c r="S437" s="125">
        <f>R437*'[4]RFQ_Matalan Carton'!$M$32</f>
        <v>0</v>
      </c>
      <c r="T437" s="124">
        <f>S437</f>
        <v>0</v>
      </c>
      <c r="U437" s="124">
        <f>I437*T437</f>
        <v>0</v>
      </c>
      <c r="V437" s="123">
        <f>((T437*I437)-W437)*7.5%</f>
        <v>0</v>
      </c>
      <c r="W437" s="124">
        <f>S437*I437*10%</f>
        <v>0</v>
      </c>
      <c r="X437" s="113"/>
    </row>
    <row r="438" spans="1:24">
      <c r="A438" s="118"/>
      <c r="B438" s="118"/>
      <c r="C438" s="119"/>
      <c r="D438" s="118"/>
      <c r="E438" s="118"/>
      <c r="F438" s="118"/>
      <c r="G438" s="119"/>
      <c r="H438" s="119"/>
      <c r="I438" s="119"/>
      <c r="J438" s="119" t="s">
        <v>121</v>
      </c>
      <c r="K438" s="119" t="s">
        <v>68</v>
      </c>
      <c r="L438" s="119" t="s">
        <v>109</v>
      </c>
      <c r="M438" s="51" t="str" cm="1">
        <f t="array" ref="M438">IFERROR(_xlfn.SWITCH(L438,"R-FPA",495,"R-FPB",595,"R-FPC",595,"R-FPD",595,"Custom Carton","input L"),0)</f>
        <v>input L</v>
      </c>
      <c r="N438" s="51" t="str" cm="1">
        <f t="array" ref="N438">IFERROR(_xlfn.SWITCH(L438,"R-FPA",285,"R-FPB",285,"R-FPC",325,"R-FPD",380,"Custom Carton","input W"),0)</f>
        <v>input W</v>
      </c>
      <c r="O438" s="51"/>
      <c r="P438" s="51">
        <f>IFERROR(IF(K438="",0,(M438+N438)*2+15),0)</f>
        <v>0</v>
      </c>
      <c r="Q438" s="51">
        <f>IFERROR(IF(K438="",0,(N438+O438)-10),0)</f>
        <v>0</v>
      </c>
      <c r="R438" s="53">
        <f xml:space="preserve"> P438 * Q438 * (1 + 2.5%) / 1000000</f>
        <v>0</v>
      </c>
      <c r="S438" s="125">
        <f>R438*'[4]RFQ_Matalan Carton'!$M$32</f>
        <v>0</v>
      </c>
      <c r="T438" s="124">
        <f>S438</f>
        <v>0</v>
      </c>
      <c r="U438" s="124">
        <f>I438*T438</f>
        <v>0</v>
      </c>
      <c r="V438" s="123">
        <f>((T438*I438)-W438)*7.5%</f>
        <v>0</v>
      </c>
      <c r="W438" s="124">
        <f>S438*I438*10%</f>
        <v>0</v>
      </c>
      <c r="X438" s="113"/>
    </row>
    <row r="439" spans="1:24">
      <c r="A439" s="118"/>
      <c r="B439" s="118"/>
      <c r="C439" s="119"/>
      <c r="D439" s="118"/>
      <c r="E439" s="118"/>
      <c r="F439" s="118"/>
      <c r="G439" s="119"/>
      <c r="H439" s="119"/>
      <c r="I439" s="119"/>
      <c r="J439" s="119" t="s">
        <v>121</v>
      </c>
      <c r="K439" s="119" t="s">
        <v>68</v>
      </c>
      <c r="L439" s="119" t="s">
        <v>109</v>
      </c>
      <c r="M439" s="51" t="str" cm="1">
        <f t="array" ref="M439">IFERROR(_xlfn.SWITCH(L439,"R-FPA",495,"R-FPB",595,"R-FPC",595,"R-FPD",595,"Custom Carton","input L"),0)</f>
        <v>input L</v>
      </c>
      <c r="N439" s="51" t="str" cm="1">
        <f t="array" ref="N439">IFERROR(_xlfn.SWITCH(L439,"R-FPA",285,"R-FPB",285,"R-FPC",325,"R-FPD",380,"Custom Carton","input W"),0)</f>
        <v>input W</v>
      </c>
      <c r="O439" s="51"/>
      <c r="P439" s="51">
        <f>IFERROR(IF(K439="",0,(M439+N439)*2+15),0)</f>
        <v>0</v>
      </c>
      <c r="Q439" s="51">
        <f>IFERROR(IF(K439="",0,(N439+O439)-10),0)</f>
        <v>0</v>
      </c>
      <c r="R439" s="53">
        <f xml:space="preserve"> P439 * Q439 * (1 + 2.5%) / 1000000</f>
        <v>0</v>
      </c>
      <c r="S439" s="125">
        <f>R439*'[4]RFQ_Matalan Carton'!$M$32</f>
        <v>0</v>
      </c>
      <c r="T439" s="124">
        <f>S439</f>
        <v>0</v>
      </c>
      <c r="U439" s="124">
        <f>I439*T439</f>
        <v>0</v>
      </c>
      <c r="V439" s="123">
        <f>((T439*I439)-W439)*7.5%</f>
        <v>0</v>
      </c>
      <c r="W439" s="124">
        <f>S439*I439*10%</f>
        <v>0</v>
      </c>
      <c r="X439" s="113"/>
    </row>
    <row r="440" spans="1:24">
      <c r="A440" s="118"/>
      <c r="B440" s="118"/>
      <c r="C440" s="119"/>
      <c r="D440" s="118"/>
      <c r="E440" s="118"/>
      <c r="F440" s="118"/>
      <c r="G440" s="119"/>
      <c r="H440" s="119"/>
      <c r="I440" s="119"/>
      <c r="J440" s="119" t="s">
        <v>121</v>
      </c>
      <c r="K440" s="119" t="s">
        <v>68</v>
      </c>
      <c r="L440" s="119" t="s">
        <v>109</v>
      </c>
      <c r="M440" s="51" t="str" cm="1">
        <f t="array" ref="M440">IFERROR(_xlfn.SWITCH(L440,"R-FPA",495,"R-FPB",595,"R-FPC",595,"R-FPD",595,"Custom Carton","input L"),0)</f>
        <v>input L</v>
      </c>
      <c r="N440" s="51" t="str" cm="1">
        <f t="array" ref="N440">IFERROR(_xlfn.SWITCH(L440,"R-FPA",285,"R-FPB",285,"R-FPC",325,"R-FPD",380,"Custom Carton","input W"),0)</f>
        <v>input W</v>
      </c>
      <c r="O440" s="51"/>
      <c r="P440" s="51">
        <f>IFERROR(IF(K440="",0,(M440+N440)*2+15),0)</f>
        <v>0</v>
      </c>
      <c r="Q440" s="51">
        <f>IFERROR(IF(K440="",0,(N440+O440)-10),0)</f>
        <v>0</v>
      </c>
      <c r="R440" s="53">
        <f xml:space="preserve"> P440 * Q440 * (1 + 2.5%) / 1000000</f>
        <v>0</v>
      </c>
      <c r="S440" s="125">
        <f>R440*'[4]RFQ_Matalan Carton'!$M$32</f>
        <v>0</v>
      </c>
      <c r="T440" s="124">
        <f>S440</f>
        <v>0</v>
      </c>
      <c r="U440" s="124">
        <f>I440*T440</f>
        <v>0</v>
      </c>
      <c r="V440" s="123">
        <f>((T440*I440)-W440)*7.5%</f>
        <v>0</v>
      </c>
      <c r="W440" s="124">
        <f>S440*I440*10%</f>
        <v>0</v>
      </c>
      <c r="X440" s="113"/>
    </row>
    <row r="441" spans="1:24">
      <c r="A441" s="118"/>
      <c r="B441" s="118"/>
      <c r="C441" s="119"/>
      <c r="D441" s="118"/>
      <c r="E441" s="118"/>
      <c r="F441" s="118"/>
      <c r="G441" s="119"/>
      <c r="H441" s="119"/>
      <c r="I441" s="119"/>
      <c r="J441" s="119" t="s">
        <v>121</v>
      </c>
      <c r="K441" s="119" t="s">
        <v>68</v>
      </c>
      <c r="L441" s="119" t="s">
        <v>109</v>
      </c>
      <c r="M441" s="51" t="str" cm="1">
        <f t="array" ref="M441">IFERROR(_xlfn.SWITCH(L441,"R-FPA",495,"R-FPB",595,"R-FPC",595,"R-FPD",595,"Custom Carton","input L"),0)</f>
        <v>input L</v>
      </c>
      <c r="N441" s="51" t="str" cm="1">
        <f t="array" ref="N441">IFERROR(_xlfn.SWITCH(L441,"R-FPA",285,"R-FPB",285,"R-FPC",325,"R-FPD",380,"Custom Carton","input W"),0)</f>
        <v>input W</v>
      </c>
      <c r="O441" s="51"/>
      <c r="P441" s="51">
        <f>IFERROR(IF(K441="",0,(M441+N441)*2+15),0)</f>
        <v>0</v>
      </c>
      <c r="Q441" s="51">
        <f>IFERROR(IF(K441="",0,(N441+O441)-10),0)</f>
        <v>0</v>
      </c>
      <c r="R441" s="53">
        <f xml:space="preserve"> P441 * Q441 * (1 + 2.5%) / 1000000</f>
        <v>0</v>
      </c>
      <c r="S441" s="125">
        <f>R441*'[4]RFQ_Matalan Carton'!$M$32</f>
        <v>0</v>
      </c>
      <c r="T441" s="124">
        <f>S441</f>
        <v>0</v>
      </c>
      <c r="U441" s="124">
        <f>I441*T441</f>
        <v>0</v>
      </c>
      <c r="V441" s="123">
        <f>((T441*I441)-W441)*7.5%</f>
        <v>0</v>
      </c>
      <c r="W441" s="124">
        <f>S441*I441*10%</f>
        <v>0</v>
      </c>
      <c r="X441" s="113"/>
    </row>
    <row r="442" spans="1:24">
      <c r="A442" s="118"/>
      <c r="B442" s="118"/>
      <c r="C442" s="119"/>
      <c r="D442" s="118"/>
      <c r="E442" s="118"/>
      <c r="F442" s="118"/>
      <c r="G442" s="119"/>
      <c r="H442" s="119"/>
      <c r="I442" s="119"/>
      <c r="J442" s="119" t="s">
        <v>121</v>
      </c>
      <c r="K442" s="119" t="s">
        <v>68</v>
      </c>
      <c r="L442" s="119" t="s">
        <v>109</v>
      </c>
      <c r="M442" s="51" t="str" cm="1">
        <f t="array" ref="M442">IFERROR(_xlfn.SWITCH(L442,"R-FPA",495,"R-FPB",595,"R-FPC",595,"R-FPD",595,"Custom Carton","input L"),0)</f>
        <v>input L</v>
      </c>
      <c r="N442" s="51" t="str" cm="1">
        <f t="array" ref="N442">IFERROR(_xlfn.SWITCH(L442,"R-FPA",285,"R-FPB",285,"R-FPC",325,"R-FPD",380,"Custom Carton","input W"),0)</f>
        <v>input W</v>
      </c>
      <c r="O442" s="51"/>
      <c r="P442" s="51">
        <f>IFERROR(IF(K442="",0,(M442+N442)*2+15),0)</f>
        <v>0</v>
      </c>
      <c r="Q442" s="51">
        <f>IFERROR(IF(K442="",0,(N442+O442)-10),0)</f>
        <v>0</v>
      </c>
      <c r="R442" s="53">
        <f xml:space="preserve"> P442 * Q442 * (1 + 2.5%) / 1000000</f>
        <v>0</v>
      </c>
      <c r="S442" s="125">
        <f>R442*'[4]RFQ_Matalan Carton'!$M$32</f>
        <v>0</v>
      </c>
      <c r="T442" s="124">
        <f>S442</f>
        <v>0</v>
      </c>
      <c r="U442" s="124">
        <f>I442*T442</f>
        <v>0</v>
      </c>
      <c r="V442" s="123">
        <f>((T442*I442)-W442)*7.5%</f>
        <v>0</v>
      </c>
      <c r="W442" s="124">
        <f>S442*I442*10%</f>
        <v>0</v>
      </c>
      <c r="X442" s="113"/>
    </row>
    <row r="443" spans="1:24">
      <c r="A443" s="118"/>
      <c r="B443" s="118"/>
      <c r="C443" s="119"/>
      <c r="D443" s="118"/>
      <c r="E443" s="118"/>
      <c r="F443" s="118"/>
      <c r="G443" s="119"/>
      <c r="H443" s="119"/>
      <c r="I443" s="119"/>
      <c r="J443" s="119" t="s">
        <v>121</v>
      </c>
      <c r="K443" s="119" t="s">
        <v>68</v>
      </c>
      <c r="L443" s="119" t="s">
        <v>109</v>
      </c>
      <c r="M443" s="51" t="str" cm="1">
        <f t="array" ref="M443">IFERROR(_xlfn.SWITCH(L443,"R-FPA",495,"R-FPB",595,"R-FPC",595,"R-FPD",595,"Custom Carton","input L"),0)</f>
        <v>input L</v>
      </c>
      <c r="N443" s="51" t="str" cm="1">
        <f t="array" ref="N443">IFERROR(_xlfn.SWITCH(L443,"R-FPA",285,"R-FPB",285,"R-FPC",325,"R-FPD",380,"Custom Carton","input W"),0)</f>
        <v>input W</v>
      </c>
      <c r="O443" s="51"/>
      <c r="P443" s="51">
        <f>IFERROR(IF(K443="",0,(M443+N443)*2+15),0)</f>
        <v>0</v>
      </c>
      <c r="Q443" s="51">
        <f>IFERROR(IF(K443="",0,(N443+O443)-10),0)</f>
        <v>0</v>
      </c>
      <c r="R443" s="53">
        <f xml:space="preserve"> P443 * Q443 * (1 + 2.5%) / 1000000</f>
        <v>0</v>
      </c>
      <c r="S443" s="125">
        <f>R443*'[4]RFQ_Matalan Carton'!$M$32</f>
        <v>0</v>
      </c>
      <c r="T443" s="124">
        <f>S443</f>
        <v>0</v>
      </c>
      <c r="U443" s="124">
        <f>I443*T443</f>
        <v>0</v>
      </c>
      <c r="V443" s="123">
        <f>((T443*I443)-W443)*7.5%</f>
        <v>0</v>
      </c>
      <c r="W443" s="124">
        <f>S443*I443*10%</f>
        <v>0</v>
      </c>
      <c r="X443" s="113"/>
    </row>
    <row r="444" spans="1:24">
      <c r="A444" s="103"/>
      <c r="B444" s="103"/>
      <c r="C444" s="105"/>
      <c r="D444" s="103"/>
      <c r="E444" s="103"/>
      <c r="F444" s="103"/>
      <c r="G444" s="105"/>
      <c r="H444" s="105"/>
      <c r="I444" s="105"/>
      <c r="J444" s="105"/>
      <c r="K444" s="105"/>
      <c r="L444" s="105"/>
      <c r="M444" s="107" cm="1">
        <f t="array" ref="M444">IFERROR(_xlfn.SWITCH(L444,"R-FPA",495,"R-FPB",595,"R-FPC",595,"R-FPD",595,"Custom Carton","input L"),0)</f>
        <v>0</v>
      </c>
      <c r="N444" s="107" cm="1">
        <f t="array" ref="N444">IFERROR(_xlfn.SWITCH(L444,"R-FPA",285,"R-FPB",285,"R-FPC",325,"R-FPD",380,"Custom Carton","input W"),0)</f>
        <v>0</v>
      </c>
      <c r="O444" s="107" cm="1">
        <f t="array" ref="O444">IFERROR(_xlfn.SWITCH(L444,"R-FPA","input H","R-FPB","input H","R-FPC","input H","R-FPD","input H","Custom Carton","input H"),0)</f>
        <v>0</v>
      </c>
      <c r="P444" s="107">
        <f>IFERROR(IF(K444="",0,(M444+N444)*2+15),0)</f>
        <v>0</v>
      </c>
      <c r="Q444" s="107">
        <f>IFERROR(IF(K444="",0,(N444+O444)-10),0)</f>
        <v>0</v>
      </c>
      <c r="R444" s="108">
        <f xml:space="preserve"> P444 * Q444 * (1 + 2.5%) / 1000000</f>
        <v>0</v>
      </c>
      <c r="S444" s="109">
        <f>R444*'RFQ_Matalan Carton'!$M$32</f>
        <v>0</v>
      </c>
      <c r="T444" s="110">
        <f>S444</f>
        <v>0</v>
      </c>
      <c r="U444" s="110">
        <f>I444*T444</f>
        <v>0</v>
      </c>
      <c r="V444" s="111">
        <f>((T444*I444)-W444)*7.5%</f>
        <v>0</v>
      </c>
      <c r="W444" s="110">
        <f>S444*I444*10%</f>
        <v>0</v>
      </c>
      <c r="X444" s="113"/>
    </row>
    <row r="445" spans="1:24">
      <c r="A445" s="103"/>
      <c r="B445" s="103"/>
      <c r="C445" s="105"/>
      <c r="D445" s="103"/>
      <c r="E445" s="103"/>
      <c r="F445" s="103"/>
      <c r="G445" s="105"/>
      <c r="H445" s="105"/>
      <c r="I445" s="105"/>
      <c r="J445" s="105"/>
      <c r="K445" s="105"/>
      <c r="L445" s="105"/>
      <c r="M445" s="107" cm="1">
        <f t="array" ref="M445">IFERROR(_xlfn.SWITCH(L445,"R-FPA",495,"R-FPB",595,"R-FPC",595,"R-FPD",595,"Custom Carton","input L"),0)</f>
        <v>0</v>
      </c>
      <c r="N445" s="107" cm="1">
        <f t="array" ref="N445">IFERROR(_xlfn.SWITCH(L445,"R-FPA",285,"R-FPB",285,"R-FPC",325,"R-FPD",380,"Custom Carton","input W"),0)</f>
        <v>0</v>
      </c>
      <c r="O445" s="107" cm="1">
        <f t="array" ref="O445">IFERROR(_xlfn.SWITCH(L445,"R-FPA","input H","R-FPB","input H","R-FPC","input H","R-FPD","input H","Custom Carton","input H"),0)</f>
        <v>0</v>
      </c>
      <c r="P445" s="107">
        <f>IFERROR(IF(K445="",0,(M445+N445)*2+15),0)</f>
        <v>0</v>
      </c>
      <c r="Q445" s="107">
        <f>IFERROR(IF(K445="",0,(N445+O445)-10),0)</f>
        <v>0</v>
      </c>
      <c r="R445" s="108">
        <f xml:space="preserve"> P445 * Q445 * (1 + 2.5%) / 1000000</f>
        <v>0</v>
      </c>
      <c r="S445" s="109">
        <f>R445*'RFQ_Matalan Carton'!$M$32</f>
        <v>0</v>
      </c>
      <c r="T445" s="110">
        <f>S445</f>
        <v>0</v>
      </c>
      <c r="U445" s="110">
        <f>I445*T445</f>
        <v>0</v>
      </c>
      <c r="V445" s="111">
        <f>((T445*I445)-W445)*7.5%</f>
        <v>0</v>
      </c>
      <c r="W445" s="110">
        <f>S445*I445*10%</f>
        <v>0</v>
      </c>
      <c r="X445" s="113"/>
    </row>
    <row r="446" spans="1:24">
      <c r="A446" s="103"/>
      <c r="B446" s="103"/>
      <c r="C446" s="105"/>
      <c r="D446" s="103"/>
      <c r="E446" s="103"/>
      <c r="F446" s="103"/>
      <c r="G446" s="105"/>
      <c r="H446" s="105"/>
      <c r="I446" s="105"/>
      <c r="J446" s="105"/>
      <c r="K446" s="105"/>
      <c r="L446" s="105"/>
      <c r="M446" s="107" cm="1">
        <f t="array" ref="M446">IFERROR(_xlfn.SWITCH(L446,"R-FPA",495,"R-FPB",595,"R-FPC",595,"R-FPD",595,"Custom Carton","input L"),0)</f>
        <v>0</v>
      </c>
      <c r="N446" s="107" cm="1">
        <f t="array" ref="N446">IFERROR(_xlfn.SWITCH(L446,"R-FPA",285,"R-FPB",285,"R-FPC",325,"R-FPD",380,"Custom Carton","input W"),0)</f>
        <v>0</v>
      </c>
      <c r="O446" s="107" cm="1">
        <f t="array" ref="O446">IFERROR(_xlfn.SWITCH(L446,"R-FPA","input H","R-FPB","input H","R-FPC","input H","R-FPD","input H","Custom Carton","input H"),0)</f>
        <v>0</v>
      </c>
      <c r="P446" s="107">
        <f>IFERROR(IF(K446="",0,(M446+N446)*2+15),0)</f>
        <v>0</v>
      </c>
      <c r="Q446" s="107">
        <f>IFERROR(IF(K446="",0,(N446+O446)-10),0)</f>
        <v>0</v>
      </c>
      <c r="R446" s="108">
        <f xml:space="preserve"> P446 * Q446 * (1 + 2.5%) / 1000000</f>
        <v>0</v>
      </c>
      <c r="S446" s="109">
        <f>R446*'RFQ_Matalan Carton'!$M$32</f>
        <v>0</v>
      </c>
      <c r="T446" s="110">
        <f>S446</f>
        <v>0</v>
      </c>
      <c r="U446" s="110">
        <f>I446*T446</f>
        <v>0</v>
      </c>
      <c r="V446" s="111">
        <f>((T446*I446)-W446)*7.5%</f>
        <v>0</v>
      </c>
      <c r="W446" s="110">
        <f>S446*I446*10%</f>
        <v>0</v>
      </c>
      <c r="X446" s="113"/>
    </row>
    <row r="447" spans="1:24">
      <c r="A447" s="103"/>
      <c r="B447" s="103"/>
      <c r="C447" s="105"/>
      <c r="D447" s="103"/>
      <c r="E447" s="103"/>
      <c r="F447" s="103"/>
      <c r="G447" s="105"/>
      <c r="H447" s="105"/>
      <c r="I447" s="105"/>
      <c r="J447" s="105"/>
      <c r="K447" s="105"/>
      <c r="L447" s="105"/>
      <c r="M447" s="107" cm="1">
        <f t="array" ref="M447">IFERROR(_xlfn.SWITCH(L447,"R-FPA",495,"R-FPB",595,"R-FPC",595,"R-FPD",595,"Custom Carton","input L"),0)</f>
        <v>0</v>
      </c>
      <c r="N447" s="107" cm="1">
        <f t="array" ref="N447">IFERROR(_xlfn.SWITCH(L447,"R-FPA",285,"R-FPB",285,"R-FPC",325,"R-FPD",380,"Custom Carton","input W"),0)</f>
        <v>0</v>
      </c>
      <c r="O447" s="107" cm="1">
        <f t="array" ref="O447">IFERROR(_xlfn.SWITCH(L447,"R-FPA","input H","R-FPB","input H","R-FPC","input H","R-FPD","input H","Custom Carton","input H"),0)</f>
        <v>0</v>
      </c>
      <c r="P447" s="107">
        <f>IFERROR(IF(K447="",0,(M447+N447)*2+15),0)</f>
        <v>0</v>
      </c>
      <c r="Q447" s="107">
        <f>IFERROR(IF(K447="",0,(N447+O447)-10),0)</f>
        <v>0</v>
      </c>
      <c r="R447" s="108">
        <f xml:space="preserve"> P447 * Q447 * (1 + 2.5%) / 1000000</f>
        <v>0</v>
      </c>
      <c r="S447" s="109">
        <f>R447*'RFQ_Matalan Carton'!$M$32</f>
        <v>0</v>
      </c>
      <c r="T447" s="110">
        <f>S447</f>
        <v>0</v>
      </c>
      <c r="U447" s="110">
        <f>I447*T447</f>
        <v>0</v>
      </c>
      <c r="V447" s="111">
        <f>((T447*I447)-W447)*7.5%</f>
        <v>0</v>
      </c>
      <c r="W447" s="110">
        <f>S447*I447*10%</f>
        <v>0</v>
      </c>
      <c r="X447" s="113"/>
    </row>
    <row r="448" spans="1:24">
      <c r="A448" s="103"/>
      <c r="B448" s="103"/>
      <c r="C448" s="105"/>
      <c r="D448" s="103"/>
      <c r="E448" s="103"/>
      <c r="F448" s="103"/>
      <c r="G448" s="105"/>
      <c r="H448" s="105"/>
      <c r="I448" s="105"/>
      <c r="J448" s="105"/>
      <c r="K448" s="105"/>
      <c r="L448" s="105"/>
      <c r="M448" s="107" cm="1">
        <f t="array" ref="M448">IFERROR(_xlfn.SWITCH(L448,"R-FPA",495,"R-FPB",595,"R-FPC",595,"R-FPD",595,"Custom Carton","input L"),0)</f>
        <v>0</v>
      </c>
      <c r="N448" s="107" cm="1">
        <f t="array" ref="N448">IFERROR(_xlfn.SWITCH(L448,"R-FPA",285,"R-FPB",285,"R-FPC",325,"R-FPD",380,"Custom Carton","input W"),0)</f>
        <v>0</v>
      </c>
      <c r="O448" s="107" cm="1">
        <f t="array" ref="O448">IFERROR(_xlfn.SWITCH(L448,"R-FPA","input H","R-FPB","input H","R-FPC","input H","R-FPD","input H","Custom Carton","input H"),0)</f>
        <v>0</v>
      </c>
      <c r="P448" s="107">
        <f>IFERROR(IF(K448="",0,(M448+N448)*2+15),0)</f>
        <v>0</v>
      </c>
      <c r="Q448" s="107">
        <f>IFERROR(IF(K448="",0,(N448+O448)-10),0)</f>
        <v>0</v>
      </c>
      <c r="R448" s="108">
        <f xml:space="preserve"> P448 * Q448 * (1 + 2.5%) / 1000000</f>
        <v>0</v>
      </c>
      <c r="S448" s="109">
        <f>R448*'RFQ_Matalan Carton'!$M$32</f>
        <v>0</v>
      </c>
      <c r="T448" s="110">
        <f>S448</f>
        <v>0</v>
      </c>
      <c r="U448" s="110">
        <f>I448*T448</f>
        <v>0</v>
      </c>
      <c r="V448" s="111">
        <f>((T448*I448)-W448)*7.5%</f>
        <v>0</v>
      </c>
      <c r="W448" s="110">
        <f>S448*I448*10%</f>
        <v>0</v>
      </c>
      <c r="X448" s="113"/>
    </row>
    <row r="449" spans="1:24">
      <c r="A449" s="103"/>
      <c r="B449" s="103"/>
      <c r="C449" s="105"/>
      <c r="D449" s="103"/>
      <c r="E449" s="103"/>
      <c r="F449" s="103"/>
      <c r="G449" s="105"/>
      <c r="H449" s="105"/>
      <c r="I449" s="105"/>
      <c r="J449" s="105"/>
      <c r="K449" s="105"/>
      <c r="L449" s="105"/>
      <c r="M449" s="107" cm="1">
        <f t="array" ref="M449">IFERROR(_xlfn.SWITCH(L449,"R-FPA",495,"R-FPB",595,"R-FPC",595,"R-FPD",595,"Custom Carton","input L"),0)</f>
        <v>0</v>
      </c>
      <c r="N449" s="107" cm="1">
        <f t="array" ref="N449">IFERROR(_xlfn.SWITCH(L449,"R-FPA",285,"R-FPB",285,"R-FPC",325,"R-FPD",380,"Custom Carton","input W"),0)</f>
        <v>0</v>
      </c>
      <c r="O449" s="107" cm="1">
        <f t="array" ref="O449">IFERROR(_xlfn.SWITCH(L449,"R-FPA","input H","R-FPB","input H","R-FPC","input H","R-FPD","input H","Custom Carton","input H"),0)</f>
        <v>0</v>
      </c>
      <c r="P449" s="107">
        <f>IFERROR(IF(K449="",0,(M449+N449)*2+15),0)</f>
        <v>0</v>
      </c>
      <c r="Q449" s="107">
        <f>IFERROR(IF(K449="",0,(N449+O449)-10),0)</f>
        <v>0</v>
      </c>
      <c r="R449" s="108">
        <f xml:space="preserve"> P449 * Q449 * (1 + 2.5%) / 1000000</f>
        <v>0</v>
      </c>
      <c r="S449" s="109">
        <f>R449*'RFQ_Matalan Carton'!$M$32</f>
        <v>0</v>
      </c>
      <c r="T449" s="110">
        <f>S449</f>
        <v>0</v>
      </c>
      <c r="U449" s="110">
        <f>I449*T449</f>
        <v>0</v>
      </c>
      <c r="V449" s="111">
        <f>((T449*I449)-W449)*7.5%</f>
        <v>0</v>
      </c>
      <c r="W449" s="110">
        <f>S449*I449*10%</f>
        <v>0</v>
      </c>
      <c r="X449" s="113"/>
    </row>
    <row r="450" spans="1:24">
      <c r="A450" s="103"/>
      <c r="B450" s="103"/>
      <c r="C450" s="105"/>
      <c r="D450" s="103"/>
      <c r="E450" s="103"/>
      <c r="F450" s="103"/>
      <c r="G450" s="105"/>
      <c r="H450" s="105"/>
      <c r="I450" s="105"/>
      <c r="J450" s="105"/>
      <c r="K450" s="105"/>
      <c r="L450" s="105"/>
      <c r="M450" s="107" cm="1">
        <f t="array" ref="M450">IFERROR(_xlfn.SWITCH(L450,"R-FPA",495,"R-FPB",595,"R-FPC",595,"R-FPD",595,"Custom Carton","input L"),0)</f>
        <v>0</v>
      </c>
      <c r="N450" s="107" cm="1">
        <f t="array" ref="N450">IFERROR(_xlfn.SWITCH(L450,"R-FPA",285,"R-FPB",285,"R-FPC",325,"R-FPD",380,"Custom Carton","input W"),0)</f>
        <v>0</v>
      </c>
      <c r="O450" s="107" cm="1">
        <f t="array" ref="O450">IFERROR(_xlfn.SWITCH(L450,"R-FPA","input H","R-FPB","input H","R-FPC","input H","R-FPD","input H","Custom Carton","input H"),0)</f>
        <v>0</v>
      </c>
      <c r="P450" s="107">
        <f>IFERROR(IF(K450="",0,(M450+N450)*2+15),0)</f>
        <v>0</v>
      </c>
      <c r="Q450" s="107">
        <f>IFERROR(IF(K450="",0,(N450+O450)-10),0)</f>
        <v>0</v>
      </c>
      <c r="R450" s="108">
        <f xml:space="preserve"> P450 * Q450 * (1 + 2.5%) / 1000000</f>
        <v>0</v>
      </c>
      <c r="S450" s="109">
        <f>R450*'RFQ_Matalan Carton'!$M$32</f>
        <v>0</v>
      </c>
      <c r="T450" s="110">
        <f>S450</f>
        <v>0</v>
      </c>
      <c r="U450" s="110">
        <f>I450*T450</f>
        <v>0</v>
      </c>
      <c r="V450" s="111">
        <f>((T450*I450)-W450)*7.5%</f>
        <v>0</v>
      </c>
      <c r="W450" s="110">
        <f>S450*I450*10%</f>
        <v>0</v>
      </c>
      <c r="X450" s="113"/>
    </row>
    <row r="451" spans="1:24">
      <c r="A451" s="103"/>
      <c r="B451" s="103"/>
      <c r="C451" s="105"/>
      <c r="D451" s="103"/>
      <c r="E451" s="103"/>
      <c r="F451" s="103"/>
      <c r="G451" s="105"/>
      <c r="H451" s="105"/>
      <c r="I451" s="105"/>
      <c r="J451" s="105"/>
      <c r="K451" s="105"/>
      <c r="L451" s="105"/>
      <c r="M451" s="107" cm="1">
        <f t="array" ref="M451">IFERROR(_xlfn.SWITCH(L451,"R-FPA",495,"R-FPB",595,"R-FPC",595,"R-FPD",595,"Custom Carton","input L"),0)</f>
        <v>0</v>
      </c>
      <c r="N451" s="107" cm="1">
        <f t="array" ref="N451">IFERROR(_xlfn.SWITCH(L451,"R-FPA",285,"R-FPB",285,"R-FPC",325,"R-FPD",380,"Custom Carton","input W"),0)</f>
        <v>0</v>
      </c>
      <c r="O451" s="107" cm="1">
        <f t="array" ref="O451">IFERROR(_xlfn.SWITCH(L451,"R-FPA","input H","R-FPB","input H","R-FPC","input H","R-FPD","input H","Custom Carton","input H"),0)</f>
        <v>0</v>
      </c>
      <c r="P451" s="107">
        <f>IFERROR(IF(K451="",0,(M451+N451)*2+15),0)</f>
        <v>0</v>
      </c>
      <c r="Q451" s="107">
        <f>IFERROR(IF(K451="",0,(N451+O451)-10),0)</f>
        <v>0</v>
      </c>
      <c r="R451" s="108">
        <f xml:space="preserve"> P451 * Q451 * (1 + 2.5%) / 1000000</f>
        <v>0</v>
      </c>
      <c r="S451" s="109">
        <f>R451*'RFQ_Matalan Carton'!$M$32</f>
        <v>0</v>
      </c>
      <c r="T451" s="110">
        <f>S451</f>
        <v>0</v>
      </c>
      <c r="U451" s="110">
        <f>I451*T451</f>
        <v>0</v>
      </c>
      <c r="V451" s="111">
        <f>((T451*I451)-W451)*7.5%</f>
        <v>0</v>
      </c>
      <c r="W451" s="110">
        <f>S451*I451*10%</f>
        <v>0</v>
      </c>
      <c r="X451" s="113"/>
    </row>
    <row r="452" spans="1:24">
      <c r="A452" s="103"/>
      <c r="B452" s="103"/>
      <c r="C452" s="105"/>
      <c r="D452" s="103"/>
      <c r="E452" s="103"/>
      <c r="F452" s="103"/>
      <c r="G452" s="105"/>
      <c r="H452" s="105"/>
      <c r="I452" s="105"/>
      <c r="J452" s="105"/>
      <c r="K452" s="105"/>
      <c r="L452" s="105"/>
      <c r="M452" s="107" cm="1">
        <f t="array" ref="M452">IFERROR(_xlfn.SWITCH(L452,"R-FPA",495,"R-FPB",595,"R-FPC",595,"R-FPD",595,"Custom Carton","input L"),0)</f>
        <v>0</v>
      </c>
      <c r="N452" s="107" cm="1">
        <f t="array" ref="N452">IFERROR(_xlfn.SWITCH(L452,"R-FPA",285,"R-FPB",285,"R-FPC",325,"R-FPD",380,"Custom Carton","input W"),0)</f>
        <v>0</v>
      </c>
      <c r="O452" s="107" cm="1">
        <f t="array" ref="O452">IFERROR(_xlfn.SWITCH(L452,"R-FPA","input H","R-FPB","input H","R-FPC","input H","R-FPD","input H","Custom Carton","input H"),0)</f>
        <v>0</v>
      </c>
      <c r="P452" s="107">
        <f>IFERROR(IF(K452="",0,(M452+N452)*2+15),0)</f>
        <v>0</v>
      </c>
      <c r="Q452" s="107">
        <f>IFERROR(IF(K452="",0,(N452+O452)-10),0)</f>
        <v>0</v>
      </c>
      <c r="R452" s="108">
        <f xml:space="preserve"> P452 * Q452 * (1 + 2.5%) / 1000000</f>
        <v>0</v>
      </c>
      <c r="S452" s="109">
        <f>R452*'RFQ_Matalan Carton'!$M$32</f>
        <v>0</v>
      </c>
      <c r="T452" s="110">
        <f>S452</f>
        <v>0</v>
      </c>
      <c r="U452" s="110">
        <f>I452*T452</f>
        <v>0</v>
      </c>
      <c r="V452" s="111">
        <f>((T452*I452)-W452)*7.5%</f>
        <v>0</v>
      </c>
      <c r="W452" s="110">
        <f>S452*I452*10%</f>
        <v>0</v>
      </c>
      <c r="X452" s="113"/>
    </row>
    <row r="453" spans="1:24">
      <c r="A453" s="103"/>
      <c r="B453" s="103"/>
      <c r="C453" s="105"/>
      <c r="D453" s="103"/>
      <c r="E453" s="103"/>
      <c r="F453" s="103"/>
      <c r="G453" s="105"/>
      <c r="H453" s="105"/>
      <c r="I453" s="105"/>
      <c r="J453" s="105"/>
      <c r="K453" s="105"/>
      <c r="L453" s="105"/>
      <c r="M453" s="107" cm="1">
        <f t="array" ref="M453">IFERROR(_xlfn.SWITCH(L453,"R-FPA",495,"R-FPB",595,"R-FPC",595,"R-FPD",595,"Custom Carton","input L"),0)</f>
        <v>0</v>
      </c>
      <c r="N453" s="107" cm="1">
        <f t="array" ref="N453">IFERROR(_xlfn.SWITCH(L453,"R-FPA",285,"R-FPB",285,"R-FPC",325,"R-FPD",380,"Custom Carton","input W"),0)</f>
        <v>0</v>
      </c>
      <c r="O453" s="107" cm="1">
        <f t="array" ref="O453">IFERROR(_xlfn.SWITCH(L453,"R-FPA","input H","R-FPB","input H","R-FPC","input H","R-FPD","input H","Custom Carton","input H"),0)</f>
        <v>0</v>
      </c>
      <c r="P453" s="107">
        <f>IFERROR(IF(K453="",0,(M453+N453)*2+15),0)</f>
        <v>0</v>
      </c>
      <c r="Q453" s="107">
        <f>IFERROR(IF(K453="",0,(N453+O453)-10),0)</f>
        <v>0</v>
      </c>
      <c r="R453" s="108">
        <f xml:space="preserve"> P453 * Q453 * (1 + 2.5%) / 1000000</f>
        <v>0</v>
      </c>
      <c r="S453" s="109">
        <f>R453*'RFQ_Matalan Carton'!$M$32</f>
        <v>0</v>
      </c>
      <c r="T453" s="110">
        <f>S453</f>
        <v>0</v>
      </c>
      <c r="U453" s="110">
        <f>I453*T453</f>
        <v>0</v>
      </c>
      <c r="V453" s="111">
        <f>((T453*I453)-W453)*7.5%</f>
        <v>0</v>
      </c>
      <c r="W453" s="110">
        <f>S453*I453*10%</f>
        <v>0</v>
      </c>
      <c r="X453" s="113"/>
    </row>
    <row r="454" spans="1:24">
      <c r="A454" s="103"/>
      <c r="B454" s="103"/>
      <c r="C454" s="105"/>
      <c r="D454" s="103"/>
      <c r="E454" s="103"/>
      <c r="F454" s="103"/>
      <c r="G454" s="105"/>
      <c r="H454" s="105"/>
      <c r="I454" s="105"/>
      <c r="J454" s="105"/>
      <c r="K454" s="105"/>
      <c r="L454" s="105"/>
      <c r="M454" s="107" cm="1">
        <f t="array" ref="M454">IFERROR(_xlfn.SWITCH(L454,"R-FPA",495,"R-FPB",595,"R-FPC",595,"R-FPD",595,"Custom Carton","input L"),0)</f>
        <v>0</v>
      </c>
      <c r="N454" s="107" cm="1">
        <f t="array" ref="N454">IFERROR(_xlfn.SWITCH(L454,"R-FPA",285,"R-FPB",285,"R-FPC",325,"R-FPD",380,"Custom Carton","input W"),0)</f>
        <v>0</v>
      </c>
      <c r="O454" s="107" cm="1">
        <f t="array" ref="O454">IFERROR(_xlfn.SWITCH(L454,"R-FPA","input H","R-FPB","input H","R-FPC","input H","R-FPD","input H","Custom Carton","input H"),0)</f>
        <v>0</v>
      </c>
      <c r="P454" s="107">
        <f>IFERROR(IF(K454="",0,(M454+N454)*2+15),0)</f>
        <v>0</v>
      </c>
      <c r="Q454" s="107">
        <f>IFERROR(IF(K454="",0,(N454+O454)-10),0)</f>
        <v>0</v>
      </c>
      <c r="R454" s="108">
        <f xml:space="preserve"> P454 * Q454 * (1 + 2.5%) / 1000000</f>
        <v>0</v>
      </c>
      <c r="S454" s="109">
        <f>R454*'RFQ_Matalan Carton'!$M$32</f>
        <v>0</v>
      </c>
      <c r="T454" s="110">
        <f>S454</f>
        <v>0</v>
      </c>
      <c r="U454" s="110">
        <f>I454*T454</f>
        <v>0</v>
      </c>
      <c r="V454" s="111">
        <f>((T454*I454)-W454)*7.5%</f>
        <v>0</v>
      </c>
      <c r="W454" s="110">
        <f>S454*I454*10%</f>
        <v>0</v>
      </c>
      <c r="X454" s="113"/>
    </row>
    <row r="455" spans="1:24">
      <c r="A455" s="103"/>
      <c r="B455" s="103"/>
      <c r="C455" s="105"/>
      <c r="D455" s="103"/>
      <c r="E455" s="103"/>
      <c r="F455" s="103"/>
      <c r="G455" s="105"/>
      <c r="H455" s="105"/>
      <c r="I455" s="105"/>
      <c r="J455" s="105"/>
      <c r="K455" s="105"/>
      <c r="L455" s="105"/>
      <c r="M455" s="107" cm="1">
        <f t="array" ref="M455">IFERROR(_xlfn.SWITCH(L455,"R-FPA",495,"R-FPB",595,"R-FPC",595,"R-FPD",595,"Custom Carton","input L"),0)</f>
        <v>0</v>
      </c>
      <c r="N455" s="107" cm="1">
        <f t="array" ref="N455">IFERROR(_xlfn.SWITCH(L455,"R-FPA",285,"R-FPB",285,"R-FPC",325,"R-FPD",380,"Custom Carton","input W"),0)</f>
        <v>0</v>
      </c>
      <c r="O455" s="107" cm="1">
        <f t="array" ref="O455">IFERROR(_xlfn.SWITCH(L455,"R-FPA","input H","R-FPB","input H","R-FPC","input H","R-FPD","input H","Custom Carton","input H"),0)</f>
        <v>0</v>
      </c>
      <c r="P455" s="107">
        <f>IFERROR(IF(K455="",0,(M455+N455)*2+15),0)</f>
        <v>0</v>
      </c>
      <c r="Q455" s="107">
        <f>IFERROR(IF(K455="",0,(N455+O455)-10),0)</f>
        <v>0</v>
      </c>
      <c r="R455" s="108">
        <f xml:space="preserve"> P455 * Q455 * (1 + 2.5%) / 1000000</f>
        <v>0</v>
      </c>
      <c r="S455" s="109">
        <f>R455*'RFQ_Matalan Carton'!$M$32</f>
        <v>0</v>
      </c>
      <c r="T455" s="110">
        <f>S455</f>
        <v>0</v>
      </c>
      <c r="U455" s="110">
        <f>I455*T455</f>
        <v>0</v>
      </c>
      <c r="V455" s="111">
        <f>((T455*I455)-W455)*7.5%</f>
        <v>0</v>
      </c>
      <c r="W455" s="110">
        <f>S455*I455*10%</f>
        <v>0</v>
      </c>
      <c r="X455" s="113"/>
    </row>
    <row r="456" spans="1:24">
      <c r="A456" s="103"/>
      <c r="B456" s="103"/>
      <c r="C456" s="105"/>
      <c r="D456" s="103"/>
      <c r="E456" s="103"/>
      <c r="F456" s="103"/>
      <c r="G456" s="105"/>
      <c r="H456" s="105"/>
      <c r="I456" s="105"/>
      <c r="J456" s="105"/>
      <c r="K456" s="105"/>
      <c r="L456" s="105"/>
      <c r="M456" s="107" cm="1">
        <f t="array" ref="M456">IFERROR(_xlfn.SWITCH(L456,"R-FPA",495,"R-FPB",595,"R-FPC",595,"R-FPD",595,"Custom Carton","input L"),0)</f>
        <v>0</v>
      </c>
      <c r="N456" s="107" cm="1">
        <f t="array" ref="N456">IFERROR(_xlfn.SWITCH(L456,"R-FPA",285,"R-FPB",285,"R-FPC",325,"R-FPD",380,"Custom Carton","input W"),0)</f>
        <v>0</v>
      </c>
      <c r="O456" s="107" cm="1">
        <f t="array" ref="O456">IFERROR(_xlfn.SWITCH(L456,"R-FPA","input H","R-FPB","input H","R-FPC","input H","R-FPD","input H","Custom Carton","input H"),0)</f>
        <v>0</v>
      </c>
      <c r="P456" s="107">
        <f>IFERROR(IF(K456="",0,(M456+N456)*2+15),0)</f>
        <v>0</v>
      </c>
      <c r="Q456" s="107">
        <f>IFERROR(IF(K456="",0,(N456+O456)-10),0)</f>
        <v>0</v>
      </c>
      <c r="R456" s="108">
        <f xml:space="preserve"> P456 * Q456 * (1 + 2.5%) / 1000000</f>
        <v>0</v>
      </c>
      <c r="S456" s="109">
        <f>R456*'RFQ_Matalan Carton'!$M$32</f>
        <v>0</v>
      </c>
      <c r="T456" s="110">
        <f>S456</f>
        <v>0</v>
      </c>
      <c r="U456" s="110">
        <f>I456*T456</f>
        <v>0</v>
      </c>
      <c r="V456" s="111">
        <f>((T456*I456)-W456)*7.5%</f>
        <v>0</v>
      </c>
      <c r="W456" s="110">
        <f>S456*I456*10%</f>
        <v>0</v>
      </c>
      <c r="X456" s="113"/>
    </row>
    <row r="457" spans="1:24">
      <c r="A457" s="103"/>
      <c r="B457" s="103"/>
      <c r="C457" s="105"/>
      <c r="D457" s="103"/>
      <c r="E457" s="103"/>
      <c r="F457" s="103"/>
      <c r="G457" s="105"/>
      <c r="H457" s="105"/>
      <c r="I457" s="105"/>
      <c r="J457" s="105"/>
      <c r="K457" s="105"/>
      <c r="L457" s="105"/>
      <c r="M457" s="107" cm="1">
        <f t="array" ref="M457">IFERROR(_xlfn.SWITCH(L457,"R-FPA",495,"R-FPB",595,"R-FPC",595,"R-FPD",595,"Custom Carton","input L"),0)</f>
        <v>0</v>
      </c>
      <c r="N457" s="107" cm="1">
        <f t="array" ref="N457">IFERROR(_xlfn.SWITCH(L457,"R-FPA",285,"R-FPB",285,"R-FPC",325,"R-FPD",380,"Custom Carton","input W"),0)</f>
        <v>0</v>
      </c>
      <c r="O457" s="107" cm="1">
        <f t="array" ref="O457">IFERROR(_xlfn.SWITCH(L457,"R-FPA","input H","R-FPB","input H","R-FPC","input H","R-FPD","input H","Custom Carton","input H"),0)</f>
        <v>0</v>
      </c>
      <c r="P457" s="107">
        <f>IFERROR(IF(K457="",0,(M457+N457)*2+15),0)</f>
        <v>0</v>
      </c>
      <c r="Q457" s="107">
        <f>IFERROR(IF(K457="",0,(N457+O457)-10),0)</f>
        <v>0</v>
      </c>
      <c r="R457" s="108">
        <f xml:space="preserve"> P457 * Q457 * (1 + 2.5%) / 1000000</f>
        <v>0</v>
      </c>
      <c r="S457" s="109">
        <f>R457*'RFQ_Matalan Carton'!$M$32</f>
        <v>0</v>
      </c>
      <c r="T457" s="110">
        <f>S457</f>
        <v>0</v>
      </c>
      <c r="U457" s="110">
        <f>I457*T457</f>
        <v>0</v>
      </c>
      <c r="V457" s="111">
        <f>((T457*I457)-W457)*7.5%</f>
        <v>0</v>
      </c>
      <c r="W457" s="110">
        <f>S457*I457*10%</f>
        <v>0</v>
      </c>
      <c r="X457" s="113"/>
    </row>
    <row r="458" spans="1:24">
      <c r="A458" s="103"/>
      <c r="B458" s="103"/>
      <c r="C458" s="105"/>
      <c r="D458" s="103"/>
      <c r="E458" s="103"/>
      <c r="F458" s="103"/>
      <c r="G458" s="105"/>
      <c r="H458" s="105"/>
      <c r="I458" s="105"/>
      <c r="J458" s="105"/>
      <c r="K458" s="105"/>
      <c r="L458" s="105"/>
      <c r="M458" s="107" cm="1">
        <f t="array" ref="M458">IFERROR(_xlfn.SWITCH(L458,"R-FPA",495,"R-FPB",595,"R-FPC",595,"R-FPD",595,"Custom Carton","input L"),0)</f>
        <v>0</v>
      </c>
      <c r="N458" s="107" cm="1">
        <f t="array" ref="N458">IFERROR(_xlfn.SWITCH(L458,"R-FPA",285,"R-FPB",285,"R-FPC",325,"R-FPD",380,"Custom Carton","input W"),0)</f>
        <v>0</v>
      </c>
      <c r="O458" s="107" cm="1">
        <f t="array" ref="O458">IFERROR(_xlfn.SWITCH(L458,"R-FPA","input H","R-FPB","input H","R-FPC","input H","R-FPD","input H","Custom Carton","input H"),0)</f>
        <v>0</v>
      </c>
      <c r="P458" s="107">
        <f>IFERROR(IF(K458="",0,(M458+N458)*2+15),0)</f>
        <v>0</v>
      </c>
      <c r="Q458" s="107">
        <f>IFERROR(IF(K458="",0,(N458+O458)-10),0)</f>
        <v>0</v>
      </c>
      <c r="R458" s="108">
        <f xml:space="preserve"> P458 * Q458 * (1 + 2.5%) / 1000000</f>
        <v>0</v>
      </c>
      <c r="S458" s="109">
        <f>R458*'RFQ_Matalan Carton'!$M$32</f>
        <v>0</v>
      </c>
      <c r="T458" s="110">
        <f>S458</f>
        <v>0</v>
      </c>
      <c r="U458" s="110">
        <f>I458*T458</f>
        <v>0</v>
      </c>
      <c r="V458" s="111">
        <f>((T458*I458)-W458)*7.5%</f>
        <v>0</v>
      </c>
      <c r="W458" s="110">
        <f>S458*I458*10%</f>
        <v>0</v>
      </c>
      <c r="X458" s="113"/>
    </row>
    <row r="459" spans="1:24">
      <c r="A459" s="103"/>
      <c r="B459" s="103"/>
      <c r="C459" s="105"/>
      <c r="D459" s="103"/>
      <c r="E459" s="103"/>
      <c r="F459" s="103"/>
      <c r="G459" s="105"/>
      <c r="H459" s="105"/>
      <c r="I459" s="105"/>
      <c r="J459" s="105"/>
      <c r="K459" s="105"/>
      <c r="L459" s="105"/>
      <c r="M459" s="107" cm="1">
        <f t="array" ref="M459">IFERROR(_xlfn.SWITCH(L459,"R-FPA",495,"R-FPB",595,"R-FPC",595,"R-FPD",595,"Custom Carton","input L"),0)</f>
        <v>0</v>
      </c>
      <c r="N459" s="107" cm="1">
        <f t="array" ref="N459">IFERROR(_xlfn.SWITCH(L459,"R-FPA",285,"R-FPB",285,"R-FPC",325,"R-FPD",380,"Custom Carton","input W"),0)</f>
        <v>0</v>
      </c>
      <c r="O459" s="107" cm="1">
        <f t="array" ref="O459">IFERROR(_xlfn.SWITCH(L459,"R-FPA","input H","R-FPB","input H","R-FPC","input H","R-FPD","input H","Custom Carton","input H"),0)</f>
        <v>0</v>
      </c>
      <c r="P459" s="107">
        <f>IFERROR(IF(K459="",0,(M459+N459)*2+15),0)</f>
        <v>0</v>
      </c>
      <c r="Q459" s="107">
        <f>IFERROR(IF(K459="",0,(N459+O459)-10),0)</f>
        <v>0</v>
      </c>
      <c r="R459" s="108">
        <f xml:space="preserve"> P459 * Q459 * (1 + 2.5%) / 1000000</f>
        <v>0</v>
      </c>
      <c r="S459" s="109">
        <f>R459*'RFQ_Matalan Carton'!$M$32</f>
        <v>0</v>
      </c>
      <c r="T459" s="110">
        <f>S459</f>
        <v>0</v>
      </c>
      <c r="U459" s="110">
        <f>I459*T459</f>
        <v>0</v>
      </c>
      <c r="V459" s="111">
        <f>((T459*I459)-W459)*7.5%</f>
        <v>0</v>
      </c>
      <c r="W459" s="110">
        <f>S459*I459*10%</f>
        <v>0</v>
      </c>
      <c r="X459" s="113"/>
    </row>
    <row r="460" spans="1:24">
      <c r="A460" s="103"/>
      <c r="B460" s="103"/>
      <c r="C460" s="105"/>
      <c r="D460" s="103"/>
      <c r="E460" s="103"/>
      <c r="F460" s="103"/>
      <c r="G460" s="105"/>
      <c r="H460" s="105"/>
      <c r="I460" s="105"/>
      <c r="J460" s="105"/>
      <c r="K460" s="105"/>
      <c r="L460" s="105"/>
      <c r="M460" s="107" cm="1">
        <f t="array" ref="M460">IFERROR(_xlfn.SWITCH(L460,"R-FPA",495,"R-FPB",595,"R-FPC",595,"R-FPD",595,"Custom Carton","input L"),0)</f>
        <v>0</v>
      </c>
      <c r="N460" s="107" cm="1">
        <f t="array" ref="N460">IFERROR(_xlfn.SWITCH(L460,"R-FPA",285,"R-FPB",285,"R-FPC",325,"R-FPD",380,"Custom Carton","input W"),0)</f>
        <v>0</v>
      </c>
      <c r="O460" s="107" cm="1">
        <f t="array" ref="O460">IFERROR(_xlfn.SWITCH(L460,"R-FPA","input H","R-FPB","input H","R-FPC","input H","R-FPD","input H","Custom Carton","input H"),0)</f>
        <v>0</v>
      </c>
      <c r="P460" s="107">
        <f>IFERROR(IF(K460="",0,(M460+N460)*2+15),0)</f>
        <v>0</v>
      </c>
      <c r="Q460" s="107">
        <f>IFERROR(IF(K460="",0,(N460+O460)-10),0)</f>
        <v>0</v>
      </c>
      <c r="R460" s="108">
        <f xml:space="preserve"> P460 * Q460 * (1 + 2.5%) / 1000000</f>
        <v>0</v>
      </c>
      <c r="S460" s="109">
        <f>R460*'RFQ_Matalan Carton'!$M$32</f>
        <v>0</v>
      </c>
      <c r="T460" s="110">
        <f>S460</f>
        <v>0</v>
      </c>
      <c r="U460" s="110">
        <f>I460*T460</f>
        <v>0</v>
      </c>
      <c r="V460" s="111">
        <f>((T460*I460)-W460)*7.5%</f>
        <v>0</v>
      </c>
      <c r="W460" s="110">
        <f>S460*I460*10%</f>
        <v>0</v>
      </c>
      <c r="X460" s="113"/>
    </row>
    <row r="461" spans="1:24">
      <c r="A461" s="103"/>
      <c r="B461" s="103"/>
      <c r="C461" s="105"/>
      <c r="D461" s="103"/>
      <c r="E461" s="103"/>
      <c r="F461" s="103"/>
      <c r="G461" s="105"/>
      <c r="H461" s="105"/>
      <c r="I461" s="105"/>
      <c r="J461" s="105"/>
      <c r="K461" s="105"/>
      <c r="L461" s="105"/>
      <c r="M461" s="107" cm="1">
        <f t="array" ref="M461">IFERROR(_xlfn.SWITCH(L461,"R-FPA",495,"R-FPB",595,"R-FPC",595,"R-FPD",595,"Custom Carton","input L"),0)</f>
        <v>0</v>
      </c>
      <c r="N461" s="107" cm="1">
        <f t="array" ref="N461">IFERROR(_xlfn.SWITCH(L461,"R-FPA",285,"R-FPB",285,"R-FPC",325,"R-FPD",380,"Custom Carton","input W"),0)</f>
        <v>0</v>
      </c>
      <c r="O461" s="107" cm="1">
        <f t="array" ref="O461">IFERROR(_xlfn.SWITCH(L461,"R-FPA","input H","R-FPB","input H","R-FPC","input H","R-FPD","input H","Custom Carton","input H"),0)</f>
        <v>0</v>
      </c>
      <c r="P461" s="107">
        <f>IFERROR(IF(K461="",0,(M461+N461)*2+15),0)</f>
        <v>0</v>
      </c>
      <c r="Q461" s="107">
        <f>IFERROR(IF(K461="",0,(N461+O461)-10),0)</f>
        <v>0</v>
      </c>
      <c r="R461" s="108">
        <f xml:space="preserve"> P461 * Q461 * (1 + 2.5%) / 1000000</f>
        <v>0</v>
      </c>
      <c r="S461" s="109">
        <f>R461*'RFQ_Matalan Carton'!$M$32</f>
        <v>0</v>
      </c>
      <c r="T461" s="110">
        <f>S461</f>
        <v>0</v>
      </c>
      <c r="U461" s="110">
        <f>I461*T461</f>
        <v>0</v>
      </c>
      <c r="V461" s="111">
        <f>((T461*I461)-W461)*7.5%</f>
        <v>0</v>
      </c>
      <c r="W461" s="110">
        <f>S461*I461*10%</f>
        <v>0</v>
      </c>
      <c r="X461" s="113"/>
    </row>
    <row r="462" spans="1:24">
      <c r="A462" s="103"/>
      <c r="B462" s="103"/>
      <c r="C462" s="105"/>
      <c r="D462" s="103"/>
      <c r="E462" s="103"/>
      <c r="F462" s="103"/>
      <c r="G462" s="105"/>
      <c r="H462" s="105"/>
      <c r="I462" s="105"/>
      <c r="J462" s="105"/>
      <c r="K462" s="105"/>
      <c r="L462" s="105"/>
      <c r="M462" s="107" cm="1">
        <f t="array" ref="M462">IFERROR(_xlfn.SWITCH(L462,"R-FPA",495,"R-FPB",595,"R-FPC",595,"R-FPD",595,"Custom Carton","input L"),0)</f>
        <v>0</v>
      </c>
      <c r="N462" s="107" cm="1">
        <f t="array" ref="N462">IFERROR(_xlfn.SWITCH(L462,"R-FPA",285,"R-FPB",285,"R-FPC",325,"R-FPD",380,"Custom Carton","input W"),0)</f>
        <v>0</v>
      </c>
      <c r="O462" s="107" cm="1">
        <f t="array" ref="O462">IFERROR(_xlfn.SWITCH(L462,"R-FPA","input H","R-FPB","input H","R-FPC","input H","R-FPD","input H","Custom Carton","input H"),0)</f>
        <v>0</v>
      </c>
      <c r="P462" s="107">
        <f>IFERROR(IF(K462="",0,(M462+N462)*2+15),0)</f>
        <v>0</v>
      </c>
      <c r="Q462" s="107">
        <f>IFERROR(IF(K462="",0,(N462+O462)-10),0)</f>
        <v>0</v>
      </c>
      <c r="R462" s="108">
        <f xml:space="preserve"> P462 * Q462 * (1 + 2.5%) / 1000000</f>
        <v>0</v>
      </c>
      <c r="S462" s="109">
        <f>R462*'RFQ_Matalan Carton'!$M$32</f>
        <v>0</v>
      </c>
      <c r="T462" s="110">
        <f>S462</f>
        <v>0</v>
      </c>
      <c r="U462" s="110">
        <f>I462*T462</f>
        <v>0</v>
      </c>
      <c r="V462" s="111">
        <f>((T462*I462)-W462)*7.5%</f>
        <v>0</v>
      </c>
      <c r="W462" s="110">
        <f>S462*I462*10%</f>
        <v>0</v>
      </c>
      <c r="X462" s="113"/>
    </row>
    <row r="463" spans="1:24">
      <c r="A463" s="103"/>
      <c r="B463" s="103"/>
      <c r="C463" s="105"/>
      <c r="D463" s="103"/>
      <c r="E463" s="103"/>
      <c r="F463" s="103"/>
      <c r="G463" s="105"/>
      <c r="H463" s="105"/>
      <c r="I463" s="105"/>
      <c r="J463" s="105"/>
      <c r="K463" s="105"/>
      <c r="L463" s="105"/>
      <c r="M463" s="107" cm="1">
        <f t="array" ref="M463">IFERROR(_xlfn.SWITCH(L463,"R-FPA",495,"R-FPB",595,"R-FPC",595,"R-FPD",595,"Custom Carton","input L"),0)</f>
        <v>0</v>
      </c>
      <c r="N463" s="107" cm="1">
        <f t="array" ref="N463">IFERROR(_xlfn.SWITCH(L463,"R-FPA",285,"R-FPB",285,"R-FPC",325,"R-FPD",380,"Custom Carton","input W"),0)</f>
        <v>0</v>
      </c>
      <c r="O463" s="107" cm="1">
        <f t="array" ref="O463">IFERROR(_xlfn.SWITCH(L463,"R-FPA","input H","R-FPB","input H","R-FPC","input H","R-FPD","input H","Custom Carton","input H"),0)</f>
        <v>0</v>
      </c>
      <c r="P463" s="107">
        <f>IFERROR(IF(K463="",0,(M463+N463)*2+15),0)</f>
        <v>0</v>
      </c>
      <c r="Q463" s="107">
        <f>IFERROR(IF(K463="",0,(N463+O463)-10),0)</f>
        <v>0</v>
      </c>
      <c r="R463" s="108">
        <f xml:space="preserve"> P463 * Q463 * (1 + 2.5%) / 1000000</f>
        <v>0</v>
      </c>
      <c r="S463" s="109">
        <f>R463*'RFQ_Matalan Carton'!$M$32</f>
        <v>0</v>
      </c>
      <c r="T463" s="110">
        <f>S463</f>
        <v>0</v>
      </c>
      <c r="U463" s="110">
        <f>I463*T463</f>
        <v>0</v>
      </c>
      <c r="V463" s="111">
        <f>((T463*I463)-W463)*7.5%</f>
        <v>0</v>
      </c>
      <c r="W463" s="110">
        <f>S463*I463*10%</f>
        <v>0</v>
      </c>
      <c r="X463" s="113"/>
    </row>
    <row r="464" spans="1:24">
      <c r="A464" s="103"/>
      <c r="B464" s="103"/>
      <c r="C464" s="105"/>
      <c r="D464" s="103"/>
      <c r="E464" s="103"/>
      <c r="F464" s="103"/>
      <c r="G464" s="105"/>
      <c r="H464" s="105"/>
      <c r="I464" s="105"/>
      <c r="J464" s="105"/>
      <c r="K464" s="105"/>
      <c r="L464" s="105"/>
      <c r="M464" s="107" cm="1">
        <f t="array" ref="M464">IFERROR(_xlfn.SWITCH(L464,"R-FPA",495,"R-FPB",595,"R-FPC",595,"R-FPD",595,"Custom Carton","input L"),0)</f>
        <v>0</v>
      </c>
      <c r="N464" s="107" cm="1">
        <f t="array" ref="N464">IFERROR(_xlfn.SWITCH(L464,"R-FPA",285,"R-FPB",285,"R-FPC",325,"R-FPD",380,"Custom Carton","input W"),0)</f>
        <v>0</v>
      </c>
      <c r="O464" s="107" cm="1">
        <f t="array" ref="O464">IFERROR(_xlfn.SWITCH(L464,"R-FPA","input H","R-FPB","input H","R-FPC","input H","R-FPD","input H","Custom Carton","input H"),0)</f>
        <v>0</v>
      </c>
      <c r="P464" s="107">
        <f>IFERROR(IF(K464="",0,(M464+N464)*2+15),0)</f>
        <v>0</v>
      </c>
      <c r="Q464" s="107">
        <f>IFERROR(IF(K464="",0,(N464+O464)-10),0)</f>
        <v>0</v>
      </c>
      <c r="R464" s="108">
        <f xml:space="preserve"> P464 * Q464 * (1 + 2.5%) / 1000000</f>
        <v>0</v>
      </c>
      <c r="S464" s="109">
        <f>R464*'RFQ_Matalan Carton'!$M$32</f>
        <v>0</v>
      </c>
      <c r="T464" s="110">
        <f>S464</f>
        <v>0</v>
      </c>
      <c r="U464" s="110">
        <f>I464*T464</f>
        <v>0</v>
      </c>
      <c r="V464" s="111">
        <f>((T464*I464)-W464)*7.5%</f>
        <v>0</v>
      </c>
      <c r="W464" s="110">
        <f>S464*I464*10%</f>
        <v>0</v>
      </c>
      <c r="X464" s="113"/>
    </row>
    <row r="465" spans="1:24">
      <c r="A465" s="103"/>
      <c r="B465" s="103"/>
      <c r="C465" s="105"/>
      <c r="D465" s="103"/>
      <c r="E465" s="103"/>
      <c r="F465" s="103"/>
      <c r="G465" s="105"/>
      <c r="H465" s="105"/>
      <c r="I465" s="105"/>
      <c r="J465" s="105"/>
      <c r="K465" s="105"/>
      <c r="L465" s="105"/>
      <c r="M465" s="107" cm="1">
        <f t="array" ref="M465">IFERROR(_xlfn.SWITCH(L465,"R-FPA",495,"R-FPB",595,"R-FPC",595,"R-FPD",595,"Custom Carton","input L"),0)</f>
        <v>0</v>
      </c>
      <c r="N465" s="107" cm="1">
        <f t="array" ref="N465">IFERROR(_xlfn.SWITCH(L465,"R-FPA",285,"R-FPB",285,"R-FPC",325,"R-FPD",380,"Custom Carton","input W"),0)</f>
        <v>0</v>
      </c>
      <c r="O465" s="107" cm="1">
        <f t="array" ref="O465">IFERROR(_xlfn.SWITCH(L465,"R-FPA","input H","R-FPB","input H","R-FPC","input H","R-FPD","input H","Custom Carton","input H"),0)</f>
        <v>0</v>
      </c>
      <c r="P465" s="107">
        <f>IFERROR(IF(K465="",0,(M465+N465)*2+15),0)</f>
        <v>0</v>
      </c>
      <c r="Q465" s="107">
        <f>IFERROR(IF(K465="",0,(N465+O465)-10),0)</f>
        <v>0</v>
      </c>
      <c r="R465" s="108">
        <f xml:space="preserve"> P465 * Q465 * (1 + 2.5%) / 1000000</f>
        <v>0</v>
      </c>
      <c r="S465" s="109">
        <f>R465*'RFQ_Matalan Carton'!$M$32</f>
        <v>0</v>
      </c>
      <c r="T465" s="110">
        <f>S465</f>
        <v>0</v>
      </c>
      <c r="U465" s="110">
        <f>I465*T465</f>
        <v>0</v>
      </c>
      <c r="V465" s="111">
        <f>((T465*I465)-W465)*7.5%</f>
        <v>0</v>
      </c>
      <c r="W465" s="110">
        <f>S465*I465*10%</f>
        <v>0</v>
      </c>
      <c r="X465" s="113"/>
    </row>
    <row r="466" spans="1:24">
      <c r="A466" s="103"/>
      <c r="B466" s="103"/>
      <c r="C466" s="105"/>
      <c r="D466" s="103"/>
      <c r="E466" s="103"/>
      <c r="F466" s="103"/>
      <c r="G466" s="105"/>
      <c r="H466" s="105"/>
      <c r="I466" s="105"/>
      <c r="J466" s="105"/>
      <c r="K466" s="105"/>
      <c r="L466" s="105"/>
      <c r="M466" s="107" cm="1">
        <f t="array" ref="M466">IFERROR(_xlfn.SWITCH(L466,"R-FPA",495,"R-FPB",595,"R-FPC",595,"R-FPD",595,"Custom Carton","input L"),0)</f>
        <v>0</v>
      </c>
      <c r="N466" s="107" cm="1">
        <f t="array" ref="N466">IFERROR(_xlfn.SWITCH(L466,"R-FPA",285,"R-FPB",285,"R-FPC",325,"R-FPD",380,"Custom Carton","input W"),0)</f>
        <v>0</v>
      </c>
      <c r="O466" s="107" cm="1">
        <f t="array" ref="O466">IFERROR(_xlfn.SWITCH(L466,"R-FPA","input H","R-FPB","input H","R-FPC","input H","R-FPD","input H","Custom Carton","input H"),0)</f>
        <v>0</v>
      </c>
      <c r="P466" s="107">
        <f>IFERROR(IF(K466="",0,(M466+N466)*2+15),0)</f>
        <v>0</v>
      </c>
      <c r="Q466" s="107">
        <f>IFERROR(IF(K466="",0,(N466+O466)-10),0)</f>
        <v>0</v>
      </c>
      <c r="R466" s="108">
        <f xml:space="preserve"> P466 * Q466 * (1 + 2.5%) / 1000000</f>
        <v>0</v>
      </c>
      <c r="S466" s="109">
        <f>R466*'RFQ_Matalan Carton'!$M$32</f>
        <v>0</v>
      </c>
      <c r="T466" s="110">
        <f>S466</f>
        <v>0</v>
      </c>
      <c r="U466" s="110">
        <f>I466*T466</f>
        <v>0</v>
      </c>
      <c r="V466" s="111">
        <f>((T466*I466)-W466)*7.5%</f>
        <v>0</v>
      </c>
      <c r="W466" s="110">
        <f>S466*I466*10%</f>
        <v>0</v>
      </c>
      <c r="X466" s="113"/>
    </row>
    <row r="467" spans="1:24">
      <c r="A467" s="103"/>
      <c r="B467" s="103"/>
      <c r="C467" s="105"/>
      <c r="D467" s="103"/>
      <c r="E467" s="103"/>
      <c r="F467" s="103"/>
      <c r="G467" s="105"/>
      <c r="H467" s="105"/>
      <c r="I467" s="105"/>
      <c r="J467" s="105"/>
      <c r="K467" s="105"/>
      <c r="L467" s="105"/>
      <c r="M467" s="107" cm="1">
        <f t="array" ref="M467">IFERROR(_xlfn.SWITCH(L467,"R-FPA",495,"R-FPB",595,"R-FPC",595,"R-FPD",595,"Custom Carton","input L"),0)</f>
        <v>0</v>
      </c>
      <c r="N467" s="107" cm="1">
        <f t="array" ref="N467">IFERROR(_xlfn.SWITCH(L467,"R-FPA",285,"R-FPB",285,"R-FPC",325,"R-FPD",380,"Custom Carton","input W"),0)</f>
        <v>0</v>
      </c>
      <c r="O467" s="107" cm="1">
        <f t="array" ref="O467">IFERROR(_xlfn.SWITCH(L467,"R-FPA","input H","R-FPB","input H","R-FPC","input H","R-FPD","input H","Custom Carton","input H"),0)</f>
        <v>0</v>
      </c>
      <c r="P467" s="107">
        <f>IFERROR(IF(K467="",0,(M467+N467)*2+15),0)</f>
        <v>0</v>
      </c>
      <c r="Q467" s="107">
        <f>IFERROR(IF(K467="",0,(N467+O467)-10),0)</f>
        <v>0</v>
      </c>
      <c r="R467" s="108">
        <f xml:space="preserve"> P467 * Q467 * (1 + 2.5%) / 1000000</f>
        <v>0</v>
      </c>
      <c r="S467" s="109">
        <f>R467*'RFQ_Matalan Carton'!$M$32</f>
        <v>0</v>
      </c>
      <c r="T467" s="110">
        <f>S467</f>
        <v>0</v>
      </c>
      <c r="U467" s="110">
        <f>I467*T467</f>
        <v>0</v>
      </c>
      <c r="V467" s="111">
        <f>((T467*I467)-W467)*7.5%</f>
        <v>0</v>
      </c>
      <c r="W467" s="110">
        <f>S467*I467*10%</f>
        <v>0</v>
      </c>
      <c r="X467" s="113"/>
    </row>
    <row r="468" spans="1:24">
      <c r="A468" s="103"/>
      <c r="B468" s="103"/>
      <c r="C468" s="105"/>
      <c r="D468" s="103"/>
      <c r="E468" s="103"/>
      <c r="F468" s="103"/>
      <c r="G468" s="105"/>
      <c r="H468" s="105"/>
      <c r="I468" s="105"/>
      <c r="J468" s="105"/>
      <c r="K468" s="105"/>
      <c r="L468" s="105"/>
      <c r="M468" s="107" cm="1">
        <f t="array" ref="M468">IFERROR(_xlfn.SWITCH(L468,"R-FPA",495,"R-FPB",595,"R-FPC",595,"R-FPD",595,"Custom Carton","input L"),0)</f>
        <v>0</v>
      </c>
      <c r="N468" s="107" cm="1">
        <f t="array" ref="N468">IFERROR(_xlfn.SWITCH(L468,"R-FPA",285,"R-FPB",285,"R-FPC",325,"R-FPD",380,"Custom Carton","input W"),0)</f>
        <v>0</v>
      </c>
      <c r="O468" s="107" cm="1">
        <f t="array" ref="O468">IFERROR(_xlfn.SWITCH(L468,"R-FPA","input H","R-FPB","input H","R-FPC","input H","R-FPD","input H","Custom Carton","input H"),0)</f>
        <v>0</v>
      </c>
      <c r="P468" s="107">
        <f>IFERROR(IF(K468="",0,(M468+N468)*2+15),0)</f>
        <v>0</v>
      </c>
      <c r="Q468" s="107">
        <f>IFERROR(IF(K468="",0,(N468+O468)-10),0)</f>
        <v>0</v>
      </c>
      <c r="R468" s="108">
        <f xml:space="preserve"> P468 * Q468 * (1 + 2.5%) / 1000000</f>
        <v>0</v>
      </c>
      <c r="S468" s="109">
        <f>R468*'RFQ_Matalan Carton'!$M$32</f>
        <v>0</v>
      </c>
      <c r="T468" s="110">
        <f>S468</f>
        <v>0</v>
      </c>
      <c r="U468" s="110">
        <f>I468*T468</f>
        <v>0</v>
      </c>
      <c r="V468" s="111">
        <f>((T468*I468)-W468)*7.5%</f>
        <v>0</v>
      </c>
      <c r="W468" s="110">
        <f>S468*I468*10%</f>
        <v>0</v>
      </c>
      <c r="X468" s="113"/>
    </row>
    <row r="469" spans="1:24">
      <c r="A469" s="103"/>
      <c r="B469" s="103"/>
      <c r="C469" s="105"/>
      <c r="D469" s="103"/>
      <c r="E469" s="103"/>
      <c r="F469" s="103"/>
      <c r="G469" s="105"/>
      <c r="H469" s="105"/>
      <c r="I469" s="105"/>
      <c r="J469" s="105"/>
      <c r="K469" s="105"/>
      <c r="L469" s="105"/>
      <c r="M469" s="107" cm="1">
        <f t="array" ref="M469">IFERROR(_xlfn.SWITCH(L469,"R-FPA",495,"R-FPB",595,"R-FPC",595,"R-FPD",595,"Custom Carton","input L"),0)</f>
        <v>0</v>
      </c>
      <c r="N469" s="107" cm="1">
        <f t="array" ref="N469">IFERROR(_xlfn.SWITCH(L469,"R-FPA",285,"R-FPB",285,"R-FPC",325,"R-FPD",380,"Custom Carton","input W"),0)</f>
        <v>0</v>
      </c>
      <c r="O469" s="107" cm="1">
        <f t="array" ref="O469">IFERROR(_xlfn.SWITCH(L469,"R-FPA","input H","R-FPB","input H","R-FPC","input H","R-FPD","input H","Custom Carton","input H"),0)</f>
        <v>0</v>
      </c>
      <c r="P469" s="107">
        <f>IFERROR(IF(K469="",0,(M469+N469)*2+15),0)</f>
        <v>0</v>
      </c>
      <c r="Q469" s="107">
        <f>IFERROR(IF(K469="",0,(N469+O469)-10),0)</f>
        <v>0</v>
      </c>
      <c r="R469" s="108">
        <f xml:space="preserve"> P469 * Q469 * (1 + 2.5%) / 1000000</f>
        <v>0</v>
      </c>
      <c r="S469" s="109">
        <f>R469*'RFQ_Matalan Carton'!$M$32</f>
        <v>0</v>
      </c>
      <c r="T469" s="110">
        <f>S469</f>
        <v>0</v>
      </c>
      <c r="U469" s="110">
        <f>I469*T469</f>
        <v>0</v>
      </c>
      <c r="V469" s="111">
        <f>((T469*I469)-W469)*7.5%</f>
        <v>0</v>
      </c>
      <c r="W469" s="110">
        <f>S469*I469*10%</f>
        <v>0</v>
      </c>
      <c r="X469" s="113"/>
    </row>
    <row r="470" spans="1:24">
      <c r="A470" s="103"/>
      <c r="B470" s="103"/>
      <c r="C470" s="105"/>
      <c r="D470" s="103"/>
      <c r="E470" s="103"/>
      <c r="F470" s="103"/>
      <c r="G470" s="105"/>
      <c r="H470" s="105"/>
      <c r="I470" s="105"/>
      <c r="J470" s="105"/>
      <c r="K470" s="105"/>
      <c r="L470" s="105"/>
      <c r="M470" s="107" cm="1">
        <f t="array" ref="M470">IFERROR(_xlfn.SWITCH(L470,"R-FPA",495,"R-FPB",595,"R-FPC",595,"R-FPD",595,"Custom Carton","input L"),0)</f>
        <v>0</v>
      </c>
      <c r="N470" s="107" cm="1">
        <f t="array" ref="N470">IFERROR(_xlfn.SWITCH(L470,"R-FPA",285,"R-FPB",285,"R-FPC",325,"R-FPD",380,"Custom Carton","input W"),0)</f>
        <v>0</v>
      </c>
      <c r="O470" s="107" cm="1">
        <f t="array" ref="O470">IFERROR(_xlfn.SWITCH(L470,"R-FPA","input H","R-FPB","input H","R-FPC","input H","R-FPD","input H","Custom Carton","input H"),0)</f>
        <v>0</v>
      </c>
      <c r="P470" s="107">
        <f>IFERROR(IF(K470="",0,(M470+N470)*2+15),0)</f>
        <v>0</v>
      </c>
      <c r="Q470" s="107">
        <f>IFERROR(IF(K470="",0,(N470+O470)-10),0)</f>
        <v>0</v>
      </c>
      <c r="R470" s="108">
        <f xml:space="preserve"> P470 * Q470 * (1 + 2.5%) / 1000000</f>
        <v>0</v>
      </c>
      <c r="S470" s="109">
        <f>R470*'RFQ_Matalan Carton'!$M$32</f>
        <v>0</v>
      </c>
      <c r="T470" s="110">
        <f>S470</f>
        <v>0</v>
      </c>
      <c r="U470" s="110">
        <f>I470*T470</f>
        <v>0</v>
      </c>
      <c r="V470" s="111">
        <f>((T470*I470)-W470)*7.5%</f>
        <v>0</v>
      </c>
      <c r="W470" s="110">
        <f>S470*I470*10%</f>
        <v>0</v>
      </c>
      <c r="X470" s="113"/>
    </row>
    <row r="471" spans="1:24">
      <c r="A471" s="103"/>
      <c r="B471" s="103"/>
      <c r="C471" s="105"/>
      <c r="D471" s="103"/>
      <c r="E471" s="103"/>
      <c r="F471" s="103"/>
      <c r="G471" s="105"/>
      <c r="H471" s="105"/>
      <c r="I471" s="105"/>
      <c r="J471" s="105"/>
      <c r="K471" s="105"/>
      <c r="L471" s="105"/>
      <c r="M471" s="107" cm="1">
        <f t="array" ref="M471">IFERROR(_xlfn.SWITCH(L471,"R-FPA",495,"R-FPB",595,"R-FPC",595,"R-FPD",595,"Custom Carton","input L"),0)</f>
        <v>0</v>
      </c>
      <c r="N471" s="107" cm="1">
        <f t="array" ref="N471">IFERROR(_xlfn.SWITCH(L471,"R-FPA",285,"R-FPB",285,"R-FPC",325,"R-FPD",380,"Custom Carton","input W"),0)</f>
        <v>0</v>
      </c>
      <c r="O471" s="107" cm="1">
        <f t="array" ref="O471">IFERROR(_xlfn.SWITCH(L471,"R-FPA","input H","R-FPB","input H","R-FPC","input H","R-FPD","input H","Custom Carton","input H"),0)</f>
        <v>0</v>
      </c>
      <c r="P471" s="107">
        <f>IFERROR(IF(K471="",0,(M471+N471)*2+15),0)</f>
        <v>0</v>
      </c>
      <c r="Q471" s="107">
        <f>IFERROR(IF(K471="",0,(N471+O471)-10),0)</f>
        <v>0</v>
      </c>
      <c r="R471" s="108">
        <f xml:space="preserve"> P471 * Q471 * (1 + 2.5%) / 1000000</f>
        <v>0</v>
      </c>
      <c r="S471" s="109">
        <f>R471*'RFQ_Matalan Carton'!$M$32</f>
        <v>0</v>
      </c>
      <c r="T471" s="110">
        <f>S471</f>
        <v>0</v>
      </c>
      <c r="U471" s="110">
        <f>I471*T471</f>
        <v>0</v>
      </c>
      <c r="V471" s="111">
        <f>((T471*I471)-W471)*7.5%</f>
        <v>0</v>
      </c>
      <c r="W471" s="110">
        <f>S471*I471*10%</f>
        <v>0</v>
      </c>
      <c r="X471" s="113"/>
    </row>
    <row r="472" spans="1:24">
      <c r="A472" s="103"/>
      <c r="B472" s="103"/>
      <c r="C472" s="105"/>
      <c r="D472" s="103"/>
      <c r="E472" s="103"/>
      <c r="F472" s="103"/>
      <c r="G472" s="105"/>
      <c r="H472" s="105"/>
      <c r="I472" s="105"/>
      <c r="J472" s="105"/>
      <c r="K472" s="105"/>
      <c r="L472" s="105"/>
      <c r="M472" s="107" cm="1">
        <f t="array" ref="M472">IFERROR(_xlfn.SWITCH(L472,"R-FPA",495,"R-FPB",595,"R-FPC",595,"R-FPD",595,"Custom Carton","input L"),0)</f>
        <v>0</v>
      </c>
      <c r="N472" s="107" cm="1">
        <f t="array" ref="N472">IFERROR(_xlfn.SWITCH(L472,"R-FPA",285,"R-FPB",285,"R-FPC",325,"R-FPD",380,"Custom Carton","input W"),0)</f>
        <v>0</v>
      </c>
      <c r="O472" s="107" cm="1">
        <f t="array" ref="O472">IFERROR(_xlfn.SWITCH(L472,"R-FPA","input H","R-FPB","input H","R-FPC","input H","R-FPD","input H","Custom Carton","input H"),0)</f>
        <v>0</v>
      </c>
      <c r="P472" s="107">
        <f>IFERROR(IF(K472="",0,(M472+N472)*2+15),0)</f>
        <v>0</v>
      </c>
      <c r="Q472" s="107">
        <f>IFERROR(IF(K472="",0,(N472+O472)-10),0)</f>
        <v>0</v>
      </c>
      <c r="R472" s="108">
        <f xml:space="preserve"> P472 * Q472 * (1 + 2.5%) / 1000000</f>
        <v>0</v>
      </c>
      <c r="S472" s="109">
        <f>R472*'RFQ_Matalan Carton'!$M$32</f>
        <v>0</v>
      </c>
      <c r="T472" s="110">
        <f>S472</f>
        <v>0</v>
      </c>
      <c r="U472" s="110">
        <f>I472*T472</f>
        <v>0</v>
      </c>
      <c r="V472" s="111">
        <f>((T472*I472)-W472)*7.5%</f>
        <v>0</v>
      </c>
      <c r="W472" s="110">
        <f>S472*I472*10%</f>
        <v>0</v>
      </c>
      <c r="X472" s="113"/>
    </row>
    <row r="473" spans="1:24">
      <c r="A473" s="103"/>
      <c r="B473" s="103"/>
      <c r="C473" s="105"/>
      <c r="D473" s="103"/>
      <c r="E473" s="103"/>
      <c r="F473" s="103"/>
      <c r="G473" s="105"/>
      <c r="H473" s="105"/>
      <c r="I473" s="105"/>
      <c r="J473" s="105"/>
      <c r="K473" s="105"/>
      <c r="L473" s="105"/>
      <c r="M473" s="107" cm="1">
        <f t="array" ref="M473">IFERROR(_xlfn.SWITCH(L473,"R-FPA",495,"R-FPB",595,"R-FPC",595,"R-FPD",595,"Custom Carton","input L"),0)</f>
        <v>0</v>
      </c>
      <c r="N473" s="107" cm="1">
        <f t="array" ref="N473">IFERROR(_xlfn.SWITCH(L473,"R-FPA",285,"R-FPB",285,"R-FPC",325,"R-FPD",380,"Custom Carton","input W"),0)</f>
        <v>0</v>
      </c>
      <c r="O473" s="107" cm="1">
        <f t="array" ref="O473">IFERROR(_xlfn.SWITCH(L473,"R-FPA","input H","R-FPB","input H","R-FPC","input H","R-FPD","input H","Custom Carton","input H"),0)</f>
        <v>0</v>
      </c>
      <c r="P473" s="107">
        <f>IFERROR(IF(K473="",0,(M473+N473)*2+15),0)</f>
        <v>0</v>
      </c>
      <c r="Q473" s="107">
        <f>IFERROR(IF(K473="",0,(N473+O473)-10),0)</f>
        <v>0</v>
      </c>
      <c r="R473" s="108">
        <f xml:space="preserve"> P473 * Q473 * (1 + 2.5%) / 1000000</f>
        <v>0</v>
      </c>
      <c r="S473" s="109">
        <f>R473*'RFQ_Matalan Carton'!$M$32</f>
        <v>0</v>
      </c>
      <c r="T473" s="110">
        <f>S473</f>
        <v>0</v>
      </c>
      <c r="U473" s="110">
        <f>I473*T473</f>
        <v>0</v>
      </c>
      <c r="V473" s="111">
        <f>((T473*I473)-W473)*7.5%</f>
        <v>0</v>
      </c>
      <c r="W473" s="110">
        <f>S473*I473*10%</f>
        <v>0</v>
      </c>
      <c r="X473" s="113"/>
    </row>
    <row r="474" spans="1:24">
      <c r="A474" s="103"/>
      <c r="B474" s="103"/>
      <c r="C474" s="105"/>
      <c r="D474" s="103"/>
      <c r="E474" s="103"/>
      <c r="F474" s="103"/>
      <c r="G474" s="105"/>
      <c r="H474" s="105"/>
      <c r="I474" s="105"/>
      <c r="J474" s="105"/>
      <c r="K474" s="105"/>
      <c r="L474" s="105"/>
      <c r="M474" s="107" cm="1">
        <f t="array" ref="M474">IFERROR(_xlfn.SWITCH(L474,"R-FPA",495,"R-FPB",595,"R-FPC",595,"R-FPD",595,"Custom Carton","input L"),0)</f>
        <v>0</v>
      </c>
      <c r="N474" s="107" cm="1">
        <f t="array" ref="N474">IFERROR(_xlfn.SWITCH(L474,"R-FPA",285,"R-FPB",285,"R-FPC",325,"R-FPD",380,"Custom Carton","input W"),0)</f>
        <v>0</v>
      </c>
      <c r="O474" s="107" cm="1">
        <f t="array" ref="O474">IFERROR(_xlfn.SWITCH(L474,"R-FPA","input H","R-FPB","input H","R-FPC","input H","R-FPD","input H","Custom Carton","input H"),0)</f>
        <v>0</v>
      </c>
      <c r="P474" s="107">
        <f>IFERROR(IF(K474="",0,(M474+N474)*2+15),0)</f>
        <v>0</v>
      </c>
      <c r="Q474" s="107">
        <f>IFERROR(IF(K474="",0,(N474+O474)-10),0)</f>
        <v>0</v>
      </c>
      <c r="R474" s="108">
        <f xml:space="preserve"> P474 * Q474 * (1 + 2.5%) / 1000000</f>
        <v>0</v>
      </c>
      <c r="S474" s="109">
        <f>R474*'RFQ_Matalan Carton'!$M$32</f>
        <v>0</v>
      </c>
      <c r="T474" s="110">
        <f>S474</f>
        <v>0</v>
      </c>
      <c r="U474" s="110">
        <f>I474*T474</f>
        <v>0</v>
      </c>
      <c r="V474" s="111">
        <f>((T474*I474)-W474)*7.5%</f>
        <v>0</v>
      </c>
      <c r="W474" s="110">
        <f>S474*I474*10%</f>
        <v>0</v>
      </c>
      <c r="X474" s="113"/>
    </row>
    <row r="475" spans="1:24">
      <c r="A475" s="103"/>
      <c r="B475" s="103"/>
      <c r="C475" s="105"/>
      <c r="D475" s="103"/>
      <c r="E475" s="103"/>
      <c r="F475" s="103"/>
      <c r="G475" s="105"/>
      <c r="H475" s="105"/>
      <c r="I475" s="105"/>
      <c r="J475" s="105"/>
      <c r="K475" s="105"/>
      <c r="L475" s="105"/>
      <c r="M475" s="107" cm="1">
        <f t="array" ref="M475">IFERROR(_xlfn.SWITCH(L475,"R-FPA",495,"R-FPB",595,"R-FPC",595,"R-FPD",595,"Custom Carton","input L"),0)</f>
        <v>0</v>
      </c>
      <c r="N475" s="107" cm="1">
        <f t="array" ref="N475">IFERROR(_xlfn.SWITCH(L475,"R-FPA",285,"R-FPB",285,"R-FPC",325,"R-FPD",380,"Custom Carton","input W"),0)</f>
        <v>0</v>
      </c>
      <c r="O475" s="107" cm="1">
        <f t="array" ref="O475">IFERROR(_xlfn.SWITCH(L475,"R-FPA","input H","R-FPB","input H","R-FPC","input H","R-FPD","input H","Custom Carton","input H"),0)</f>
        <v>0</v>
      </c>
      <c r="P475" s="107">
        <f>IFERROR(IF(K475="",0,(M475+N475)*2+15),0)</f>
        <v>0</v>
      </c>
      <c r="Q475" s="107">
        <f>IFERROR(IF(K475="",0,(N475+O475)-10),0)</f>
        <v>0</v>
      </c>
      <c r="R475" s="108">
        <f xml:space="preserve"> P475 * Q475 * (1 + 2.5%) / 1000000</f>
        <v>0</v>
      </c>
      <c r="S475" s="109">
        <f>R475*'RFQ_Matalan Carton'!$M$32</f>
        <v>0</v>
      </c>
      <c r="T475" s="110">
        <f>S475</f>
        <v>0</v>
      </c>
      <c r="U475" s="110">
        <f>I475*T475</f>
        <v>0</v>
      </c>
      <c r="V475" s="111">
        <f>((T475*I475)-W475)*7.5%</f>
        <v>0</v>
      </c>
      <c r="W475" s="110">
        <f>S475*I475*10%</f>
        <v>0</v>
      </c>
      <c r="X475" s="113"/>
    </row>
    <row r="476" spans="1:24">
      <c r="A476" s="103"/>
      <c r="B476" s="103"/>
      <c r="C476" s="105"/>
      <c r="D476" s="103"/>
      <c r="E476" s="103"/>
      <c r="F476" s="103"/>
      <c r="G476" s="105"/>
      <c r="H476" s="105"/>
      <c r="I476" s="105"/>
      <c r="J476" s="105"/>
      <c r="K476" s="105"/>
      <c r="L476" s="105"/>
      <c r="M476" s="107" cm="1">
        <f t="array" ref="M476">IFERROR(_xlfn.SWITCH(L476,"R-FPA",495,"R-FPB",595,"R-FPC",595,"R-FPD",595,"Custom Carton","input L"),0)</f>
        <v>0</v>
      </c>
      <c r="N476" s="107" cm="1">
        <f t="array" ref="N476">IFERROR(_xlfn.SWITCH(L476,"R-FPA",285,"R-FPB",285,"R-FPC",325,"R-FPD",380,"Custom Carton","input W"),0)</f>
        <v>0</v>
      </c>
      <c r="O476" s="107" cm="1">
        <f t="array" ref="O476">IFERROR(_xlfn.SWITCH(L476,"R-FPA","input H","R-FPB","input H","R-FPC","input H","R-FPD","input H","Custom Carton","input H"),0)</f>
        <v>0</v>
      </c>
      <c r="P476" s="107">
        <f>IFERROR(IF(K476="",0,(M476+N476)*2+15),0)</f>
        <v>0</v>
      </c>
      <c r="Q476" s="107">
        <f>IFERROR(IF(K476="",0,(N476+O476)-10),0)</f>
        <v>0</v>
      </c>
      <c r="R476" s="108">
        <f xml:space="preserve"> P476 * Q476 * (1 + 2.5%) / 1000000</f>
        <v>0</v>
      </c>
      <c r="S476" s="109">
        <f>R476*'RFQ_Matalan Carton'!$M$32</f>
        <v>0</v>
      </c>
      <c r="T476" s="110">
        <f>S476</f>
        <v>0</v>
      </c>
      <c r="U476" s="110">
        <f>I476*T476</f>
        <v>0</v>
      </c>
      <c r="V476" s="111">
        <f>((T476*I476)-W476)*7.5%</f>
        <v>0</v>
      </c>
      <c r="W476" s="110">
        <f>S476*I476*10%</f>
        <v>0</v>
      </c>
      <c r="X476" s="113"/>
    </row>
    <row r="477" spans="1:24">
      <c r="A477" s="103"/>
      <c r="B477" s="103"/>
      <c r="C477" s="105"/>
      <c r="D477" s="103"/>
      <c r="E477" s="103"/>
      <c r="F477" s="103"/>
      <c r="G477" s="105"/>
      <c r="H477" s="105"/>
      <c r="I477" s="105"/>
      <c r="J477" s="105"/>
      <c r="K477" s="105"/>
      <c r="L477" s="105"/>
      <c r="M477" s="107" cm="1">
        <f t="array" ref="M477">IFERROR(_xlfn.SWITCH(L477,"R-FPA",495,"R-FPB",595,"R-FPC",595,"R-FPD",595,"Custom Carton","input L"),0)</f>
        <v>0</v>
      </c>
      <c r="N477" s="107" cm="1">
        <f t="array" ref="N477">IFERROR(_xlfn.SWITCH(L477,"R-FPA",285,"R-FPB",285,"R-FPC",325,"R-FPD",380,"Custom Carton","input W"),0)</f>
        <v>0</v>
      </c>
      <c r="O477" s="107" cm="1">
        <f t="array" ref="O477">IFERROR(_xlfn.SWITCH(L477,"R-FPA","input H","R-FPB","input H","R-FPC","input H","R-FPD","input H","Custom Carton","input H"),0)</f>
        <v>0</v>
      </c>
      <c r="P477" s="107">
        <f>IFERROR(IF(K477="",0,(M477+N477)*2+15),0)</f>
        <v>0</v>
      </c>
      <c r="Q477" s="107">
        <f>IFERROR(IF(K477="",0,(N477+O477)-10),0)</f>
        <v>0</v>
      </c>
      <c r="R477" s="108">
        <f xml:space="preserve"> P477 * Q477 * (1 + 2.5%) / 1000000</f>
        <v>0</v>
      </c>
      <c r="S477" s="109">
        <f>R477*'RFQ_Matalan Carton'!$M$32</f>
        <v>0</v>
      </c>
      <c r="T477" s="110">
        <f>S477</f>
        <v>0</v>
      </c>
      <c r="U477" s="110">
        <f>I477*T477</f>
        <v>0</v>
      </c>
      <c r="V477" s="111">
        <f>((T477*I477)-W477)*7.5%</f>
        <v>0</v>
      </c>
      <c r="W477" s="110">
        <f>S477*I477*10%</f>
        <v>0</v>
      </c>
      <c r="X477" s="113"/>
    </row>
    <row r="478" spans="1:24">
      <c r="A478" s="103"/>
      <c r="B478" s="103"/>
      <c r="C478" s="105"/>
      <c r="D478" s="103"/>
      <c r="E478" s="103"/>
      <c r="F478" s="103"/>
      <c r="G478" s="105"/>
      <c r="H478" s="105"/>
      <c r="I478" s="105"/>
      <c r="J478" s="105"/>
      <c r="K478" s="105"/>
      <c r="L478" s="105"/>
      <c r="M478" s="107" cm="1">
        <f t="array" ref="M478">IFERROR(_xlfn.SWITCH(L478,"R-FPA",495,"R-FPB",595,"R-FPC",595,"R-FPD",595,"Custom Carton","input L"),0)</f>
        <v>0</v>
      </c>
      <c r="N478" s="107" cm="1">
        <f t="array" ref="N478">IFERROR(_xlfn.SWITCH(L478,"R-FPA",285,"R-FPB",285,"R-FPC",325,"R-FPD",380,"Custom Carton","input W"),0)</f>
        <v>0</v>
      </c>
      <c r="O478" s="107" cm="1">
        <f t="array" ref="O478">IFERROR(_xlfn.SWITCH(L478,"R-FPA","input H","R-FPB","input H","R-FPC","input H","R-FPD","input H","Custom Carton","input H"),0)</f>
        <v>0</v>
      </c>
      <c r="P478" s="107">
        <f>IFERROR(IF(K478="",0,(M478+N478)*2+15),0)</f>
        <v>0</v>
      </c>
      <c r="Q478" s="107">
        <f>IFERROR(IF(K478="",0,(N478+O478)-10),0)</f>
        <v>0</v>
      </c>
      <c r="R478" s="108">
        <f xml:space="preserve"> P478 * Q478 * (1 + 2.5%) / 1000000</f>
        <v>0</v>
      </c>
      <c r="S478" s="109">
        <f>R478*'RFQ_Matalan Carton'!$M$32</f>
        <v>0</v>
      </c>
      <c r="T478" s="110">
        <f>S478</f>
        <v>0</v>
      </c>
      <c r="U478" s="110">
        <f>I478*T478</f>
        <v>0</v>
      </c>
      <c r="V478" s="111">
        <f>((T478*I478)-W478)*7.5%</f>
        <v>0</v>
      </c>
      <c r="W478" s="110">
        <f>S478*I478*10%</f>
        <v>0</v>
      </c>
      <c r="X478" s="113"/>
    </row>
    <row r="479" spans="1:24">
      <c r="A479" s="103"/>
      <c r="B479" s="103"/>
      <c r="C479" s="105"/>
      <c r="D479" s="103"/>
      <c r="E479" s="103"/>
      <c r="F479" s="103"/>
      <c r="G479" s="105"/>
      <c r="H479" s="105"/>
      <c r="I479" s="105"/>
      <c r="J479" s="105"/>
      <c r="K479" s="105"/>
      <c r="L479" s="105"/>
      <c r="M479" s="107" cm="1">
        <f t="array" ref="M479">IFERROR(_xlfn.SWITCH(L479,"R-FPA",495,"R-FPB",595,"R-FPC",595,"R-FPD",595,"Custom Carton","input L"),0)</f>
        <v>0</v>
      </c>
      <c r="N479" s="107" cm="1">
        <f t="array" ref="N479">IFERROR(_xlfn.SWITCH(L479,"R-FPA",285,"R-FPB",285,"R-FPC",325,"R-FPD",380,"Custom Carton","input W"),0)</f>
        <v>0</v>
      </c>
      <c r="O479" s="107" cm="1">
        <f t="array" ref="O479">IFERROR(_xlfn.SWITCH(L479,"R-FPA","input H","R-FPB","input H","R-FPC","input H","R-FPD","input H","Custom Carton","input H"),0)</f>
        <v>0</v>
      </c>
      <c r="P479" s="107">
        <f>IFERROR(IF(K479="",0,(M479+N479)*2+15),0)</f>
        <v>0</v>
      </c>
      <c r="Q479" s="107">
        <f>IFERROR(IF(K479="",0,(N479+O479)-10),0)</f>
        <v>0</v>
      </c>
      <c r="R479" s="108">
        <f xml:space="preserve"> P479 * Q479 * (1 + 2.5%) / 1000000</f>
        <v>0</v>
      </c>
      <c r="S479" s="109">
        <f>R479*'RFQ_Matalan Carton'!$M$32</f>
        <v>0</v>
      </c>
      <c r="T479" s="110">
        <f>S479</f>
        <v>0</v>
      </c>
      <c r="U479" s="110">
        <f>I479*T479</f>
        <v>0</v>
      </c>
      <c r="V479" s="111">
        <f>((T479*I479)-W479)*7.5%</f>
        <v>0</v>
      </c>
      <c r="W479" s="110">
        <f>S479*I479*10%</f>
        <v>0</v>
      </c>
      <c r="X479" s="113"/>
    </row>
    <row r="480" spans="1:24">
      <c r="A480" s="103"/>
      <c r="B480" s="103"/>
      <c r="C480" s="105"/>
      <c r="D480" s="103"/>
      <c r="E480" s="103"/>
      <c r="F480" s="103"/>
      <c r="G480" s="105"/>
      <c r="H480" s="105"/>
      <c r="I480" s="105"/>
      <c r="J480" s="105"/>
      <c r="K480" s="105"/>
      <c r="L480" s="105"/>
      <c r="M480" s="107" cm="1">
        <f t="array" ref="M480">IFERROR(_xlfn.SWITCH(L480,"R-FPA",495,"R-FPB",595,"R-FPC",595,"R-FPD",595,"Custom Carton","input L"),0)</f>
        <v>0</v>
      </c>
      <c r="N480" s="107" cm="1">
        <f t="array" ref="N480">IFERROR(_xlfn.SWITCH(L480,"R-FPA",285,"R-FPB",285,"R-FPC",325,"R-FPD",380,"Custom Carton","input W"),0)</f>
        <v>0</v>
      </c>
      <c r="O480" s="107" cm="1">
        <f t="array" ref="O480">IFERROR(_xlfn.SWITCH(L480,"R-FPA","input H","R-FPB","input H","R-FPC","input H","R-FPD","input H","Custom Carton","input H"),0)</f>
        <v>0</v>
      </c>
      <c r="P480" s="107">
        <f>IFERROR(IF(K480="",0,(M480+N480)*2+15),0)</f>
        <v>0</v>
      </c>
      <c r="Q480" s="107">
        <f>IFERROR(IF(K480="",0,(N480+O480)-10),0)</f>
        <v>0</v>
      </c>
      <c r="R480" s="108">
        <f xml:space="preserve"> P480 * Q480 * (1 + 2.5%) / 1000000</f>
        <v>0</v>
      </c>
      <c r="S480" s="109">
        <f>R480*'RFQ_Matalan Carton'!$M$32</f>
        <v>0</v>
      </c>
      <c r="T480" s="110">
        <f>S480</f>
        <v>0</v>
      </c>
      <c r="U480" s="110">
        <f>I480*T480</f>
        <v>0</v>
      </c>
      <c r="V480" s="111">
        <f>((T480*I480)-W480)*7.5%</f>
        <v>0</v>
      </c>
      <c r="W480" s="110">
        <f>S480*I480*10%</f>
        <v>0</v>
      </c>
      <c r="X480" s="113"/>
    </row>
    <row r="481" spans="1:24">
      <c r="A481" s="103"/>
      <c r="B481" s="103"/>
      <c r="C481" s="105"/>
      <c r="D481" s="103"/>
      <c r="E481" s="103"/>
      <c r="F481" s="103"/>
      <c r="G481" s="105"/>
      <c r="H481" s="105"/>
      <c r="I481" s="105"/>
      <c r="J481" s="105"/>
      <c r="K481" s="105"/>
      <c r="L481" s="105"/>
      <c r="M481" s="107" cm="1">
        <f t="array" ref="M481">IFERROR(_xlfn.SWITCH(L481,"R-FPA",495,"R-FPB",595,"R-FPC",595,"R-FPD",595,"Custom Carton","input L"),0)</f>
        <v>0</v>
      </c>
      <c r="N481" s="107" cm="1">
        <f t="array" ref="N481">IFERROR(_xlfn.SWITCH(L481,"R-FPA",285,"R-FPB",285,"R-FPC",325,"R-FPD",380,"Custom Carton","input W"),0)</f>
        <v>0</v>
      </c>
      <c r="O481" s="107" cm="1">
        <f t="array" ref="O481">IFERROR(_xlfn.SWITCH(L481,"R-FPA","input H","R-FPB","input H","R-FPC","input H","R-FPD","input H","Custom Carton","input H"),0)</f>
        <v>0</v>
      </c>
      <c r="P481" s="107">
        <f>IFERROR(IF(K481="",0,(M481+N481)*2+15),0)</f>
        <v>0</v>
      </c>
      <c r="Q481" s="107">
        <f>IFERROR(IF(K481="",0,(N481+O481)-10),0)</f>
        <v>0</v>
      </c>
      <c r="R481" s="108">
        <f xml:space="preserve"> P481 * Q481 * (1 + 2.5%) / 1000000</f>
        <v>0</v>
      </c>
      <c r="S481" s="109">
        <f>R481*'RFQ_Matalan Carton'!$M$32</f>
        <v>0</v>
      </c>
      <c r="T481" s="110">
        <f>S481</f>
        <v>0</v>
      </c>
      <c r="U481" s="110">
        <f>I481*T481</f>
        <v>0</v>
      </c>
      <c r="V481" s="111">
        <f>((T481*I481)-W481)*7.5%</f>
        <v>0</v>
      </c>
      <c r="W481" s="110">
        <f>S481*I481*10%</f>
        <v>0</v>
      </c>
      <c r="X481" s="113"/>
    </row>
    <row r="482" spans="1:24">
      <c r="A482" s="103"/>
      <c r="B482" s="103"/>
      <c r="C482" s="105"/>
      <c r="D482" s="103"/>
      <c r="E482" s="103"/>
      <c r="F482" s="103"/>
      <c r="G482" s="105"/>
      <c r="H482" s="105"/>
      <c r="I482" s="105"/>
      <c r="J482" s="105"/>
      <c r="K482" s="105"/>
      <c r="L482" s="105"/>
      <c r="M482" s="107" cm="1">
        <f t="array" ref="M482">IFERROR(_xlfn.SWITCH(L482,"R-FPA",495,"R-FPB",595,"R-FPC",595,"R-FPD",595,"Custom Carton","input L"),0)</f>
        <v>0</v>
      </c>
      <c r="N482" s="107" cm="1">
        <f t="array" ref="N482">IFERROR(_xlfn.SWITCH(L482,"R-FPA",285,"R-FPB",285,"R-FPC",325,"R-FPD",380,"Custom Carton","input W"),0)</f>
        <v>0</v>
      </c>
      <c r="O482" s="107" cm="1">
        <f t="array" ref="O482">IFERROR(_xlfn.SWITCH(L482,"R-FPA","input H","R-FPB","input H","R-FPC","input H","R-FPD","input H","Custom Carton","input H"),0)</f>
        <v>0</v>
      </c>
      <c r="P482" s="107">
        <f>IFERROR(IF(K482="",0,(M482+N482)*2+15),0)</f>
        <v>0</v>
      </c>
      <c r="Q482" s="107">
        <f>IFERROR(IF(K482="",0,(N482+O482)-10),0)</f>
        <v>0</v>
      </c>
      <c r="R482" s="108">
        <f xml:space="preserve"> P482 * Q482 * (1 + 2.5%) / 1000000</f>
        <v>0</v>
      </c>
      <c r="S482" s="109">
        <f>R482*'RFQ_Matalan Carton'!$M$32</f>
        <v>0</v>
      </c>
      <c r="T482" s="110">
        <f>S482</f>
        <v>0</v>
      </c>
      <c r="U482" s="110">
        <f>I482*T482</f>
        <v>0</v>
      </c>
      <c r="V482" s="111">
        <f>((T482*I482)-W482)*7.5%</f>
        <v>0</v>
      </c>
      <c r="W482" s="110">
        <f>S482*I482*10%</f>
        <v>0</v>
      </c>
      <c r="X482" s="113"/>
    </row>
    <row r="483" spans="1:24">
      <c r="A483" s="103"/>
      <c r="B483" s="103"/>
      <c r="C483" s="105"/>
      <c r="D483" s="103"/>
      <c r="E483" s="103"/>
      <c r="F483" s="103"/>
      <c r="G483" s="105"/>
      <c r="H483" s="105"/>
      <c r="I483" s="105"/>
      <c r="J483" s="105"/>
      <c r="K483" s="105"/>
      <c r="L483" s="105"/>
      <c r="M483" s="107" cm="1">
        <f t="array" ref="M483">IFERROR(_xlfn.SWITCH(L483,"R-FPA",495,"R-FPB",595,"R-FPC",595,"R-FPD",595,"Custom Carton","input L"),0)</f>
        <v>0</v>
      </c>
      <c r="N483" s="107" cm="1">
        <f t="array" ref="N483">IFERROR(_xlfn.SWITCH(L483,"R-FPA",285,"R-FPB",285,"R-FPC",325,"R-FPD",380,"Custom Carton","input W"),0)</f>
        <v>0</v>
      </c>
      <c r="O483" s="107" cm="1">
        <f t="array" ref="O483">IFERROR(_xlfn.SWITCH(L483,"R-FPA","input H","R-FPB","input H","R-FPC","input H","R-FPD","input H","Custom Carton","input H"),0)</f>
        <v>0</v>
      </c>
      <c r="P483" s="107">
        <f>IFERROR(IF(K483="",0,(M483+N483)*2+15),0)</f>
        <v>0</v>
      </c>
      <c r="Q483" s="107">
        <f>IFERROR(IF(K483="",0,(N483+O483)-10),0)</f>
        <v>0</v>
      </c>
      <c r="R483" s="108">
        <f xml:space="preserve"> P483 * Q483 * (1 + 2.5%) / 1000000</f>
        <v>0</v>
      </c>
      <c r="S483" s="109">
        <f>R483*'RFQ_Matalan Carton'!$M$32</f>
        <v>0</v>
      </c>
      <c r="T483" s="110">
        <f>S483</f>
        <v>0</v>
      </c>
      <c r="U483" s="110">
        <f>I483*T483</f>
        <v>0</v>
      </c>
      <c r="V483" s="111">
        <f>((T483*I483)-W483)*7.5%</f>
        <v>0</v>
      </c>
      <c r="W483" s="110">
        <f>S483*I483*10%</f>
        <v>0</v>
      </c>
      <c r="X483" s="113"/>
    </row>
    <row r="484" spans="1:24">
      <c r="A484" s="103"/>
      <c r="B484" s="103"/>
      <c r="C484" s="105"/>
      <c r="D484" s="103"/>
      <c r="E484" s="103"/>
      <c r="F484" s="103"/>
      <c r="G484" s="105"/>
      <c r="H484" s="105"/>
      <c r="I484" s="105"/>
      <c r="J484" s="105"/>
      <c r="K484" s="105"/>
      <c r="L484" s="105"/>
      <c r="M484" s="107" cm="1">
        <f t="array" ref="M484">IFERROR(_xlfn.SWITCH(L484,"R-FPA",495,"R-FPB",595,"R-FPC",595,"R-FPD",595,"Custom Carton","input L"),0)</f>
        <v>0</v>
      </c>
      <c r="N484" s="107" cm="1">
        <f t="array" ref="N484">IFERROR(_xlfn.SWITCH(L484,"R-FPA",285,"R-FPB",285,"R-FPC",325,"R-FPD",380,"Custom Carton","input W"),0)</f>
        <v>0</v>
      </c>
      <c r="O484" s="107" cm="1">
        <f t="array" ref="O484">IFERROR(_xlfn.SWITCH(L484,"R-FPA","input H","R-FPB","input H","R-FPC","input H","R-FPD","input H","Custom Carton","input H"),0)</f>
        <v>0</v>
      </c>
      <c r="P484" s="107">
        <f>IFERROR(IF(K484="",0,(M484+N484)*2+15),0)</f>
        <v>0</v>
      </c>
      <c r="Q484" s="107">
        <f>IFERROR(IF(K484="",0,(N484+O484)-10),0)</f>
        <v>0</v>
      </c>
      <c r="R484" s="108">
        <f xml:space="preserve"> P484 * Q484 * (1 + 2.5%) / 1000000</f>
        <v>0</v>
      </c>
      <c r="S484" s="109">
        <f>R484*'RFQ_Matalan Carton'!$M$32</f>
        <v>0</v>
      </c>
      <c r="T484" s="110">
        <f>S484</f>
        <v>0</v>
      </c>
      <c r="U484" s="110">
        <f>I484*T484</f>
        <v>0</v>
      </c>
      <c r="V484" s="111">
        <f>((T484*I484)-W484)*7.5%</f>
        <v>0</v>
      </c>
      <c r="W484" s="110">
        <f>S484*I484*10%</f>
        <v>0</v>
      </c>
      <c r="X484" s="113"/>
    </row>
    <row r="485" spans="1:24">
      <c r="A485" s="103"/>
      <c r="B485" s="103"/>
      <c r="C485" s="105"/>
      <c r="D485" s="103"/>
      <c r="E485" s="103"/>
      <c r="F485" s="103"/>
      <c r="G485" s="105"/>
      <c r="H485" s="105"/>
      <c r="I485" s="105"/>
      <c r="J485" s="105"/>
      <c r="K485" s="105"/>
      <c r="L485" s="105"/>
      <c r="M485" s="107" cm="1">
        <f t="array" ref="M485">IFERROR(_xlfn.SWITCH(L485,"R-FPA",495,"R-FPB",595,"R-FPC",595,"R-FPD",595,"Custom Carton","input L"),0)</f>
        <v>0</v>
      </c>
      <c r="N485" s="107" cm="1">
        <f t="array" ref="N485">IFERROR(_xlfn.SWITCH(L485,"R-FPA",285,"R-FPB",285,"R-FPC",325,"R-FPD",380,"Custom Carton","input W"),0)</f>
        <v>0</v>
      </c>
      <c r="O485" s="107" cm="1">
        <f t="array" ref="O485">IFERROR(_xlfn.SWITCH(L485,"R-FPA","input H","R-FPB","input H","R-FPC","input H","R-FPD","input H","Custom Carton","input H"),0)</f>
        <v>0</v>
      </c>
      <c r="P485" s="107">
        <f>IFERROR(IF(K485="",0,(M485+N485)*2+15),0)</f>
        <v>0</v>
      </c>
      <c r="Q485" s="107">
        <f>IFERROR(IF(K485="",0,(N485+O485)-10),0)</f>
        <v>0</v>
      </c>
      <c r="R485" s="108">
        <f xml:space="preserve"> P485 * Q485 * (1 + 2.5%) / 1000000</f>
        <v>0</v>
      </c>
      <c r="S485" s="109">
        <f>R485*'RFQ_Matalan Carton'!$M$32</f>
        <v>0</v>
      </c>
      <c r="T485" s="110">
        <f>S485</f>
        <v>0</v>
      </c>
      <c r="U485" s="110">
        <f>I485*T485</f>
        <v>0</v>
      </c>
      <c r="V485" s="111">
        <f>((T485*I485)-W485)*7.5%</f>
        <v>0</v>
      </c>
      <c r="W485" s="110">
        <f>S485*I485*10%</f>
        <v>0</v>
      </c>
      <c r="X485" s="113"/>
    </row>
    <row r="486" spans="1:24">
      <c r="A486" s="103"/>
      <c r="B486" s="103"/>
      <c r="C486" s="105"/>
      <c r="D486" s="103"/>
      <c r="E486" s="103"/>
      <c r="F486" s="103"/>
      <c r="G486" s="105"/>
      <c r="H486" s="105"/>
      <c r="I486" s="105"/>
      <c r="J486" s="105"/>
      <c r="K486" s="105"/>
      <c r="L486" s="105"/>
      <c r="M486" s="107" cm="1">
        <f t="array" ref="M486">IFERROR(_xlfn.SWITCH(L486,"R-FPA",495,"R-FPB",595,"R-FPC",595,"R-FPD",595,"Custom Carton","input L"),0)</f>
        <v>0</v>
      </c>
      <c r="N486" s="107" cm="1">
        <f t="array" ref="N486">IFERROR(_xlfn.SWITCH(L486,"R-FPA",285,"R-FPB",285,"R-FPC",325,"R-FPD",380,"Custom Carton","input W"),0)</f>
        <v>0</v>
      </c>
      <c r="O486" s="107" cm="1">
        <f t="array" ref="O486">IFERROR(_xlfn.SWITCH(L486,"R-FPA","input H","R-FPB","input H","R-FPC","input H","R-FPD","input H","Custom Carton","input H"),0)</f>
        <v>0</v>
      </c>
      <c r="P486" s="107">
        <f>IFERROR(IF(K486="",0,(M486+N486)*2+15),0)</f>
        <v>0</v>
      </c>
      <c r="Q486" s="107">
        <f>IFERROR(IF(K486="",0,(N486+O486)-10),0)</f>
        <v>0</v>
      </c>
      <c r="R486" s="108">
        <f xml:space="preserve"> P486 * Q486 * (1 + 2.5%) / 1000000</f>
        <v>0</v>
      </c>
      <c r="S486" s="109">
        <f>R486*'RFQ_Matalan Carton'!$M$32</f>
        <v>0</v>
      </c>
      <c r="T486" s="110">
        <f>S486</f>
        <v>0</v>
      </c>
      <c r="U486" s="110">
        <f>I486*T486</f>
        <v>0</v>
      </c>
      <c r="V486" s="111">
        <f>((T486*I486)-W486)*7.5%</f>
        <v>0</v>
      </c>
      <c r="W486" s="110">
        <f>S486*I486*10%</f>
        <v>0</v>
      </c>
      <c r="X486" s="113"/>
    </row>
    <row r="487" spans="1:24">
      <c r="A487" s="103"/>
      <c r="B487" s="103"/>
      <c r="C487" s="105"/>
      <c r="D487" s="103"/>
      <c r="E487" s="103"/>
      <c r="F487" s="103"/>
      <c r="G487" s="105"/>
      <c r="H487" s="105"/>
      <c r="I487" s="105"/>
      <c r="J487" s="105"/>
      <c r="K487" s="105"/>
      <c r="L487" s="105"/>
      <c r="M487" s="107" cm="1">
        <f t="array" ref="M487">IFERROR(_xlfn.SWITCH(L487,"R-FPA",495,"R-FPB",595,"R-FPC",595,"R-FPD",595,"Custom Carton","input L"),0)</f>
        <v>0</v>
      </c>
      <c r="N487" s="107" cm="1">
        <f t="array" ref="N487">IFERROR(_xlfn.SWITCH(L487,"R-FPA",285,"R-FPB",285,"R-FPC",325,"R-FPD",380,"Custom Carton","input W"),0)</f>
        <v>0</v>
      </c>
      <c r="O487" s="107" cm="1">
        <f t="array" ref="O487">IFERROR(_xlfn.SWITCH(L487,"R-FPA","input H","R-FPB","input H","R-FPC","input H","R-FPD","input H","Custom Carton","input H"),0)</f>
        <v>0</v>
      </c>
      <c r="P487" s="107">
        <f>IFERROR(IF(K487="",0,(M487+N487)*2+15),0)</f>
        <v>0</v>
      </c>
      <c r="Q487" s="107">
        <f>IFERROR(IF(K487="",0,(N487+O487)-10),0)</f>
        <v>0</v>
      </c>
      <c r="R487" s="108">
        <f xml:space="preserve"> P487 * Q487 * (1 + 2.5%) / 1000000</f>
        <v>0</v>
      </c>
      <c r="S487" s="109">
        <f>R487*'RFQ_Matalan Carton'!$M$32</f>
        <v>0</v>
      </c>
      <c r="T487" s="110">
        <f>S487</f>
        <v>0</v>
      </c>
      <c r="U487" s="110">
        <f>I487*T487</f>
        <v>0</v>
      </c>
      <c r="V487" s="111">
        <f>((T487*I487)-W487)*7.5%</f>
        <v>0</v>
      </c>
      <c r="W487" s="110">
        <f>S487*I487*10%</f>
        <v>0</v>
      </c>
      <c r="X487" s="113"/>
    </row>
    <row r="488" spans="1:24">
      <c r="A488" s="103"/>
      <c r="B488" s="103"/>
      <c r="C488" s="105"/>
      <c r="D488" s="103"/>
      <c r="E488" s="103"/>
      <c r="F488" s="103"/>
      <c r="G488" s="105"/>
      <c r="H488" s="105"/>
      <c r="I488" s="105"/>
      <c r="J488" s="105"/>
      <c r="K488" s="105"/>
      <c r="L488" s="105"/>
      <c r="M488" s="107" cm="1">
        <f t="array" ref="M488">IFERROR(_xlfn.SWITCH(L488,"R-FPA",495,"R-FPB",595,"R-FPC",595,"R-FPD",595,"Custom Carton","input L"),0)</f>
        <v>0</v>
      </c>
      <c r="N488" s="107" cm="1">
        <f t="array" ref="N488">IFERROR(_xlfn.SWITCH(L488,"R-FPA",285,"R-FPB",285,"R-FPC",325,"R-FPD",380,"Custom Carton","input W"),0)</f>
        <v>0</v>
      </c>
      <c r="O488" s="107" cm="1">
        <f t="array" ref="O488">IFERROR(_xlfn.SWITCH(L488,"R-FPA","input H","R-FPB","input H","R-FPC","input H","R-FPD","input H","Custom Carton","input H"),0)</f>
        <v>0</v>
      </c>
      <c r="P488" s="107">
        <f>IFERROR(IF(K488="",0,(M488+N488)*2+15),0)</f>
        <v>0</v>
      </c>
      <c r="Q488" s="107">
        <f>IFERROR(IF(K488="",0,(N488+O488)-10),0)</f>
        <v>0</v>
      </c>
      <c r="R488" s="108">
        <f xml:space="preserve"> P488 * Q488 * (1 + 2.5%) / 1000000</f>
        <v>0</v>
      </c>
      <c r="S488" s="109">
        <f>R488*'RFQ_Matalan Carton'!$M$32</f>
        <v>0</v>
      </c>
      <c r="T488" s="110">
        <f>S488</f>
        <v>0</v>
      </c>
      <c r="U488" s="110">
        <f>I488*T488</f>
        <v>0</v>
      </c>
      <c r="V488" s="111">
        <f>((T488*I488)-W488)*7.5%</f>
        <v>0</v>
      </c>
      <c r="W488" s="110">
        <f>S488*I488*10%</f>
        <v>0</v>
      </c>
      <c r="X488" s="113"/>
    </row>
    <row r="489" spans="1:24">
      <c r="A489" s="103"/>
      <c r="B489" s="103"/>
      <c r="C489" s="105"/>
      <c r="D489" s="103"/>
      <c r="E489" s="103"/>
      <c r="F489" s="103"/>
      <c r="G489" s="105"/>
      <c r="H489" s="105"/>
      <c r="I489" s="105"/>
      <c r="J489" s="105"/>
      <c r="K489" s="105"/>
      <c r="L489" s="105"/>
      <c r="M489" s="107" cm="1">
        <f t="array" ref="M489">IFERROR(_xlfn.SWITCH(L489,"R-FPA",495,"R-FPB",595,"R-FPC",595,"R-FPD",595,"Custom Carton","input L"),0)</f>
        <v>0</v>
      </c>
      <c r="N489" s="107" cm="1">
        <f t="array" ref="N489">IFERROR(_xlfn.SWITCH(L489,"R-FPA",285,"R-FPB",285,"R-FPC",325,"R-FPD",380,"Custom Carton","input W"),0)</f>
        <v>0</v>
      </c>
      <c r="O489" s="107" cm="1">
        <f t="array" ref="O489">IFERROR(_xlfn.SWITCH(L489,"R-FPA","input H","R-FPB","input H","R-FPC","input H","R-FPD","input H","Custom Carton","input H"),0)</f>
        <v>0</v>
      </c>
      <c r="P489" s="107">
        <f>IFERROR(IF(K489="",0,(M489+N489)*2+15),0)</f>
        <v>0</v>
      </c>
      <c r="Q489" s="107">
        <f>IFERROR(IF(K489="",0,(N489+O489)-10),0)</f>
        <v>0</v>
      </c>
      <c r="R489" s="108">
        <f xml:space="preserve"> P489 * Q489 * (1 + 2.5%) / 1000000</f>
        <v>0</v>
      </c>
      <c r="S489" s="109">
        <f>R489*'RFQ_Matalan Carton'!$M$32</f>
        <v>0</v>
      </c>
      <c r="T489" s="110">
        <f>S489</f>
        <v>0</v>
      </c>
      <c r="U489" s="110">
        <f>I489*T489</f>
        <v>0</v>
      </c>
      <c r="V489" s="111">
        <f>((T489*I489)-W489)*7.5%</f>
        <v>0</v>
      </c>
      <c r="W489" s="110">
        <f>S489*I489*10%</f>
        <v>0</v>
      </c>
      <c r="X489" s="113"/>
    </row>
    <row r="490" spans="1:24">
      <c r="A490" s="103"/>
      <c r="B490" s="103"/>
      <c r="C490" s="105"/>
      <c r="D490" s="103"/>
      <c r="E490" s="103"/>
      <c r="F490" s="103"/>
      <c r="G490" s="105"/>
      <c r="H490" s="105"/>
      <c r="I490" s="105"/>
      <c r="J490" s="105"/>
      <c r="K490" s="105"/>
      <c r="L490" s="105"/>
      <c r="M490" s="107" cm="1">
        <f t="array" ref="M490">IFERROR(_xlfn.SWITCH(L490,"R-FPA",495,"R-FPB",595,"R-FPC",595,"R-FPD",595,"Custom Carton","input L"),0)</f>
        <v>0</v>
      </c>
      <c r="N490" s="107" cm="1">
        <f t="array" ref="N490">IFERROR(_xlfn.SWITCH(L490,"R-FPA",285,"R-FPB",285,"R-FPC",325,"R-FPD",380,"Custom Carton","input W"),0)</f>
        <v>0</v>
      </c>
      <c r="O490" s="107" cm="1">
        <f t="array" ref="O490">IFERROR(_xlfn.SWITCH(L490,"R-FPA","input H","R-FPB","input H","R-FPC","input H","R-FPD","input H","Custom Carton","input H"),0)</f>
        <v>0</v>
      </c>
      <c r="P490" s="107">
        <f>IFERROR(IF(K490="",0,(M490+N490)*2+15),0)</f>
        <v>0</v>
      </c>
      <c r="Q490" s="107">
        <f>IFERROR(IF(K490="",0,(N490+O490)-10),0)</f>
        <v>0</v>
      </c>
      <c r="R490" s="108">
        <f xml:space="preserve"> P490 * Q490 * (1 + 2.5%) / 1000000</f>
        <v>0</v>
      </c>
      <c r="S490" s="109">
        <f>R490*'RFQ_Matalan Carton'!$M$32</f>
        <v>0</v>
      </c>
      <c r="T490" s="110">
        <f>S490</f>
        <v>0</v>
      </c>
      <c r="U490" s="110">
        <f>I490*T490</f>
        <v>0</v>
      </c>
      <c r="V490" s="111">
        <f>((T490*I490)-W490)*7.5%</f>
        <v>0</v>
      </c>
      <c r="W490" s="110">
        <f>S490*I490*10%</f>
        <v>0</v>
      </c>
      <c r="X490" s="113"/>
    </row>
    <row r="491" spans="1:24">
      <c r="A491" s="103"/>
      <c r="B491" s="103"/>
      <c r="C491" s="105"/>
      <c r="D491" s="103"/>
      <c r="E491" s="103"/>
      <c r="F491" s="103"/>
      <c r="G491" s="105"/>
      <c r="H491" s="105"/>
      <c r="I491" s="105"/>
      <c r="J491" s="105"/>
      <c r="K491" s="105"/>
      <c r="L491" s="105"/>
      <c r="M491" s="107" cm="1">
        <f t="array" ref="M491">IFERROR(_xlfn.SWITCH(L491,"R-FPA",495,"R-FPB",595,"R-FPC",595,"R-FPD",595,"Custom Carton","input L"),0)</f>
        <v>0</v>
      </c>
      <c r="N491" s="107" cm="1">
        <f t="array" ref="N491">IFERROR(_xlfn.SWITCH(L491,"R-FPA",285,"R-FPB",285,"R-FPC",325,"R-FPD",380,"Custom Carton","input W"),0)</f>
        <v>0</v>
      </c>
      <c r="O491" s="107" cm="1">
        <f t="array" ref="O491">IFERROR(_xlfn.SWITCH(L491,"R-FPA","input H","R-FPB","input H","R-FPC","input H","R-FPD","input H","Custom Carton","input H"),0)</f>
        <v>0</v>
      </c>
      <c r="P491" s="107">
        <f>IFERROR(IF(K491="",0,(M491+N491)*2+15),0)</f>
        <v>0</v>
      </c>
      <c r="Q491" s="107">
        <f>IFERROR(IF(K491="",0,(N491+O491)-10),0)</f>
        <v>0</v>
      </c>
      <c r="R491" s="108">
        <f xml:space="preserve"> P491 * Q491 * (1 + 2.5%) / 1000000</f>
        <v>0</v>
      </c>
      <c r="S491" s="109">
        <f>R491*'RFQ_Matalan Carton'!$M$32</f>
        <v>0</v>
      </c>
      <c r="T491" s="110">
        <f>S491</f>
        <v>0</v>
      </c>
      <c r="U491" s="110">
        <f>I491*T491</f>
        <v>0</v>
      </c>
      <c r="V491" s="111">
        <f>((T491*I491)-W491)*7.5%</f>
        <v>0</v>
      </c>
      <c r="W491" s="110">
        <f>S491*I491*10%</f>
        <v>0</v>
      </c>
      <c r="X491" s="113"/>
    </row>
    <row r="492" spans="1:24">
      <c r="A492" s="103"/>
      <c r="B492" s="103"/>
      <c r="C492" s="105"/>
      <c r="D492" s="103"/>
      <c r="E492" s="103"/>
      <c r="F492" s="103"/>
      <c r="G492" s="105"/>
      <c r="H492" s="105"/>
      <c r="I492" s="105"/>
      <c r="J492" s="105"/>
      <c r="K492" s="105"/>
      <c r="L492" s="105"/>
      <c r="M492" s="107" cm="1">
        <f t="array" ref="M492">IFERROR(_xlfn.SWITCH(L492,"R-FPA",495,"R-FPB",595,"R-FPC",595,"R-FPD",595,"Custom Carton","input L"),0)</f>
        <v>0</v>
      </c>
      <c r="N492" s="107" cm="1">
        <f t="array" ref="N492">IFERROR(_xlfn.SWITCH(L492,"R-FPA",285,"R-FPB",285,"R-FPC",325,"R-FPD",380,"Custom Carton","input W"),0)</f>
        <v>0</v>
      </c>
      <c r="O492" s="107" cm="1">
        <f t="array" ref="O492">IFERROR(_xlfn.SWITCH(L492,"R-FPA","input H","R-FPB","input H","R-FPC","input H","R-FPD","input H","Custom Carton","input H"),0)</f>
        <v>0</v>
      </c>
      <c r="P492" s="107">
        <f>IFERROR(IF(K492="",0,(M492+N492)*2+15),0)</f>
        <v>0</v>
      </c>
      <c r="Q492" s="107">
        <f>IFERROR(IF(K492="",0,(N492+O492)-10),0)</f>
        <v>0</v>
      </c>
      <c r="R492" s="108">
        <f xml:space="preserve"> P492 * Q492 * (1 + 2.5%) / 1000000</f>
        <v>0</v>
      </c>
      <c r="S492" s="109">
        <f>R492*'RFQ_Matalan Carton'!$M$32</f>
        <v>0</v>
      </c>
      <c r="T492" s="110">
        <f>S492</f>
        <v>0</v>
      </c>
      <c r="U492" s="110">
        <f>I492*T492</f>
        <v>0</v>
      </c>
      <c r="V492" s="111">
        <f>((T492*I492)-W492)*7.5%</f>
        <v>0</v>
      </c>
      <c r="W492" s="110">
        <f>S492*I492*10%</f>
        <v>0</v>
      </c>
      <c r="X492" s="113"/>
    </row>
    <row r="493" spans="1:24">
      <c r="A493" s="103"/>
      <c r="B493" s="103"/>
      <c r="C493" s="105"/>
      <c r="D493" s="103"/>
      <c r="E493" s="103"/>
      <c r="F493" s="103"/>
      <c r="G493" s="105"/>
      <c r="H493" s="105"/>
      <c r="I493" s="105"/>
      <c r="J493" s="105"/>
      <c r="K493" s="105"/>
      <c r="L493" s="105"/>
      <c r="M493" s="107" cm="1">
        <f t="array" ref="M493">IFERROR(_xlfn.SWITCH(L493,"R-FPA",495,"R-FPB",595,"R-FPC",595,"R-FPD",595,"Custom Carton","input L"),0)</f>
        <v>0</v>
      </c>
      <c r="N493" s="107" cm="1">
        <f t="array" ref="N493">IFERROR(_xlfn.SWITCH(L493,"R-FPA",285,"R-FPB",285,"R-FPC",325,"R-FPD",380,"Custom Carton","input W"),0)</f>
        <v>0</v>
      </c>
      <c r="O493" s="107" cm="1">
        <f t="array" ref="O493">IFERROR(_xlfn.SWITCH(L493,"R-FPA","input H","R-FPB","input H","R-FPC","input H","R-FPD","input H","Custom Carton","input H"),0)</f>
        <v>0</v>
      </c>
      <c r="P493" s="107">
        <f>IFERROR(IF(K493="",0,(M493+N493)*2+15),0)</f>
        <v>0</v>
      </c>
      <c r="Q493" s="107">
        <f>IFERROR(IF(K493="",0,(N493+O493)-10),0)</f>
        <v>0</v>
      </c>
      <c r="R493" s="108">
        <f xml:space="preserve"> P493 * Q493 * (1 + 2.5%) / 1000000</f>
        <v>0</v>
      </c>
      <c r="S493" s="109">
        <f>R493*'RFQ_Matalan Carton'!$M$32</f>
        <v>0</v>
      </c>
      <c r="T493" s="110">
        <f>S493</f>
        <v>0</v>
      </c>
      <c r="U493" s="110">
        <f>I493*T493</f>
        <v>0</v>
      </c>
      <c r="V493" s="111">
        <f>((T493*I493)-W493)*7.5%</f>
        <v>0</v>
      </c>
      <c r="W493" s="110">
        <f>S493*I493*10%</f>
        <v>0</v>
      </c>
      <c r="X493" s="113"/>
    </row>
    <row r="494" spans="1:24">
      <c r="A494" s="103"/>
      <c r="B494" s="103"/>
      <c r="C494" s="105"/>
      <c r="D494" s="103"/>
      <c r="E494" s="103"/>
      <c r="F494" s="103"/>
      <c r="G494" s="105"/>
      <c r="H494" s="105"/>
      <c r="I494" s="105"/>
      <c r="J494" s="105"/>
      <c r="K494" s="105"/>
      <c r="L494" s="105"/>
      <c r="M494" s="107" cm="1">
        <f t="array" ref="M494">IFERROR(_xlfn.SWITCH(L494,"R-FPA",495,"R-FPB",595,"R-FPC",595,"R-FPD",595,"Custom Carton","input L"),0)</f>
        <v>0</v>
      </c>
      <c r="N494" s="107" cm="1">
        <f t="array" ref="N494">IFERROR(_xlfn.SWITCH(L494,"R-FPA",285,"R-FPB",285,"R-FPC",325,"R-FPD",380,"Custom Carton","input W"),0)</f>
        <v>0</v>
      </c>
      <c r="O494" s="107" cm="1">
        <f t="array" ref="O494">IFERROR(_xlfn.SWITCH(L494,"R-FPA","input H","R-FPB","input H","R-FPC","input H","R-FPD","input H","Custom Carton","input H"),0)</f>
        <v>0</v>
      </c>
      <c r="P494" s="107">
        <f>IFERROR(IF(K494="",0,(M494+N494)*2+15),0)</f>
        <v>0</v>
      </c>
      <c r="Q494" s="107">
        <f>IFERROR(IF(K494="",0,(N494+O494)-10),0)</f>
        <v>0</v>
      </c>
      <c r="R494" s="108">
        <f xml:space="preserve"> P494 * Q494 * (1 + 2.5%) / 1000000</f>
        <v>0</v>
      </c>
      <c r="S494" s="109">
        <f>R494*'RFQ_Matalan Carton'!$M$32</f>
        <v>0</v>
      </c>
      <c r="T494" s="110">
        <f>S494</f>
        <v>0</v>
      </c>
      <c r="U494" s="110">
        <f>I494*T494</f>
        <v>0</v>
      </c>
      <c r="V494" s="111">
        <f>((T494*I494)-W494)*7.5%</f>
        <v>0</v>
      </c>
      <c r="W494" s="110">
        <f>S494*I494*10%</f>
        <v>0</v>
      </c>
      <c r="X494" s="113"/>
    </row>
    <row r="495" spans="1:24">
      <c r="A495" s="103"/>
      <c r="B495" s="103"/>
      <c r="C495" s="105"/>
      <c r="D495" s="103"/>
      <c r="E495" s="103"/>
      <c r="F495" s="103"/>
      <c r="G495" s="105"/>
      <c r="H495" s="105"/>
      <c r="I495" s="105"/>
      <c r="J495" s="105"/>
      <c r="K495" s="105"/>
      <c r="L495" s="105"/>
      <c r="M495" s="107" cm="1">
        <f t="array" ref="M495">IFERROR(_xlfn.SWITCH(L495,"R-FPA",495,"R-FPB",595,"R-FPC",595,"R-FPD",595,"Custom Carton","input L"),0)</f>
        <v>0</v>
      </c>
      <c r="N495" s="107" cm="1">
        <f t="array" ref="N495">IFERROR(_xlfn.SWITCH(L495,"R-FPA",285,"R-FPB",285,"R-FPC",325,"R-FPD",380,"Custom Carton","input W"),0)</f>
        <v>0</v>
      </c>
      <c r="O495" s="107" cm="1">
        <f t="array" ref="O495">IFERROR(_xlfn.SWITCH(L495,"R-FPA","input H","R-FPB","input H","R-FPC","input H","R-FPD","input H","Custom Carton","input H"),0)</f>
        <v>0</v>
      </c>
      <c r="P495" s="107">
        <f>IFERROR(IF(K495="",0,(M495+N495)*2+15),0)</f>
        <v>0</v>
      </c>
      <c r="Q495" s="107">
        <f>IFERROR(IF(K495="",0,(N495+O495)-10),0)</f>
        <v>0</v>
      </c>
      <c r="R495" s="108">
        <f xml:space="preserve"> P495 * Q495 * (1 + 2.5%) / 1000000</f>
        <v>0</v>
      </c>
      <c r="S495" s="109">
        <f>R495*'RFQ_Matalan Carton'!$M$32</f>
        <v>0</v>
      </c>
      <c r="T495" s="110">
        <f>S495</f>
        <v>0</v>
      </c>
      <c r="U495" s="110">
        <f>I495*T495</f>
        <v>0</v>
      </c>
      <c r="V495" s="111">
        <f>((T495*I495)-W495)*7.5%</f>
        <v>0</v>
      </c>
      <c r="W495" s="110">
        <f>S495*I495*10%</f>
        <v>0</v>
      </c>
      <c r="X495" s="113"/>
    </row>
    <row r="496" spans="1:24">
      <c r="A496" s="103"/>
      <c r="B496" s="103"/>
      <c r="C496" s="105"/>
      <c r="D496" s="103"/>
      <c r="E496" s="103"/>
      <c r="F496" s="103"/>
      <c r="G496" s="105"/>
      <c r="H496" s="105"/>
      <c r="I496" s="105"/>
      <c r="J496" s="105"/>
      <c r="K496" s="105"/>
      <c r="L496" s="105"/>
      <c r="M496" s="107" cm="1">
        <f t="array" ref="M496">IFERROR(_xlfn.SWITCH(L496,"R-FPA",495,"R-FPB",595,"R-FPC",595,"R-FPD",595,"Custom Carton","input L"),0)</f>
        <v>0</v>
      </c>
      <c r="N496" s="107" cm="1">
        <f t="array" ref="N496">IFERROR(_xlfn.SWITCH(L496,"R-FPA",285,"R-FPB",285,"R-FPC",325,"R-FPD",380,"Custom Carton","input W"),0)</f>
        <v>0</v>
      </c>
      <c r="O496" s="107" cm="1">
        <f t="array" ref="O496">IFERROR(_xlfn.SWITCH(L496,"R-FPA","input H","R-FPB","input H","R-FPC","input H","R-FPD","input H","Custom Carton","input H"),0)</f>
        <v>0</v>
      </c>
      <c r="P496" s="107">
        <f>IFERROR(IF(K496="",0,(M496+N496)*2+15),0)</f>
        <v>0</v>
      </c>
      <c r="Q496" s="107">
        <f>IFERROR(IF(K496="",0,(N496+O496)-10),0)</f>
        <v>0</v>
      </c>
      <c r="R496" s="108">
        <f xml:space="preserve"> P496 * Q496 * (1 + 2.5%) / 1000000</f>
        <v>0</v>
      </c>
      <c r="S496" s="109">
        <f>R496*'RFQ_Matalan Carton'!$M$32</f>
        <v>0</v>
      </c>
      <c r="T496" s="110">
        <f>S496</f>
        <v>0</v>
      </c>
      <c r="U496" s="110">
        <f>I496*T496</f>
        <v>0</v>
      </c>
      <c r="V496" s="111">
        <f>((T496*I496)-W496)*7.5%</f>
        <v>0</v>
      </c>
      <c r="W496" s="110">
        <f>S496*I496*10%</f>
        <v>0</v>
      </c>
      <c r="X496" s="113"/>
    </row>
    <row r="497" spans="1:24">
      <c r="A497" s="103"/>
      <c r="B497" s="103"/>
      <c r="C497" s="105"/>
      <c r="D497" s="103"/>
      <c r="E497" s="103"/>
      <c r="F497" s="103"/>
      <c r="G497" s="105"/>
      <c r="H497" s="105"/>
      <c r="I497" s="105"/>
      <c r="J497" s="105"/>
      <c r="K497" s="105"/>
      <c r="L497" s="105"/>
      <c r="M497" s="107" cm="1">
        <f t="array" ref="M497">IFERROR(_xlfn.SWITCH(L497,"R-FPA",495,"R-FPB",595,"R-FPC",595,"R-FPD",595,"Custom Carton","input L"),0)</f>
        <v>0</v>
      </c>
      <c r="N497" s="107" cm="1">
        <f t="array" ref="N497">IFERROR(_xlfn.SWITCH(L497,"R-FPA",285,"R-FPB",285,"R-FPC",325,"R-FPD",380,"Custom Carton","input W"),0)</f>
        <v>0</v>
      </c>
      <c r="O497" s="107" cm="1">
        <f t="array" ref="O497">IFERROR(_xlfn.SWITCH(L497,"R-FPA","input H","R-FPB","input H","R-FPC","input H","R-FPD","input H","Custom Carton","input H"),0)</f>
        <v>0</v>
      </c>
      <c r="P497" s="107">
        <f>IFERROR(IF(K497="",0,(M497+N497)*2+15),0)</f>
        <v>0</v>
      </c>
      <c r="Q497" s="107">
        <f>IFERROR(IF(K497="",0,(N497+O497)-10),0)</f>
        <v>0</v>
      </c>
      <c r="R497" s="108">
        <f xml:space="preserve"> P497 * Q497 * (1 + 2.5%) / 1000000</f>
        <v>0</v>
      </c>
      <c r="S497" s="109">
        <f>R497*'RFQ_Matalan Carton'!$M$32</f>
        <v>0</v>
      </c>
      <c r="T497" s="110">
        <f>S497</f>
        <v>0</v>
      </c>
      <c r="U497" s="110">
        <f>I497*T497</f>
        <v>0</v>
      </c>
      <c r="V497" s="111">
        <f>((T497*I497)-W497)*7.5%</f>
        <v>0</v>
      </c>
      <c r="W497" s="110">
        <f>S497*I497*10%</f>
        <v>0</v>
      </c>
      <c r="X497" s="113"/>
    </row>
    <row r="498" spans="1:24">
      <c r="A498" s="103"/>
      <c r="B498" s="103"/>
      <c r="C498" s="105"/>
      <c r="D498" s="103"/>
      <c r="E498" s="103"/>
      <c r="F498" s="103"/>
      <c r="G498" s="105"/>
      <c r="H498" s="105"/>
      <c r="I498" s="105"/>
      <c r="J498" s="105"/>
      <c r="K498" s="105"/>
      <c r="L498" s="105"/>
      <c r="M498" s="107" cm="1">
        <f t="array" ref="M498">IFERROR(_xlfn.SWITCH(L498,"R-FPA",495,"R-FPB",595,"R-FPC",595,"R-FPD",595,"Custom Carton","input L"),0)</f>
        <v>0</v>
      </c>
      <c r="N498" s="107" cm="1">
        <f t="array" ref="N498">IFERROR(_xlfn.SWITCH(L498,"R-FPA",285,"R-FPB",285,"R-FPC",325,"R-FPD",380,"Custom Carton","input W"),0)</f>
        <v>0</v>
      </c>
      <c r="O498" s="107" cm="1">
        <f t="array" ref="O498">IFERROR(_xlfn.SWITCH(L498,"R-FPA","input H","R-FPB","input H","R-FPC","input H","R-FPD","input H","Custom Carton","input H"),0)</f>
        <v>0</v>
      </c>
      <c r="P498" s="107">
        <f>IFERROR(IF(K498="",0,(M498+N498)*2+15),0)</f>
        <v>0</v>
      </c>
      <c r="Q498" s="107">
        <f>IFERROR(IF(K498="",0,(N498+O498)-10),0)</f>
        <v>0</v>
      </c>
      <c r="R498" s="108">
        <f xml:space="preserve"> P498 * Q498 * (1 + 2.5%) / 1000000</f>
        <v>0</v>
      </c>
      <c r="S498" s="109">
        <f>R498*'RFQ_Matalan Carton'!$M$32</f>
        <v>0</v>
      </c>
      <c r="T498" s="110">
        <f>S498</f>
        <v>0</v>
      </c>
      <c r="U498" s="110">
        <f>I498*T498</f>
        <v>0</v>
      </c>
      <c r="V498" s="111">
        <f>((T498*I498)-W498)*7.5%</f>
        <v>0</v>
      </c>
      <c r="W498" s="110">
        <f>S498*I498*10%</f>
        <v>0</v>
      </c>
      <c r="X498" s="113"/>
    </row>
    <row r="499" spans="1:24">
      <c r="A499" s="103"/>
      <c r="B499" s="103"/>
      <c r="C499" s="105"/>
      <c r="D499" s="103"/>
      <c r="E499" s="103"/>
      <c r="F499" s="103"/>
      <c r="G499" s="105"/>
      <c r="H499" s="105"/>
      <c r="I499" s="105"/>
      <c r="J499" s="105"/>
      <c r="K499" s="105"/>
      <c r="L499" s="105"/>
      <c r="M499" s="107" cm="1">
        <f t="array" ref="M499">IFERROR(_xlfn.SWITCH(L499,"R-FPA",495,"R-FPB",595,"R-FPC",595,"R-FPD",595,"Custom Carton","input L"),0)</f>
        <v>0</v>
      </c>
      <c r="N499" s="107" cm="1">
        <f t="array" ref="N499">IFERROR(_xlfn.SWITCH(L499,"R-FPA",285,"R-FPB",285,"R-FPC",325,"R-FPD",380,"Custom Carton","input W"),0)</f>
        <v>0</v>
      </c>
      <c r="O499" s="107" cm="1">
        <f t="array" ref="O499">IFERROR(_xlfn.SWITCH(L499,"R-FPA","input H","R-FPB","input H","R-FPC","input H","R-FPD","input H","Custom Carton","input H"),0)</f>
        <v>0</v>
      </c>
      <c r="P499" s="107">
        <f>IFERROR(IF(K499="",0,(M499+N499)*2+15),0)</f>
        <v>0</v>
      </c>
      <c r="Q499" s="107">
        <f>IFERROR(IF(K499="",0,(N499+O499)-10),0)</f>
        <v>0</v>
      </c>
      <c r="R499" s="108">
        <f xml:space="preserve"> P499 * Q499 * (1 + 2.5%) / 1000000</f>
        <v>0</v>
      </c>
      <c r="S499" s="109">
        <f>R499*'RFQ_Matalan Carton'!$M$32</f>
        <v>0</v>
      </c>
      <c r="T499" s="110">
        <f>S499</f>
        <v>0</v>
      </c>
      <c r="U499" s="110">
        <f>I499*T499</f>
        <v>0</v>
      </c>
      <c r="V499" s="111">
        <f>((T499*I499)-W499)*7.5%</f>
        <v>0</v>
      </c>
      <c r="W499" s="110">
        <f>S499*I499*10%</f>
        <v>0</v>
      </c>
      <c r="X499" s="113"/>
    </row>
    <row r="500" spans="1:24">
      <c r="A500" s="103"/>
      <c r="B500" s="103"/>
      <c r="C500" s="105"/>
      <c r="D500" s="103"/>
      <c r="E500" s="103"/>
      <c r="F500" s="103"/>
      <c r="G500" s="105"/>
      <c r="H500" s="105"/>
      <c r="I500" s="105"/>
      <c r="J500" s="105"/>
      <c r="K500" s="105"/>
      <c r="L500" s="105"/>
      <c r="M500" s="107" cm="1">
        <f t="array" ref="M500">IFERROR(_xlfn.SWITCH(L500,"R-FPA",495,"R-FPB",595,"R-FPC",595,"R-FPD",595,"Custom Carton","input L"),0)</f>
        <v>0</v>
      </c>
      <c r="N500" s="107" cm="1">
        <f t="array" ref="N500">IFERROR(_xlfn.SWITCH(L500,"R-FPA",285,"R-FPB",285,"R-FPC",325,"R-FPD",380,"Custom Carton","input W"),0)</f>
        <v>0</v>
      </c>
      <c r="O500" s="107" cm="1">
        <f t="array" ref="O500">IFERROR(_xlfn.SWITCH(L500,"R-FPA","input H","R-FPB","input H","R-FPC","input H","R-FPD","input H","Custom Carton","input H"),0)</f>
        <v>0</v>
      </c>
      <c r="P500" s="107">
        <f>IFERROR(IF(K500="",0,(M500+N500)*2+15),0)</f>
        <v>0</v>
      </c>
      <c r="Q500" s="107">
        <f>IFERROR(IF(K500="",0,(N500+O500)-10),0)</f>
        <v>0</v>
      </c>
      <c r="R500" s="108">
        <f xml:space="preserve"> P500 * Q500 * (1 + 2.5%) / 1000000</f>
        <v>0</v>
      </c>
      <c r="S500" s="109">
        <f>R500*'RFQ_Matalan Carton'!$M$32</f>
        <v>0</v>
      </c>
      <c r="T500" s="110">
        <f>S500</f>
        <v>0</v>
      </c>
      <c r="U500" s="110">
        <f>I500*T500</f>
        <v>0</v>
      </c>
      <c r="V500" s="111">
        <f>((T500*I500)-W500)*7.5%</f>
        <v>0</v>
      </c>
      <c r="W500" s="110">
        <f>S500*I500*10%</f>
        <v>0</v>
      </c>
      <c r="X500" s="113"/>
    </row>
    <row r="501" spans="1:24">
      <c r="A501" s="103"/>
      <c r="B501" s="103"/>
      <c r="C501" s="105"/>
      <c r="D501" s="103"/>
      <c r="E501" s="103"/>
      <c r="F501" s="103"/>
      <c r="G501" s="105"/>
      <c r="H501" s="105"/>
      <c r="I501" s="105"/>
      <c r="J501" s="105"/>
      <c r="K501" s="105"/>
      <c r="L501" s="105"/>
      <c r="M501" s="107" cm="1">
        <f t="array" ref="M501">IFERROR(_xlfn.SWITCH(L501,"R-FPA",495,"R-FPB",595,"R-FPC",595,"R-FPD",595,"Custom Carton","input L"),0)</f>
        <v>0</v>
      </c>
      <c r="N501" s="107" cm="1">
        <f t="array" ref="N501">IFERROR(_xlfn.SWITCH(L501,"R-FPA",285,"R-FPB",285,"R-FPC",325,"R-FPD",380,"Custom Carton","input W"),0)</f>
        <v>0</v>
      </c>
      <c r="O501" s="107" cm="1">
        <f t="array" ref="O501">IFERROR(_xlfn.SWITCH(L501,"R-FPA","input H","R-FPB","input H","R-FPC","input H","R-FPD","input H","Custom Carton","input H"),0)</f>
        <v>0</v>
      </c>
      <c r="P501" s="107">
        <f>IFERROR(IF(K501="",0,(M501+N501)*2+15),0)</f>
        <v>0</v>
      </c>
      <c r="Q501" s="107">
        <f>IFERROR(IF(K501="",0,(N501+O501)-10),0)</f>
        <v>0</v>
      </c>
      <c r="R501" s="108">
        <f xml:space="preserve"> P501 * Q501 * (1 + 2.5%) / 1000000</f>
        <v>0</v>
      </c>
      <c r="S501" s="109">
        <f>R501*'RFQ_Matalan Carton'!$M$32</f>
        <v>0</v>
      </c>
      <c r="T501" s="110">
        <f>S501</f>
        <v>0</v>
      </c>
      <c r="U501" s="110">
        <f>I501*T501</f>
        <v>0</v>
      </c>
      <c r="V501" s="111">
        <f>((T501*I501)-W501)*7.5%</f>
        <v>0</v>
      </c>
      <c r="W501" s="110">
        <f>S501*I501*10%</f>
        <v>0</v>
      </c>
      <c r="X501" s="113"/>
    </row>
    <row r="502" spans="1:24">
      <c r="A502" s="103"/>
      <c r="B502" s="103"/>
      <c r="C502" s="105"/>
      <c r="D502" s="103"/>
      <c r="E502" s="103"/>
      <c r="F502" s="103"/>
      <c r="G502" s="105"/>
      <c r="H502" s="105"/>
      <c r="I502" s="105"/>
      <c r="J502" s="105"/>
      <c r="K502" s="105"/>
      <c r="L502" s="105"/>
      <c r="M502" s="107" cm="1">
        <f t="array" ref="M502">IFERROR(_xlfn.SWITCH(L502,"R-FPA",495,"R-FPB",595,"R-FPC",595,"R-FPD",595,"Custom Carton","input L"),0)</f>
        <v>0</v>
      </c>
      <c r="N502" s="107" cm="1">
        <f t="array" ref="N502">IFERROR(_xlfn.SWITCH(L502,"R-FPA",285,"R-FPB",285,"R-FPC",325,"R-FPD",380,"Custom Carton","input W"),0)</f>
        <v>0</v>
      </c>
      <c r="O502" s="107" cm="1">
        <f t="array" ref="O502">IFERROR(_xlfn.SWITCH(L502,"R-FPA","input H","R-FPB","input H","R-FPC","input H","R-FPD","input H","Custom Carton","input H"),0)</f>
        <v>0</v>
      </c>
      <c r="P502" s="107">
        <f>IFERROR(IF(K502="",0,(M502+N502)*2+15),0)</f>
        <v>0</v>
      </c>
      <c r="Q502" s="107">
        <f>IFERROR(IF(K502="",0,(N502+O502)-10),0)</f>
        <v>0</v>
      </c>
      <c r="R502" s="108">
        <f xml:space="preserve"> P502 * Q502 * (1 + 2.5%) / 1000000</f>
        <v>0</v>
      </c>
      <c r="S502" s="109">
        <f>R502*'RFQ_Matalan Carton'!$M$32</f>
        <v>0</v>
      </c>
      <c r="T502" s="110">
        <f>S502</f>
        <v>0</v>
      </c>
      <c r="U502" s="110">
        <f>I502*T502</f>
        <v>0</v>
      </c>
      <c r="V502" s="111">
        <f>((T502*I502)-W502)*7.5%</f>
        <v>0</v>
      </c>
      <c r="W502" s="110">
        <f>S502*I502*10%</f>
        <v>0</v>
      </c>
      <c r="X502" s="113"/>
    </row>
    <row r="503" spans="1:24">
      <c r="A503" s="103"/>
      <c r="B503" s="103"/>
      <c r="C503" s="105"/>
      <c r="D503" s="103"/>
      <c r="E503" s="103"/>
      <c r="F503" s="103"/>
      <c r="G503" s="105"/>
      <c r="H503" s="105"/>
      <c r="I503" s="105"/>
      <c r="J503" s="105"/>
      <c r="K503" s="105"/>
      <c r="L503" s="105"/>
      <c r="M503" s="107" cm="1">
        <f t="array" ref="M503">IFERROR(_xlfn.SWITCH(L503,"R-FPA",495,"R-FPB",595,"R-FPC",595,"R-FPD",595,"Custom Carton","input L"),0)</f>
        <v>0</v>
      </c>
      <c r="N503" s="107" cm="1">
        <f t="array" ref="N503">IFERROR(_xlfn.SWITCH(L503,"R-FPA",285,"R-FPB",285,"R-FPC",325,"R-FPD",380,"Custom Carton","input W"),0)</f>
        <v>0</v>
      </c>
      <c r="O503" s="107" cm="1">
        <f t="array" ref="O503">IFERROR(_xlfn.SWITCH(L503,"R-FPA","input H","R-FPB","input H","R-FPC","input H","R-FPD","input H","Custom Carton","input H"),0)</f>
        <v>0</v>
      </c>
      <c r="P503" s="107">
        <f>IFERROR(IF(K503="",0,(M503+N503)*2+15),0)</f>
        <v>0</v>
      </c>
      <c r="Q503" s="107">
        <f>IFERROR(IF(K503="",0,(N503+O503)-10),0)</f>
        <v>0</v>
      </c>
      <c r="R503" s="108">
        <f xml:space="preserve"> P503 * Q503 * (1 + 2.5%) / 1000000</f>
        <v>0</v>
      </c>
      <c r="S503" s="109">
        <f>R503*'RFQ_Matalan Carton'!$M$32</f>
        <v>0</v>
      </c>
      <c r="T503" s="110">
        <f>S503</f>
        <v>0</v>
      </c>
      <c r="U503" s="110">
        <f>I503*T503</f>
        <v>0</v>
      </c>
      <c r="V503" s="111">
        <f>((T503*I503)-W503)*7.5%</f>
        <v>0</v>
      </c>
      <c r="W503" s="110">
        <f>S503*I503*10%</f>
        <v>0</v>
      </c>
      <c r="X503" s="113"/>
    </row>
    <row r="504" spans="1:24">
      <c r="A504" s="103"/>
      <c r="B504" s="103"/>
      <c r="C504" s="105"/>
      <c r="D504" s="103"/>
      <c r="E504" s="103"/>
      <c r="F504" s="103"/>
      <c r="G504" s="105"/>
      <c r="H504" s="105"/>
      <c r="I504" s="105"/>
      <c r="J504" s="105"/>
      <c r="K504" s="105"/>
      <c r="L504" s="105"/>
      <c r="M504" s="107" cm="1">
        <f t="array" ref="M504">IFERROR(_xlfn.SWITCH(L504,"R-FPA",495,"R-FPB",595,"R-FPC",595,"R-FPD",595,"Custom Carton","input L"),0)</f>
        <v>0</v>
      </c>
      <c r="N504" s="107" cm="1">
        <f t="array" ref="N504">IFERROR(_xlfn.SWITCH(L504,"R-FPA",285,"R-FPB",285,"R-FPC",325,"R-FPD",380,"Custom Carton","input W"),0)</f>
        <v>0</v>
      </c>
      <c r="O504" s="107" cm="1">
        <f t="array" ref="O504">IFERROR(_xlfn.SWITCH(L504,"R-FPA","input H","R-FPB","input H","R-FPC","input H","R-FPD","input H","Custom Carton","input H"),0)</f>
        <v>0</v>
      </c>
      <c r="P504" s="107">
        <f>IFERROR(IF(K504="",0,(M504+N504)*2+15),0)</f>
        <v>0</v>
      </c>
      <c r="Q504" s="107">
        <f>IFERROR(IF(K504="",0,(N504+O504)-10),0)</f>
        <v>0</v>
      </c>
      <c r="R504" s="108">
        <f xml:space="preserve"> P504 * Q504 * (1 + 2.5%) / 1000000</f>
        <v>0</v>
      </c>
      <c r="S504" s="109">
        <f>R504*'RFQ_Matalan Carton'!$M$32</f>
        <v>0</v>
      </c>
      <c r="T504" s="110">
        <f>S504</f>
        <v>0</v>
      </c>
      <c r="U504" s="110">
        <f>I504*T504</f>
        <v>0</v>
      </c>
      <c r="V504" s="111">
        <f>((T504*I504)-W504)*7.5%</f>
        <v>0</v>
      </c>
      <c r="W504" s="110">
        <f>S504*I504*10%</f>
        <v>0</v>
      </c>
      <c r="X504" s="113"/>
    </row>
    <row r="505" spans="1:24">
      <c r="A505" s="103"/>
      <c r="B505" s="103"/>
      <c r="C505" s="105"/>
      <c r="D505" s="103"/>
      <c r="E505" s="103"/>
      <c r="F505" s="103"/>
      <c r="G505" s="105"/>
      <c r="H505" s="105"/>
      <c r="I505" s="105"/>
      <c r="J505" s="105"/>
      <c r="K505" s="105"/>
      <c r="L505" s="105"/>
      <c r="M505" s="107" cm="1">
        <f t="array" ref="M505">IFERROR(_xlfn.SWITCH(L505,"R-FPA",495,"R-FPB",595,"R-FPC",595,"R-FPD",595,"Custom Carton","input L"),0)</f>
        <v>0</v>
      </c>
      <c r="N505" s="107" cm="1">
        <f t="array" ref="N505">IFERROR(_xlfn.SWITCH(L505,"R-FPA",285,"R-FPB",285,"R-FPC",325,"R-FPD",380,"Custom Carton","input W"),0)</f>
        <v>0</v>
      </c>
      <c r="O505" s="107" cm="1">
        <f t="array" ref="O505">IFERROR(_xlfn.SWITCH(L505,"R-FPA","input H","R-FPB","input H","R-FPC","input H","R-FPD","input H","Custom Carton","input H"),0)</f>
        <v>0</v>
      </c>
      <c r="P505" s="107">
        <f>IFERROR(IF(K505="",0,(M505+N505)*2+15),0)</f>
        <v>0</v>
      </c>
      <c r="Q505" s="107">
        <f>IFERROR(IF(K505="",0,(N505+O505)-10),0)</f>
        <v>0</v>
      </c>
      <c r="R505" s="108">
        <f xml:space="preserve"> P505 * Q505 * (1 + 2.5%) / 1000000</f>
        <v>0</v>
      </c>
      <c r="S505" s="109">
        <f>R505*'RFQ_Matalan Carton'!$M$32</f>
        <v>0</v>
      </c>
      <c r="T505" s="110">
        <f>S505</f>
        <v>0</v>
      </c>
      <c r="U505" s="110">
        <f>I505*T505</f>
        <v>0</v>
      </c>
      <c r="V505" s="111">
        <f>((T505*I505)-W505)*7.5%</f>
        <v>0</v>
      </c>
      <c r="W505" s="110">
        <f>S505*I505*10%</f>
        <v>0</v>
      </c>
      <c r="X505" s="113"/>
    </row>
    <row r="506" spans="1:24">
      <c r="A506" s="103"/>
      <c r="B506" s="103"/>
      <c r="C506" s="105"/>
      <c r="D506" s="103"/>
      <c r="E506" s="103"/>
      <c r="F506" s="103"/>
      <c r="G506" s="105"/>
      <c r="H506" s="105"/>
      <c r="I506" s="105"/>
      <c r="J506" s="105"/>
      <c r="K506" s="105"/>
      <c r="L506" s="105"/>
      <c r="M506" s="107" cm="1">
        <f t="array" ref="M506">IFERROR(_xlfn.SWITCH(L506,"R-FPA",495,"R-FPB",595,"R-FPC",595,"R-FPD",595,"Custom Carton","input L"),0)</f>
        <v>0</v>
      </c>
      <c r="N506" s="107" cm="1">
        <f t="array" ref="N506">IFERROR(_xlfn.SWITCH(L506,"R-FPA",285,"R-FPB",285,"R-FPC",325,"R-FPD",380,"Custom Carton","input W"),0)</f>
        <v>0</v>
      </c>
      <c r="O506" s="107" cm="1">
        <f t="array" ref="O506">IFERROR(_xlfn.SWITCH(L506,"R-FPA","input H","R-FPB","input H","R-FPC","input H","R-FPD","input H","Custom Carton","input H"),0)</f>
        <v>0</v>
      </c>
      <c r="P506" s="107">
        <f>IFERROR(IF(K506="",0,(M506+N506)*2+15),0)</f>
        <v>0</v>
      </c>
      <c r="Q506" s="107">
        <f>IFERROR(IF(K506="",0,(N506+O506)-10),0)</f>
        <v>0</v>
      </c>
      <c r="R506" s="108">
        <f xml:space="preserve"> P506 * Q506 * (1 + 2.5%) / 1000000</f>
        <v>0</v>
      </c>
      <c r="S506" s="109">
        <f>R506*'RFQ_Matalan Carton'!$M$32</f>
        <v>0</v>
      </c>
      <c r="T506" s="110">
        <f>S506</f>
        <v>0</v>
      </c>
      <c r="U506" s="110">
        <f>I506*T506</f>
        <v>0</v>
      </c>
      <c r="V506" s="111">
        <f>((T506*I506)-W506)*7.5%</f>
        <v>0</v>
      </c>
      <c r="W506" s="110">
        <f>S506*I506*10%</f>
        <v>0</v>
      </c>
      <c r="X506" s="113"/>
    </row>
    <row r="507" spans="1:24">
      <c r="A507" s="103"/>
      <c r="B507" s="103"/>
      <c r="C507" s="105"/>
      <c r="D507" s="103"/>
      <c r="E507" s="103"/>
      <c r="F507" s="103"/>
      <c r="G507" s="105"/>
      <c r="H507" s="105"/>
      <c r="I507" s="105"/>
      <c r="J507" s="105"/>
      <c r="K507" s="105"/>
      <c r="L507" s="105"/>
      <c r="M507" s="107" cm="1">
        <f t="array" ref="M507">IFERROR(_xlfn.SWITCH(L507,"R-FPA",495,"R-FPB",595,"R-FPC",595,"R-FPD",595,"Custom Carton","input L"),0)</f>
        <v>0</v>
      </c>
      <c r="N507" s="107" cm="1">
        <f t="array" ref="N507">IFERROR(_xlfn.SWITCH(L507,"R-FPA",285,"R-FPB",285,"R-FPC",325,"R-FPD",380,"Custom Carton","input W"),0)</f>
        <v>0</v>
      </c>
      <c r="O507" s="107" cm="1">
        <f t="array" ref="O507">IFERROR(_xlfn.SWITCH(L507,"R-FPA","input H","R-FPB","input H","R-FPC","input H","R-FPD","input H","Custom Carton","input H"),0)</f>
        <v>0</v>
      </c>
      <c r="P507" s="107">
        <f>IFERROR(IF(K507="",0,(M507+N507)*2+15),0)</f>
        <v>0</v>
      </c>
      <c r="Q507" s="107">
        <f>IFERROR(IF(K507="",0,(N507+O507)-10),0)</f>
        <v>0</v>
      </c>
      <c r="R507" s="108">
        <f xml:space="preserve"> P507 * Q507 * (1 + 2.5%) / 1000000</f>
        <v>0</v>
      </c>
      <c r="S507" s="109">
        <f>R507*'RFQ_Matalan Carton'!$M$32</f>
        <v>0</v>
      </c>
      <c r="T507" s="110">
        <f>S507</f>
        <v>0</v>
      </c>
      <c r="U507" s="110">
        <f>I507*T507</f>
        <v>0</v>
      </c>
      <c r="V507" s="111">
        <f>((T507*I507)-W507)*7.5%</f>
        <v>0</v>
      </c>
      <c r="W507" s="110">
        <f>S507*I507*10%</f>
        <v>0</v>
      </c>
      <c r="X507" s="113"/>
    </row>
    <row r="508" spans="1:24">
      <c r="A508" s="103"/>
      <c r="B508" s="103"/>
      <c r="C508" s="105"/>
      <c r="D508" s="103"/>
      <c r="E508" s="103"/>
      <c r="F508" s="103"/>
      <c r="G508" s="105"/>
      <c r="H508" s="105"/>
      <c r="I508" s="105"/>
      <c r="J508" s="105"/>
      <c r="K508" s="105"/>
      <c r="L508" s="105"/>
      <c r="M508" s="107" cm="1">
        <f t="array" ref="M508">IFERROR(_xlfn.SWITCH(L508,"R-FPA",495,"R-FPB",595,"R-FPC",595,"R-FPD",595,"Custom Carton","input L"),0)</f>
        <v>0</v>
      </c>
      <c r="N508" s="107" cm="1">
        <f t="array" ref="N508">IFERROR(_xlfn.SWITCH(L508,"R-FPA",285,"R-FPB",285,"R-FPC",325,"R-FPD",380,"Custom Carton","input W"),0)</f>
        <v>0</v>
      </c>
      <c r="O508" s="107" cm="1">
        <f t="array" ref="O508">IFERROR(_xlfn.SWITCH(L508,"R-FPA","input H","R-FPB","input H","R-FPC","input H","R-FPD","input H","Custom Carton","input H"),0)</f>
        <v>0</v>
      </c>
      <c r="P508" s="107">
        <f>IFERROR(IF(K508="",0,(M508+N508)*2+15),0)</f>
        <v>0</v>
      </c>
      <c r="Q508" s="107">
        <f>IFERROR(IF(K508="",0,(N508+O508)-10),0)</f>
        <v>0</v>
      </c>
      <c r="R508" s="108">
        <f xml:space="preserve"> P508 * Q508 * (1 + 2.5%) / 1000000</f>
        <v>0</v>
      </c>
      <c r="S508" s="109">
        <f>R508*'RFQ_Matalan Carton'!$M$32</f>
        <v>0</v>
      </c>
      <c r="T508" s="110">
        <f>S508</f>
        <v>0</v>
      </c>
      <c r="U508" s="110">
        <f>I508*T508</f>
        <v>0</v>
      </c>
      <c r="V508" s="111">
        <f>((T508*I508)-W508)*7.5%</f>
        <v>0</v>
      </c>
      <c r="W508" s="110">
        <f>S508*I508*10%</f>
        <v>0</v>
      </c>
      <c r="X508" s="113"/>
    </row>
    <row r="509" spans="1:24">
      <c r="A509" s="103"/>
      <c r="B509" s="103"/>
      <c r="C509" s="105"/>
      <c r="D509" s="103"/>
      <c r="E509" s="103"/>
      <c r="F509" s="103"/>
      <c r="G509" s="105"/>
      <c r="H509" s="105"/>
      <c r="I509" s="105"/>
      <c r="J509" s="105"/>
      <c r="K509" s="105"/>
      <c r="L509" s="105"/>
      <c r="M509" s="107" cm="1">
        <f t="array" ref="M509">IFERROR(_xlfn.SWITCH(L509,"R-FPA",495,"R-FPB",595,"R-FPC",595,"R-FPD",595,"Custom Carton","input L"),0)</f>
        <v>0</v>
      </c>
      <c r="N509" s="107" cm="1">
        <f t="array" ref="N509">IFERROR(_xlfn.SWITCH(L509,"R-FPA",285,"R-FPB",285,"R-FPC",325,"R-FPD",380,"Custom Carton","input W"),0)</f>
        <v>0</v>
      </c>
      <c r="O509" s="107" cm="1">
        <f t="array" ref="O509">IFERROR(_xlfn.SWITCH(L509,"R-FPA","input H","R-FPB","input H","R-FPC","input H","R-FPD","input H","Custom Carton","input H"),0)</f>
        <v>0</v>
      </c>
      <c r="P509" s="107">
        <f>IFERROR(IF(K509="",0,(M509+N509)*2+15),0)</f>
        <v>0</v>
      </c>
      <c r="Q509" s="107">
        <f>IFERROR(IF(K509="",0,(N509+O509)-10),0)</f>
        <v>0</v>
      </c>
      <c r="R509" s="108">
        <f xml:space="preserve"> P509 * Q509 * (1 + 2.5%) / 1000000</f>
        <v>0</v>
      </c>
      <c r="S509" s="109">
        <f>R509*'RFQ_Matalan Carton'!$M$32</f>
        <v>0</v>
      </c>
      <c r="T509" s="110">
        <f>S509</f>
        <v>0</v>
      </c>
      <c r="U509" s="110">
        <f>I509*T509</f>
        <v>0</v>
      </c>
      <c r="V509" s="111">
        <f>((T509*I509)-W509)*7.5%</f>
        <v>0</v>
      </c>
      <c r="W509" s="110">
        <f>S509*I509*10%</f>
        <v>0</v>
      </c>
      <c r="X509" s="113"/>
    </row>
    <row r="510" spans="1:24">
      <c r="A510" s="103"/>
      <c r="B510" s="103"/>
      <c r="C510" s="105"/>
      <c r="D510" s="103"/>
      <c r="E510" s="103"/>
      <c r="F510" s="103"/>
      <c r="G510" s="105"/>
      <c r="H510" s="105"/>
      <c r="I510" s="105"/>
      <c r="J510" s="105"/>
      <c r="K510" s="105"/>
      <c r="L510" s="105"/>
      <c r="M510" s="107" cm="1">
        <f t="array" ref="M510">IFERROR(_xlfn.SWITCH(L510,"R-FPA",495,"R-FPB",595,"R-FPC",595,"R-FPD",595,"Custom Carton","input L"),0)</f>
        <v>0</v>
      </c>
      <c r="N510" s="107" cm="1">
        <f t="array" ref="N510">IFERROR(_xlfn.SWITCH(L510,"R-FPA",285,"R-FPB",285,"R-FPC",325,"R-FPD",380,"Custom Carton","input W"),0)</f>
        <v>0</v>
      </c>
      <c r="O510" s="107" cm="1">
        <f t="array" ref="O510">IFERROR(_xlfn.SWITCH(L510,"R-FPA","input H","R-FPB","input H","R-FPC","input H","R-FPD","input H","Custom Carton","input H"),0)</f>
        <v>0</v>
      </c>
      <c r="P510" s="107">
        <f>IFERROR(IF(K510="",0,(M510+N510)*2+15),0)</f>
        <v>0</v>
      </c>
      <c r="Q510" s="107">
        <f>IFERROR(IF(K510="",0,(N510+O510)-10),0)</f>
        <v>0</v>
      </c>
      <c r="R510" s="108">
        <f xml:space="preserve"> P510 * Q510 * (1 + 2.5%) / 1000000</f>
        <v>0</v>
      </c>
      <c r="S510" s="109">
        <f>R510*'RFQ_Matalan Carton'!$M$32</f>
        <v>0</v>
      </c>
      <c r="T510" s="110">
        <f>S510</f>
        <v>0</v>
      </c>
      <c r="U510" s="110">
        <f>I510*T510</f>
        <v>0</v>
      </c>
      <c r="V510" s="111">
        <f>((T510*I510)-W510)*7.5%</f>
        <v>0</v>
      </c>
      <c r="W510" s="110">
        <f>S510*I510*10%</f>
        <v>0</v>
      </c>
      <c r="X510" s="113"/>
    </row>
    <row r="511" spans="1:24">
      <c r="A511" s="103"/>
      <c r="B511" s="103"/>
      <c r="C511" s="105"/>
      <c r="D511" s="103"/>
      <c r="E511" s="103"/>
      <c r="F511" s="103"/>
      <c r="G511" s="105"/>
      <c r="H511" s="105"/>
      <c r="I511" s="105"/>
      <c r="J511" s="105"/>
      <c r="K511" s="105"/>
      <c r="L511" s="105"/>
      <c r="M511" s="107" cm="1">
        <f t="array" ref="M511">IFERROR(_xlfn.SWITCH(L511,"R-FPA",495,"R-FPB",595,"R-FPC",595,"R-FPD",595,"Custom Carton","input L"),0)</f>
        <v>0</v>
      </c>
      <c r="N511" s="107" cm="1">
        <f t="array" ref="N511">IFERROR(_xlfn.SWITCH(L511,"R-FPA",285,"R-FPB",285,"R-FPC",325,"R-FPD",380,"Custom Carton","input W"),0)</f>
        <v>0</v>
      </c>
      <c r="O511" s="107" cm="1">
        <f t="array" ref="O511">IFERROR(_xlfn.SWITCH(L511,"R-FPA","input H","R-FPB","input H","R-FPC","input H","R-FPD","input H","Custom Carton","input H"),0)</f>
        <v>0</v>
      </c>
      <c r="P511" s="107">
        <f>IFERROR(IF(K511="",0,(M511+N511)*2+15),0)</f>
        <v>0</v>
      </c>
      <c r="Q511" s="107">
        <f>IFERROR(IF(K511="",0,(N511+O511)-10),0)</f>
        <v>0</v>
      </c>
      <c r="R511" s="108">
        <f xml:space="preserve"> P511 * Q511 * (1 + 2.5%) / 1000000</f>
        <v>0</v>
      </c>
      <c r="S511" s="109">
        <f>R511*'RFQ_Matalan Carton'!$M$32</f>
        <v>0</v>
      </c>
      <c r="T511" s="110">
        <f>S511</f>
        <v>0</v>
      </c>
      <c r="U511" s="110">
        <f>I511*T511</f>
        <v>0</v>
      </c>
      <c r="V511" s="111">
        <f>((T511*I511)-W511)*7.5%</f>
        <v>0</v>
      </c>
      <c r="W511" s="110">
        <f>S511*I511*10%</f>
        <v>0</v>
      </c>
      <c r="X511" s="113"/>
    </row>
    <row r="512" spans="1:24">
      <c r="A512" s="103"/>
      <c r="B512" s="103"/>
      <c r="C512" s="105"/>
      <c r="D512" s="103"/>
      <c r="E512" s="103"/>
      <c r="F512" s="103"/>
      <c r="G512" s="105"/>
      <c r="H512" s="105"/>
      <c r="I512" s="105"/>
      <c r="J512" s="105"/>
      <c r="K512" s="105"/>
      <c r="L512" s="105"/>
      <c r="M512" s="107" cm="1">
        <f t="array" ref="M512">IFERROR(_xlfn.SWITCH(L512,"R-FPA",495,"R-FPB",595,"R-FPC",595,"R-FPD",595,"Custom Carton","input L"),0)</f>
        <v>0</v>
      </c>
      <c r="N512" s="107" cm="1">
        <f t="array" ref="N512">IFERROR(_xlfn.SWITCH(L512,"R-FPA",285,"R-FPB",285,"R-FPC",325,"R-FPD",380,"Custom Carton","input W"),0)</f>
        <v>0</v>
      </c>
      <c r="O512" s="107" cm="1">
        <f t="array" ref="O512">IFERROR(_xlfn.SWITCH(L512,"R-FPA","input H","R-FPB","input H","R-FPC","input H","R-FPD","input H","Custom Carton","input H"),0)</f>
        <v>0</v>
      </c>
      <c r="P512" s="107">
        <f>IFERROR(IF(K512="",0,(M512+N512)*2+15),0)</f>
        <v>0</v>
      </c>
      <c r="Q512" s="107">
        <f>IFERROR(IF(K512="",0,(N512+O512)-10),0)</f>
        <v>0</v>
      </c>
      <c r="R512" s="108">
        <f xml:space="preserve"> P512 * Q512 * (1 + 2.5%) / 1000000</f>
        <v>0</v>
      </c>
      <c r="S512" s="109">
        <f>R512*'RFQ_Matalan Carton'!$M$32</f>
        <v>0</v>
      </c>
      <c r="T512" s="110">
        <f>S512</f>
        <v>0</v>
      </c>
      <c r="U512" s="110">
        <f>I512*T512</f>
        <v>0</v>
      </c>
      <c r="V512" s="111">
        <f>((T512*I512)-W512)*7.5%</f>
        <v>0</v>
      </c>
      <c r="W512" s="110">
        <f>S512*I512*10%</f>
        <v>0</v>
      </c>
      <c r="X512" s="113"/>
    </row>
    <row r="513" spans="1:24">
      <c r="A513" s="103"/>
      <c r="B513" s="103"/>
      <c r="C513" s="105"/>
      <c r="D513" s="103"/>
      <c r="E513" s="103"/>
      <c r="F513" s="103"/>
      <c r="G513" s="105"/>
      <c r="H513" s="105"/>
      <c r="I513" s="105"/>
      <c r="J513" s="105"/>
      <c r="K513" s="105"/>
      <c r="L513" s="105"/>
      <c r="M513" s="107" cm="1">
        <f t="array" ref="M513">IFERROR(_xlfn.SWITCH(L513,"R-FPA",495,"R-FPB",595,"R-FPC",595,"R-FPD",595,"Custom Carton","input L"),0)</f>
        <v>0</v>
      </c>
      <c r="N513" s="107" cm="1">
        <f t="array" ref="N513">IFERROR(_xlfn.SWITCH(L513,"R-FPA",285,"R-FPB",285,"R-FPC",325,"R-FPD",380,"Custom Carton","input W"),0)</f>
        <v>0</v>
      </c>
      <c r="O513" s="107" cm="1">
        <f t="array" ref="O513">IFERROR(_xlfn.SWITCH(L513,"R-FPA","input H","R-FPB","input H","R-FPC","input H","R-FPD","input H","Custom Carton","input H"),0)</f>
        <v>0</v>
      </c>
      <c r="P513" s="107">
        <f>IFERROR(IF(K513="",0,(M513+N513)*2+15),0)</f>
        <v>0</v>
      </c>
      <c r="Q513" s="107">
        <f>IFERROR(IF(K513="",0,(N513+O513)-10),0)</f>
        <v>0</v>
      </c>
      <c r="R513" s="108">
        <f xml:space="preserve"> P513 * Q513 * (1 + 2.5%) / 1000000</f>
        <v>0</v>
      </c>
      <c r="S513" s="109">
        <f>R513*'RFQ_Matalan Carton'!$M$32</f>
        <v>0</v>
      </c>
      <c r="T513" s="110">
        <f>S513</f>
        <v>0</v>
      </c>
      <c r="U513" s="110">
        <f>I513*T513</f>
        <v>0</v>
      </c>
      <c r="V513" s="111">
        <f>((T513*I513)-W513)*7.5%</f>
        <v>0</v>
      </c>
      <c r="W513" s="110">
        <f>S513*I513*10%</f>
        <v>0</v>
      </c>
      <c r="X513" s="113"/>
    </row>
    <row r="514" spans="1:24">
      <c r="A514" s="103"/>
      <c r="B514" s="103"/>
      <c r="C514" s="105"/>
      <c r="D514" s="103"/>
      <c r="E514" s="103"/>
      <c r="F514" s="103"/>
      <c r="G514" s="105"/>
      <c r="H514" s="105"/>
      <c r="I514" s="105"/>
      <c r="J514" s="105"/>
      <c r="K514" s="105"/>
      <c r="L514" s="105"/>
      <c r="M514" s="107" cm="1">
        <f t="array" ref="M514">IFERROR(_xlfn.SWITCH(L514,"R-FPA",495,"R-FPB",595,"R-FPC",595,"R-FPD",595,"Custom Carton","input L"),0)</f>
        <v>0</v>
      </c>
      <c r="N514" s="107" cm="1">
        <f t="array" ref="N514">IFERROR(_xlfn.SWITCH(L514,"R-FPA",285,"R-FPB",285,"R-FPC",325,"R-FPD",380,"Custom Carton","input W"),0)</f>
        <v>0</v>
      </c>
      <c r="O514" s="107" cm="1">
        <f t="array" ref="O514">IFERROR(_xlfn.SWITCH(L514,"R-FPA","input H","R-FPB","input H","R-FPC","input H","R-FPD","input H","Custom Carton","input H"),0)</f>
        <v>0</v>
      </c>
      <c r="P514" s="107">
        <f>IFERROR(IF(K514="",0,(M514+N514)*2+15),0)</f>
        <v>0</v>
      </c>
      <c r="Q514" s="107">
        <f>IFERROR(IF(K514="",0,(N514+O514)-10),0)</f>
        <v>0</v>
      </c>
      <c r="R514" s="108">
        <f xml:space="preserve"> P514 * Q514 * (1 + 2.5%) / 1000000</f>
        <v>0</v>
      </c>
      <c r="S514" s="109">
        <f>R514*'RFQ_Matalan Carton'!$M$32</f>
        <v>0</v>
      </c>
      <c r="T514" s="110">
        <f>S514</f>
        <v>0</v>
      </c>
      <c r="U514" s="110">
        <f>I514*T514</f>
        <v>0</v>
      </c>
      <c r="V514" s="111">
        <f>((T514*I514)-W514)*7.5%</f>
        <v>0</v>
      </c>
      <c r="W514" s="110">
        <f>S514*I514*10%</f>
        <v>0</v>
      </c>
      <c r="X514" s="113"/>
    </row>
    <row r="515" spans="1:24">
      <c r="A515" s="103"/>
      <c r="B515" s="103"/>
      <c r="C515" s="105"/>
      <c r="D515" s="103"/>
      <c r="E515" s="103"/>
      <c r="F515" s="103"/>
      <c r="G515" s="105"/>
      <c r="H515" s="105"/>
      <c r="I515" s="105"/>
      <c r="J515" s="105"/>
      <c r="K515" s="105"/>
      <c r="L515" s="105"/>
      <c r="M515" s="107" cm="1">
        <f t="array" ref="M515">IFERROR(_xlfn.SWITCH(L515,"R-FPA",495,"R-FPB",595,"R-FPC",595,"R-FPD",595,"Custom Carton","input L"),0)</f>
        <v>0</v>
      </c>
      <c r="N515" s="107" cm="1">
        <f t="array" ref="N515">IFERROR(_xlfn.SWITCH(L515,"R-FPA",285,"R-FPB",285,"R-FPC",325,"R-FPD",380,"Custom Carton","input W"),0)</f>
        <v>0</v>
      </c>
      <c r="O515" s="107" cm="1">
        <f t="array" ref="O515">IFERROR(_xlfn.SWITCH(L515,"R-FPA","input H","R-FPB","input H","R-FPC","input H","R-FPD","input H","Custom Carton","input H"),0)</f>
        <v>0</v>
      </c>
      <c r="P515" s="107">
        <f>IFERROR(IF(K515="",0,(M515+N515)*2+15),0)</f>
        <v>0</v>
      </c>
      <c r="Q515" s="107">
        <f>IFERROR(IF(K515="",0,(N515+O515)-10),0)</f>
        <v>0</v>
      </c>
      <c r="R515" s="108">
        <f xml:space="preserve"> P515 * Q515 * (1 + 2.5%) / 1000000</f>
        <v>0</v>
      </c>
      <c r="S515" s="109">
        <f>R515*'RFQ_Matalan Carton'!$M$32</f>
        <v>0</v>
      </c>
      <c r="T515" s="110">
        <f>S515</f>
        <v>0</v>
      </c>
      <c r="U515" s="110">
        <f>I515*T515</f>
        <v>0</v>
      </c>
      <c r="V515" s="111">
        <f>((T515*I515)-W515)*7.5%</f>
        <v>0</v>
      </c>
      <c r="W515" s="110">
        <f>S515*I515*10%</f>
        <v>0</v>
      </c>
      <c r="X515" s="113"/>
    </row>
    <row r="516" spans="1:24">
      <c r="A516" s="103"/>
      <c r="B516" s="103"/>
      <c r="C516" s="105"/>
      <c r="D516" s="103"/>
      <c r="E516" s="103"/>
      <c r="F516" s="103"/>
      <c r="G516" s="105"/>
      <c r="H516" s="105"/>
      <c r="I516" s="105"/>
      <c r="J516" s="105"/>
      <c r="K516" s="105"/>
      <c r="L516" s="105"/>
      <c r="M516" s="107" cm="1">
        <f t="array" ref="M516">IFERROR(_xlfn.SWITCH(L516,"R-FPA",495,"R-FPB",595,"R-FPC",595,"R-FPD",595,"Custom Carton","input L"),0)</f>
        <v>0</v>
      </c>
      <c r="N516" s="107" cm="1">
        <f t="array" ref="N516">IFERROR(_xlfn.SWITCH(L516,"R-FPA",285,"R-FPB",285,"R-FPC",325,"R-FPD",380,"Custom Carton","input W"),0)</f>
        <v>0</v>
      </c>
      <c r="O516" s="107" cm="1">
        <f t="array" ref="O516">IFERROR(_xlfn.SWITCH(L516,"R-FPA","input H","R-FPB","input H","R-FPC","input H","R-FPD","input H","Custom Carton","input H"),0)</f>
        <v>0</v>
      </c>
      <c r="P516" s="107">
        <f>IFERROR(IF(K516="",0,(M516+N516)*2+15),0)</f>
        <v>0</v>
      </c>
      <c r="Q516" s="107">
        <f>IFERROR(IF(K516="",0,(N516+O516)-10),0)</f>
        <v>0</v>
      </c>
      <c r="R516" s="108">
        <f xml:space="preserve"> P516 * Q516 * (1 + 2.5%) / 1000000</f>
        <v>0</v>
      </c>
      <c r="S516" s="109">
        <f>R516*'RFQ_Matalan Carton'!$M$32</f>
        <v>0</v>
      </c>
      <c r="T516" s="110">
        <f>S516</f>
        <v>0</v>
      </c>
      <c r="U516" s="110">
        <f>I516*T516</f>
        <v>0</v>
      </c>
      <c r="V516" s="111">
        <f>((T516*I516)-W516)*7.5%</f>
        <v>0</v>
      </c>
      <c r="W516" s="110">
        <f>S516*I516*10%</f>
        <v>0</v>
      </c>
      <c r="X516" s="113"/>
    </row>
    <row r="517" spans="1:24">
      <c r="A517" s="103"/>
      <c r="B517" s="103"/>
      <c r="C517" s="105"/>
      <c r="D517" s="103"/>
      <c r="E517" s="103"/>
      <c r="F517" s="103"/>
      <c r="G517" s="105"/>
      <c r="H517" s="105"/>
      <c r="I517" s="105"/>
      <c r="J517" s="105"/>
      <c r="K517" s="105"/>
      <c r="L517" s="105"/>
      <c r="M517" s="107" cm="1">
        <f t="array" ref="M517">IFERROR(_xlfn.SWITCH(L517,"R-FPA",495,"R-FPB",595,"R-FPC",595,"R-FPD",595,"Custom Carton","input L"),0)</f>
        <v>0</v>
      </c>
      <c r="N517" s="107" cm="1">
        <f t="array" ref="N517">IFERROR(_xlfn.SWITCH(L517,"R-FPA",285,"R-FPB",285,"R-FPC",325,"R-FPD",380,"Custom Carton","input W"),0)</f>
        <v>0</v>
      </c>
      <c r="O517" s="107" cm="1">
        <f t="array" ref="O517">IFERROR(_xlfn.SWITCH(L517,"R-FPA","input H","R-FPB","input H","R-FPC","input H","R-FPD","input H","Custom Carton","input H"),0)</f>
        <v>0</v>
      </c>
      <c r="P517" s="107">
        <f>IFERROR(IF(K517="",0,(M517+N517)*2+15),0)</f>
        <v>0</v>
      </c>
      <c r="Q517" s="107">
        <f>IFERROR(IF(K517="",0,(N517+O517)-10),0)</f>
        <v>0</v>
      </c>
      <c r="R517" s="108">
        <f xml:space="preserve"> P517 * Q517 * (1 + 2.5%) / 1000000</f>
        <v>0</v>
      </c>
      <c r="S517" s="109">
        <f>R517*'RFQ_Matalan Carton'!$M$32</f>
        <v>0</v>
      </c>
      <c r="T517" s="110">
        <f>S517</f>
        <v>0</v>
      </c>
      <c r="U517" s="110">
        <f>I517*T517</f>
        <v>0</v>
      </c>
      <c r="V517" s="111">
        <f>((T517*I517)-W517)*7.5%</f>
        <v>0</v>
      </c>
      <c r="W517" s="110">
        <f>S517*I517*10%</f>
        <v>0</v>
      </c>
      <c r="X517" s="113"/>
    </row>
    <row r="518" spans="1:24">
      <c r="A518" s="103"/>
      <c r="B518" s="103"/>
      <c r="C518" s="105"/>
      <c r="D518" s="103"/>
      <c r="E518" s="103"/>
      <c r="F518" s="103"/>
      <c r="G518" s="105"/>
      <c r="H518" s="105"/>
      <c r="I518" s="105"/>
      <c r="J518" s="105"/>
      <c r="K518" s="105"/>
      <c r="L518" s="105"/>
      <c r="M518" s="107" cm="1">
        <f t="array" ref="M518">IFERROR(_xlfn.SWITCH(L518,"R-FPA",495,"R-FPB",595,"R-FPC",595,"R-FPD",595,"Custom Carton","input L"),0)</f>
        <v>0</v>
      </c>
      <c r="N518" s="107" cm="1">
        <f t="array" ref="N518">IFERROR(_xlfn.SWITCH(L518,"R-FPA",285,"R-FPB",285,"R-FPC",325,"R-FPD",380,"Custom Carton","input W"),0)</f>
        <v>0</v>
      </c>
      <c r="O518" s="107" cm="1">
        <f t="array" ref="O518">IFERROR(_xlfn.SWITCH(L518,"R-FPA","input H","R-FPB","input H","R-FPC","input H","R-FPD","input H","Custom Carton","input H"),0)</f>
        <v>0</v>
      </c>
      <c r="P518" s="107">
        <f>IFERROR(IF(K518="",0,(M518+N518)*2+15),0)</f>
        <v>0</v>
      </c>
      <c r="Q518" s="107">
        <f>IFERROR(IF(K518="",0,(N518+O518)-10),0)</f>
        <v>0</v>
      </c>
      <c r="R518" s="108">
        <f xml:space="preserve"> P518 * Q518 * (1 + 2.5%) / 1000000</f>
        <v>0</v>
      </c>
      <c r="S518" s="109">
        <f>R518*'RFQ_Matalan Carton'!$M$32</f>
        <v>0</v>
      </c>
      <c r="T518" s="110">
        <f>S518</f>
        <v>0</v>
      </c>
      <c r="U518" s="110">
        <f>I518*T518</f>
        <v>0</v>
      </c>
      <c r="V518" s="111">
        <f>((T518*I518)-W518)*7.5%</f>
        <v>0</v>
      </c>
      <c r="W518" s="110">
        <f>S518*I518*10%</f>
        <v>0</v>
      </c>
      <c r="X518" s="113"/>
    </row>
    <row r="519" spans="1:24">
      <c r="A519" s="103"/>
      <c r="B519" s="103"/>
      <c r="C519" s="105"/>
      <c r="D519" s="103"/>
      <c r="E519" s="103"/>
      <c r="F519" s="103"/>
      <c r="G519" s="105"/>
      <c r="H519" s="105"/>
      <c r="I519" s="105"/>
      <c r="J519" s="105"/>
      <c r="K519" s="105"/>
      <c r="L519" s="105"/>
      <c r="M519" s="107" cm="1">
        <f t="array" ref="M519">IFERROR(_xlfn.SWITCH(L519,"R-FPA",495,"R-FPB",595,"R-FPC",595,"R-FPD",595,"Custom Carton","input L"),0)</f>
        <v>0</v>
      </c>
      <c r="N519" s="107" cm="1">
        <f t="array" ref="N519">IFERROR(_xlfn.SWITCH(L519,"R-FPA",285,"R-FPB",285,"R-FPC",325,"R-FPD",380,"Custom Carton","input W"),0)</f>
        <v>0</v>
      </c>
      <c r="O519" s="107" cm="1">
        <f t="array" ref="O519">IFERROR(_xlfn.SWITCH(L519,"R-FPA","input H","R-FPB","input H","R-FPC","input H","R-FPD","input H","Custom Carton","input H"),0)</f>
        <v>0</v>
      </c>
      <c r="P519" s="107">
        <f>IFERROR(IF(K519="",0,(M519+N519)*2+15),0)</f>
        <v>0</v>
      </c>
      <c r="Q519" s="107">
        <f>IFERROR(IF(K519="",0,(N519+O519)-10),0)</f>
        <v>0</v>
      </c>
      <c r="R519" s="108">
        <f xml:space="preserve"> P519 * Q519 * (1 + 2.5%) / 1000000</f>
        <v>0</v>
      </c>
      <c r="S519" s="109">
        <f>R519*'RFQ_Matalan Carton'!$M$32</f>
        <v>0</v>
      </c>
      <c r="T519" s="110">
        <f>S519</f>
        <v>0</v>
      </c>
      <c r="U519" s="110">
        <f>I519*T519</f>
        <v>0</v>
      </c>
      <c r="V519" s="111">
        <f>((T519*I519)-W519)*7.5%</f>
        <v>0</v>
      </c>
      <c r="W519" s="110">
        <f>S519*I519*10%</f>
        <v>0</v>
      </c>
      <c r="X519" s="113"/>
    </row>
    <row r="520" spans="1:24">
      <c r="A520" s="103"/>
      <c r="B520" s="103"/>
      <c r="C520" s="105"/>
      <c r="D520" s="103"/>
      <c r="E520" s="103"/>
      <c r="F520" s="103"/>
      <c r="G520" s="105"/>
      <c r="H520" s="105"/>
      <c r="I520" s="105"/>
      <c r="J520" s="105"/>
      <c r="K520" s="105"/>
      <c r="L520" s="105"/>
      <c r="M520" s="107" cm="1">
        <f t="array" ref="M520">IFERROR(_xlfn.SWITCH(L520,"R-FPA",495,"R-FPB",595,"R-FPC",595,"R-FPD",595,"Custom Carton","input L"),0)</f>
        <v>0</v>
      </c>
      <c r="N520" s="107" cm="1">
        <f t="array" ref="N520">IFERROR(_xlfn.SWITCH(L520,"R-FPA",285,"R-FPB",285,"R-FPC",325,"R-FPD",380,"Custom Carton","input W"),0)</f>
        <v>0</v>
      </c>
      <c r="O520" s="107" cm="1">
        <f t="array" ref="O520">IFERROR(_xlfn.SWITCH(L520,"R-FPA","input H","R-FPB","input H","R-FPC","input H","R-FPD","input H","Custom Carton","input H"),0)</f>
        <v>0</v>
      </c>
      <c r="P520" s="107">
        <f>IFERROR(IF(K520="",0,(M520+N520)*2+15),0)</f>
        <v>0</v>
      </c>
      <c r="Q520" s="107">
        <f>IFERROR(IF(K520="",0,(N520+O520)-10),0)</f>
        <v>0</v>
      </c>
      <c r="R520" s="108">
        <f xml:space="preserve"> P520 * Q520 * (1 + 2.5%) / 1000000</f>
        <v>0</v>
      </c>
      <c r="S520" s="109">
        <f>R520*'RFQ_Matalan Carton'!$M$32</f>
        <v>0</v>
      </c>
      <c r="T520" s="110">
        <f>S520</f>
        <v>0</v>
      </c>
      <c r="U520" s="110">
        <f>I520*T520</f>
        <v>0</v>
      </c>
      <c r="V520" s="111">
        <f>((T520*I520)-W520)*7.5%</f>
        <v>0</v>
      </c>
      <c r="W520" s="110">
        <f>S520*I520*10%</f>
        <v>0</v>
      </c>
      <c r="X520" s="113"/>
    </row>
    <row r="521" spans="1:24">
      <c r="A521" s="103"/>
      <c r="B521" s="103"/>
      <c r="C521" s="105"/>
      <c r="D521" s="103"/>
      <c r="E521" s="103"/>
      <c r="F521" s="103"/>
      <c r="G521" s="105"/>
      <c r="H521" s="105"/>
      <c r="I521" s="105"/>
      <c r="J521" s="105"/>
      <c r="K521" s="105"/>
      <c r="L521" s="105"/>
      <c r="M521" s="107" cm="1">
        <f t="array" ref="M521">IFERROR(_xlfn.SWITCH(L521,"R-FPA",495,"R-FPB",595,"R-FPC",595,"R-FPD",595,"Custom Carton","input L"),0)</f>
        <v>0</v>
      </c>
      <c r="N521" s="107" cm="1">
        <f t="array" ref="N521">IFERROR(_xlfn.SWITCH(L521,"R-FPA",285,"R-FPB",285,"R-FPC",325,"R-FPD",380,"Custom Carton","input W"),0)</f>
        <v>0</v>
      </c>
      <c r="O521" s="107" cm="1">
        <f t="array" ref="O521">IFERROR(_xlfn.SWITCH(L521,"R-FPA","input H","R-FPB","input H","R-FPC","input H","R-FPD","input H","Custom Carton","input H"),0)</f>
        <v>0</v>
      </c>
      <c r="P521" s="107">
        <f>IFERROR(IF(K521="",0,(M521+N521)*2+15),0)</f>
        <v>0</v>
      </c>
      <c r="Q521" s="107">
        <f>IFERROR(IF(K521="",0,(N521+O521)-10),0)</f>
        <v>0</v>
      </c>
      <c r="R521" s="108">
        <f xml:space="preserve"> P521 * Q521 * (1 + 2.5%) / 1000000</f>
        <v>0</v>
      </c>
      <c r="S521" s="109">
        <f>R521*'RFQ_Matalan Carton'!$M$32</f>
        <v>0</v>
      </c>
      <c r="T521" s="110">
        <f>S521</f>
        <v>0</v>
      </c>
      <c r="U521" s="110">
        <f>I521*T521</f>
        <v>0</v>
      </c>
      <c r="V521" s="111">
        <f>((T521*I521)-W521)*7.5%</f>
        <v>0</v>
      </c>
      <c r="W521" s="110">
        <f>S521*I521*10%</f>
        <v>0</v>
      </c>
      <c r="X521" s="113"/>
    </row>
    <row r="522" spans="1:24">
      <c r="A522" s="103"/>
      <c r="B522" s="103"/>
      <c r="C522" s="105"/>
      <c r="D522" s="103"/>
      <c r="E522" s="103"/>
      <c r="F522" s="103"/>
      <c r="G522" s="105"/>
      <c r="H522" s="105"/>
      <c r="I522" s="105"/>
      <c r="J522" s="105"/>
      <c r="K522" s="105"/>
      <c r="L522" s="105"/>
      <c r="M522" s="107" cm="1">
        <f t="array" ref="M522">IFERROR(_xlfn.SWITCH(L522,"R-FPA",495,"R-FPB",595,"R-FPC",595,"R-FPD",595,"Custom Carton","input L"),0)</f>
        <v>0</v>
      </c>
      <c r="N522" s="107" cm="1">
        <f t="array" ref="N522">IFERROR(_xlfn.SWITCH(L522,"R-FPA",285,"R-FPB",285,"R-FPC",325,"R-FPD",380,"Custom Carton","input W"),0)</f>
        <v>0</v>
      </c>
      <c r="O522" s="107" cm="1">
        <f t="array" ref="O522">IFERROR(_xlfn.SWITCH(L522,"R-FPA","input H","R-FPB","input H","R-FPC","input H","R-FPD","input H","Custom Carton","input H"),0)</f>
        <v>0</v>
      </c>
      <c r="P522" s="107">
        <f>IFERROR(IF(K522="",0,(M522+N522)*2+15),0)</f>
        <v>0</v>
      </c>
      <c r="Q522" s="107">
        <f>IFERROR(IF(K522="",0,(N522+O522)-10),0)</f>
        <v>0</v>
      </c>
      <c r="R522" s="108">
        <f xml:space="preserve"> P522 * Q522 * (1 + 2.5%) / 1000000</f>
        <v>0</v>
      </c>
      <c r="S522" s="109">
        <f>R522*'RFQ_Matalan Carton'!$M$32</f>
        <v>0</v>
      </c>
      <c r="T522" s="110">
        <f>S522</f>
        <v>0</v>
      </c>
      <c r="U522" s="110">
        <f>I522*T522</f>
        <v>0</v>
      </c>
      <c r="V522" s="111">
        <f>((T522*I522)-W522)*7.5%</f>
        <v>0</v>
      </c>
      <c r="W522" s="110">
        <f>S522*I522*10%</f>
        <v>0</v>
      </c>
      <c r="X522" s="113"/>
    </row>
    <row r="523" spans="1:24">
      <c r="A523" s="103"/>
      <c r="B523" s="103"/>
      <c r="C523" s="105"/>
      <c r="D523" s="103"/>
      <c r="E523" s="103"/>
      <c r="F523" s="103"/>
      <c r="G523" s="105"/>
      <c r="H523" s="105"/>
      <c r="I523" s="105"/>
      <c r="J523" s="105"/>
      <c r="K523" s="105"/>
      <c r="L523" s="105"/>
      <c r="M523" s="107" cm="1">
        <f t="array" ref="M523">IFERROR(_xlfn.SWITCH(L523,"R-FPA",495,"R-FPB",595,"R-FPC",595,"R-FPD",595,"Custom Carton","input L"),0)</f>
        <v>0</v>
      </c>
      <c r="N523" s="107" cm="1">
        <f t="array" ref="N523">IFERROR(_xlfn.SWITCH(L523,"R-FPA",285,"R-FPB",285,"R-FPC",325,"R-FPD",380,"Custom Carton","input W"),0)</f>
        <v>0</v>
      </c>
      <c r="O523" s="107" cm="1">
        <f t="array" ref="O523">IFERROR(_xlfn.SWITCH(L523,"R-FPA","input H","R-FPB","input H","R-FPC","input H","R-FPD","input H","Custom Carton","input H"),0)</f>
        <v>0</v>
      </c>
      <c r="P523" s="107">
        <f>IFERROR(IF(K523="",0,(M523+N523)*2+15),0)</f>
        <v>0</v>
      </c>
      <c r="Q523" s="107">
        <f>IFERROR(IF(K523="",0,(N523+O523)-10),0)</f>
        <v>0</v>
      </c>
      <c r="R523" s="108">
        <f xml:space="preserve"> P523 * Q523 * (1 + 2.5%) / 1000000</f>
        <v>0</v>
      </c>
      <c r="S523" s="109">
        <f>R523*'RFQ_Matalan Carton'!$M$32</f>
        <v>0</v>
      </c>
      <c r="T523" s="110">
        <f>S523</f>
        <v>0</v>
      </c>
      <c r="U523" s="110">
        <f>I523*T523</f>
        <v>0</v>
      </c>
      <c r="V523" s="111">
        <f>((T523*I523)-W523)*7.5%</f>
        <v>0</v>
      </c>
      <c r="W523" s="110">
        <f>S523*I523*10%</f>
        <v>0</v>
      </c>
      <c r="X523" s="113"/>
    </row>
    <row r="524" spans="1:24">
      <c r="A524" s="103"/>
      <c r="B524" s="103"/>
      <c r="C524" s="105"/>
      <c r="D524" s="103"/>
      <c r="E524" s="103"/>
      <c r="F524" s="103"/>
      <c r="G524" s="105"/>
      <c r="H524" s="105"/>
      <c r="I524" s="105"/>
      <c r="J524" s="105"/>
      <c r="K524" s="105"/>
      <c r="L524" s="105"/>
      <c r="M524" s="107" cm="1">
        <f t="array" ref="M524">IFERROR(_xlfn.SWITCH(L524,"R-FPA",495,"R-FPB",595,"R-FPC",595,"R-FPD",595,"Custom Carton","input L"),0)</f>
        <v>0</v>
      </c>
      <c r="N524" s="107" cm="1">
        <f t="array" ref="N524">IFERROR(_xlfn.SWITCH(L524,"R-FPA",285,"R-FPB",285,"R-FPC",325,"R-FPD",380,"Custom Carton","input W"),0)</f>
        <v>0</v>
      </c>
      <c r="O524" s="107" cm="1">
        <f t="array" ref="O524">IFERROR(_xlfn.SWITCH(L524,"R-FPA","input H","R-FPB","input H","R-FPC","input H","R-FPD","input H","Custom Carton","input H"),0)</f>
        <v>0</v>
      </c>
      <c r="P524" s="107">
        <f>IFERROR(IF(K524="",0,(M524+N524)*2+15),0)</f>
        <v>0</v>
      </c>
      <c r="Q524" s="107">
        <f>IFERROR(IF(K524="",0,(N524+O524)-10),0)</f>
        <v>0</v>
      </c>
      <c r="R524" s="108">
        <f xml:space="preserve"> P524 * Q524 * (1 + 2.5%) / 1000000</f>
        <v>0</v>
      </c>
      <c r="S524" s="109">
        <f>R524*'RFQ_Matalan Carton'!$M$32</f>
        <v>0</v>
      </c>
      <c r="T524" s="110">
        <f>S524</f>
        <v>0</v>
      </c>
      <c r="U524" s="110">
        <f>I524*T524</f>
        <v>0</v>
      </c>
      <c r="V524" s="111">
        <f>((T524*I524)-W524)*7.5%</f>
        <v>0</v>
      </c>
      <c r="W524" s="110">
        <f>S524*I524*10%</f>
        <v>0</v>
      </c>
      <c r="X524" s="113"/>
    </row>
    <row r="525" spans="1:24">
      <c r="A525" s="103"/>
      <c r="B525" s="103"/>
      <c r="C525" s="105"/>
      <c r="D525" s="103"/>
      <c r="E525" s="103"/>
      <c r="F525" s="103"/>
      <c r="G525" s="105"/>
      <c r="H525" s="105"/>
      <c r="I525" s="105"/>
      <c r="J525" s="105"/>
      <c r="K525" s="105"/>
      <c r="L525" s="105"/>
      <c r="M525" s="107" cm="1">
        <f t="array" ref="M525">IFERROR(_xlfn.SWITCH(L525,"R-FPA",495,"R-FPB",595,"R-FPC",595,"R-FPD",595,"Custom Carton","input L"),0)</f>
        <v>0</v>
      </c>
      <c r="N525" s="107" cm="1">
        <f t="array" ref="N525">IFERROR(_xlfn.SWITCH(L525,"R-FPA",285,"R-FPB",285,"R-FPC",325,"R-FPD",380,"Custom Carton","input W"),0)</f>
        <v>0</v>
      </c>
      <c r="O525" s="107" cm="1">
        <f t="array" ref="O525">IFERROR(_xlfn.SWITCH(L525,"R-FPA","input H","R-FPB","input H","R-FPC","input H","R-FPD","input H","Custom Carton","input H"),0)</f>
        <v>0</v>
      </c>
      <c r="P525" s="107">
        <f>IFERROR(IF(K525="",0,(M525+N525)*2+15),0)</f>
        <v>0</v>
      </c>
      <c r="Q525" s="107">
        <f>IFERROR(IF(K525="",0,(N525+O525)-10),0)</f>
        <v>0</v>
      </c>
      <c r="R525" s="108">
        <f xml:space="preserve"> P525 * Q525 * (1 + 2.5%) / 1000000</f>
        <v>0</v>
      </c>
      <c r="S525" s="109">
        <f>R525*'RFQ_Matalan Carton'!$M$32</f>
        <v>0</v>
      </c>
      <c r="T525" s="110">
        <f>S525</f>
        <v>0</v>
      </c>
      <c r="U525" s="110">
        <f>I525*T525</f>
        <v>0</v>
      </c>
      <c r="V525" s="111">
        <f>((T525*I525)-W525)*7.5%</f>
        <v>0</v>
      </c>
      <c r="W525" s="110">
        <f>S525*I525*10%</f>
        <v>0</v>
      </c>
      <c r="X525" s="113"/>
    </row>
    <row r="526" spans="1:24">
      <c r="A526" s="103"/>
      <c r="B526" s="103"/>
      <c r="C526" s="105"/>
      <c r="D526" s="103"/>
      <c r="E526" s="103"/>
      <c r="F526" s="103"/>
      <c r="G526" s="105"/>
      <c r="H526" s="105"/>
      <c r="I526" s="105"/>
      <c r="J526" s="105"/>
      <c r="K526" s="105"/>
      <c r="L526" s="105"/>
      <c r="M526" s="107" cm="1">
        <f t="array" ref="M526">IFERROR(_xlfn.SWITCH(L526,"R-FPA",495,"R-FPB",595,"R-FPC",595,"R-FPD",595,"Custom Carton","input L"),0)</f>
        <v>0</v>
      </c>
      <c r="N526" s="107" cm="1">
        <f t="array" ref="N526">IFERROR(_xlfn.SWITCH(L526,"R-FPA",285,"R-FPB",285,"R-FPC",325,"R-FPD",380,"Custom Carton","input W"),0)</f>
        <v>0</v>
      </c>
      <c r="O526" s="107" cm="1">
        <f t="array" ref="O526">IFERROR(_xlfn.SWITCH(L526,"R-FPA","input H","R-FPB","input H","R-FPC","input H","R-FPD","input H","Custom Carton","input H"),0)</f>
        <v>0</v>
      </c>
      <c r="P526" s="107">
        <f>IFERROR(IF(K526="",0,(M526+N526)*2+15),0)</f>
        <v>0</v>
      </c>
      <c r="Q526" s="107">
        <f>IFERROR(IF(K526="",0,(N526+O526)-10),0)</f>
        <v>0</v>
      </c>
      <c r="R526" s="108">
        <f xml:space="preserve"> P526 * Q526 * (1 + 2.5%) / 1000000</f>
        <v>0</v>
      </c>
      <c r="S526" s="109">
        <f>R526*'RFQ_Matalan Carton'!$M$32</f>
        <v>0</v>
      </c>
      <c r="T526" s="110">
        <f>S526</f>
        <v>0</v>
      </c>
      <c r="U526" s="110">
        <f>I526*T526</f>
        <v>0</v>
      </c>
      <c r="V526" s="111">
        <f>((T526*I526)-W526)*7.5%</f>
        <v>0</v>
      </c>
      <c r="W526" s="110">
        <f>S526*I526*10%</f>
        <v>0</v>
      </c>
      <c r="X526" s="113"/>
    </row>
    <row r="527" spans="1:24">
      <c r="A527" s="103"/>
      <c r="B527" s="103"/>
      <c r="C527" s="105"/>
      <c r="D527" s="103"/>
      <c r="E527" s="103"/>
      <c r="F527" s="103"/>
      <c r="G527" s="105"/>
      <c r="H527" s="105"/>
      <c r="I527" s="105"/>
      <c r="J527" s="105"/>
      <c r="K527" s="105"/>
      <c r="L527" s="105"/>
      <c r="M527" s="107" cm="1">
        <f t="array" ref="M527">IFERROR(_xlfn.SWITCH(L527,"R-FPA",495,"R-FPB",595,"R-FPC",595,"R-FPD",595,"Custom Carton","input L"),0)</f>
        <v>0</v>
      </c>
      <c r="N527" s="107" cm="1">
        <f t="array" ref="N527">IFERROR(_xlfn.SWITCH(L527,"R-FPA",285,"R-FPB",285,"R-FPC",325,"R-FPD",380,"Custom Carton","input W"),0)</f>
        <v>0</v>
      </c>
      <c r="O527" s="107" cm="1">
        <f t="array" ref="O527">IFERROR(_xlfn.SWITCH(L527,"R-FPA","input H","R-FPB","input H","R-FPC","input H","R-FPD","input H","Custom Carton","input H"),0)</f>
        <v>0</v>
      </c>
      <c r="P527" s="107">
        <f>IFERROR(IF(K527="",0,(M527+N527)*2+15),0)</f>
        <v>0</v>
      </c>
      <c r="Q527" s="107">
        <f>IFERROR(IF(K527="",0,(N527+O527)-10),0)</f>
        <v>0</v>
      </c>
      <c r="R527" s="108">
        <f xml:space="preserve"> P527 * Q527 * (1 + 2.5%) / 1000000</f>
        <v>0</v>
      </c>
      <c r="S527" s="109">
        <f>R527*'RFQ_Matalan Carton'!$M$32</f>
        <v>0</v>
      </c>
      <c r="T527" s="110">
        <f>S527</f>
        <v>0</v>
      </c>
      <c r="U527" s="110">
        <f>I527*T527</f>
        <v>0</v>
      </c>
      <c r="V527" s="111">
        <f>((T527*I527)-W527)*7.5%</f>
        <v>0</v>
      </c>
      <c r="W527" s="110">
        <f>S527*I527*10%</f>
        <v>0</v>
      </c>
      <c r="X527" s="113"/>
    </row>
    <row r="528" spans="1:24">
      <c r="A528" s="103"/>
      <c r="B528" s="103"/>
      <c r="C528" s="105"/>
      <c r="D528" s="103"/>
      <c r="E528" s="103"/>
      <c r="F528" s="103"/>
      <c r="G528" s="105"/>
      <c r="H528" s="105"/>
      <c r="I528" s="105"/>
      <c r="J528" s="105"/>
      <c r="K528" s="105"/>
      <c r="L528" s="105"/>
      <c r="M528" s="107" cm="1">
        <f t="array" ref="M528">IFERROR(_xlfn.SWITCH(L528,"R-FPA",495,"R-FPB",595,"R-FPC",595,"R-FPD",595,"Custom Carton","input L"),0)</f>
        <v>0</v>
      </c>
      <c r="N528" s="107" cm="1">
        <f t="array" ref="N528">IFERROR(_xlfn.SWITCH(L528,"R-FPA",285,"R-FPB",285,"R-FPC",325,"R-FPD",380,"Custom Carton","input W"),0)</f>
        <v>0</v>
      </c>
      <c r="O528" s="107" cm="1">
        <f t="array" ref="O528">IFERROR(_xlfn.SWITCH(L528,"R-FPA","input H","R-FPB","input H","R-FPC","input H","R-FPD","input H","Custom Carton","input H"),0)</f>
        <v>0</v>
      </c>
      <c r="P528" s="107">
        <f>IFERROR(IF(K528="",0,(M528+N528)*2+15),0)</f>
        <v>0</v>
      </c>
      <c r="Q528" s="107">
        <f>IFERROR(IF(K528="",0,(N528+O528)-10),0)</f>
        <v>0</v>
      </c>
      <c r="R528" s="108">
        <f xml:space="preserve"> P528 * Q528 * (1 + 2.5%) / 1000000</f>
        <v>0</v>
      </c>
      <c r="S528" s="109">
        <f>R528*'RFQ_Matalan Carton'!$M$32</f>
        <v>0</v>
      </c>
      <c r="T528" s="110">
        <f>S528</f>
        <v>0</v>
      </c>
      <c r="U528" s="110">
        <f>I528*T528</f>
        <v>0</v>
      </c>
      <c r="V528" s="111">
        <f>((T528*I528)-W528)*7.5%</f>
        <v>0</v>
      </c>
      <c r="W528" s="110">
        <f>S528*I528*10%</f>
        <v>0</v>
      </c>
      <c r="X528" s="113"/>
    </row>
    <row r="529" spans="1:24">
      <c r="A529" s="103"/>
      <c r="B529" s="103"/>
      <c r="C529" s="105"/>
      <c r="D529" s="103"/>
      <c r="E529" s="103"/>
      <c r="F529" s="103"/>
      <c r="G529" s="105"/>
      <c r="H529" s="105"/>
      <c r="I529" s="105"/>
      <c r="J529" s="105"/>
      <c r="K529" s="105"/>
      <c r="L529" s="105"/>
      <c r="M529" s="107" cm="1">
        <f t="array" ref="M529">IFERROR(_xlfn.SWITCH(L529,"R-FPA",495,"R-FPB",595,"R-FPC",595,"R-FPD",595,"Custom Carton","input L"),0)</f>
        <v>0</v>
      </c>
      <c r="N529" s="107" cm="1">
        <f t="array" ref="N529">IFERROR(_xlfn.SWITCH(L529,"R-FPA",285,"R-FPB",285,"R-FPC",325,"R-FPD",380,"Custom Carton","input W"),0)</f>
        <v>0</v>
      </c>
      <c r="O529" s="107" cm="1">
        <f t="array" ref="O529">IFERROR(_xlfn.SWITCH(L529,"R-FPA","input H","R-FPB","input H","R-FPC","input H","R-FPD","input H","Custom Carton","input H"),0)</f>
        <v>0</v>
      </c>
      <c r="P529" s="107">
        <f>IFERROR(IF(K529="",0,(M529+N529)*2+15),0)</f>
        <v>0</v>
      </c>
      <c r="Q529" s="107">
        <f>IFERROR(IF(K529="",0,(N529+O529)-10),0)</f>
        <v>0</v>
      </c>
      <c r="R529" s="108">
        <f xml:space="preserve"> P529 * Q529 * (1 + 2.5%) / 1000000</f>
        <v>0</v>
      </c>
      <c r="S529" s="109">
        <f>R529*'RFQ_Matalan Carton'!$M$32</f>
        <v>0</v>
      </c>
      <c r="T529" s="110">
        <f>S529</f>
        <v>0</v>
      </c>
      <c r="U529" s="110">
        <f>I529*T529</f>
        <v>0</v>
      </c>
      <c r="V529" s="111">
        <f>((T529*I529)-W529)*7.5%</f>
        <v>0</v>
      </c>
      <c r="W529" s="110">
        <f>S529*I529*10%</f>
        <v>0</v>
      </c>
      <c r="X529" s="113"/>
    </row>
    <row r="530" spans="1:24">
      <c r="A530" s="103"/>
      <c r="B530" s="103"/>
      <c r="C530" s="105"/>
      <c r="D530" s="103"/>
      <c r="E530" s="103"/>
      <c r="F530" s="103"/>
      <c r="G530" s="105"/>
      <c r="H530" s="105"/>
      <c r="I530" s="105"/>
      <c r="J530" s="105"/>
      <c r="K530" s="105"/>
      <c r="L530" s="105"/>
      <c r="M530" s="107" cm="1">
        <f t="array" ref="M530">IFERROR(_xlfn.SWITCH(L530,"R-FPA",495,"R-FPB",595,"R-FPC",595,"R-FPD",595,"Custom Carton","input L"),0)</f>
        <v>0</v>
      </c>
      <c r="N530" s="107" cm="1">
        <f t="array" ref="N530">IFERROR(_xlfn.SWITCH(L530,"R-FPA",285,"R-FPB",285,"R-FPC",325,"R-FPD",380,"Custom Carton","input W"),0)</f>
        <v>0</v>
      </c>
      <c r="O530" s="107" cm="1">
        <f t="array" ref="O530">IFERROR(_xlfn.SWITCH(L530,"R-FPA","input H","R-FPB","input H","R-FPC","input H","R-FPD","input H","Custom Carton","input H"),0)</f>
        <v>0</v>
      </c>
      <c r="P530" s="107">
        <f>IFERROR(IF(K530="",0,(M530+N530)*2+15),0)</f>
        <v>0</v>
      </c>
      <c r="Q530" s="107">
        <f>IFERROR(IF(K530="",0,(N530+O530)-10),0)</f>
        <v>0</v>
      </c>
      <c r="R530" s="108">
        <f xml:space="preserve"> P530 * Q530 * (1 + 2.5%) / 1000000</f>
        <v>0</v>
      </c>
      <c r="S530" s="109">
        <f>R530*'RFQ_Matalan Carton'!$M$32</f>
        <v>0</v>
      </c>
      <c r="T530" s="110">
        <f>S530</f>
        <v>0</v>
      </c>
      <c r="U530" s="110">
        <f>I530*T530</f>
        <v>0</v>
      </c>
      <c r="V530" s="111">
        <f>((T530*I530)-W530)*7.5%</f>
        <v>0</v>
      </c>
      <c r="W530" s="110">
        <f>S530*I530*10%</f>
        <v>0</v>
      </c>
      <c r="X530" s="113"/>
    </row>
    <row r="531" spans="1:24">
      <c r="A531" s="103"/>
      <c r="B531" s="103"/>
      <c r="C531" s="105"/>
      <c r="D531" s="103"/>
      <c r="E531" s="103"/>
      <c r="F531" s="103"/>
      <c r="G531" s="105"/>
      <c r="H531" s="105"/>
      <c r="I531" s="105"/>
      <c r="J531" s="105"/>
      <c r="K531" s="105"/>
      <c r="L531" s="105"/>
      <c r="M531" s="107" cm="1">
        <f t="array" ref="M531">IFERROR(_xlfn.SWITCH(L531,"R-FPA",495,"R-FPB",595,"R-FPC",595,"R-FPD",595,"Custom Carton","input L"),0)</f>
        <v>0</v>
      </c>
      <c r="N531" s="107" cm="1">
        <f t="array" ref="N531">IFERROR(_xlfn.SWITCH(L531,"R-FPA",285,"R-FPB",285,"R-FPC",325,"R-FPD",380,"Custom Carton","input W"),0)</f>
        <v>0</v>
      </c>
      <c r="O531" s="107" cm="1">
        <f t="array" ref="O531">IFERROR(_xlfn.SWITCH(L531,"R-FPA","input H","R-FPB","input H","R-FPC","input H","R-FPD","input H","Custom Carton","input H"),0)</f>
        <v>0</v>
      </c>
      <c r="P531" s="107">
        <f>IFERROR(IF(K531="",0,(M531+N531)*2+15),0)</f>
        <v>0</v>
      </c>
      <c r="Q531" s="107">
        <f>IFERROR(IF(K531="",0,(N531+O531)-10),0)</f>
        <v>0</v>
      </c>
      <c r="R531" s="108">
        <f xml:space="preserve"> P531 * Q531 * (1 + 2.5%) / 1000000</f>
        <v>0</v>
      </c>
      <c r="S531" s="109">
        <f>R531*'RFQ_Matalan Carton'!$M$32</f>
        <v>0</v>
      </c>
      <c r="T531" s="110">
        <f>S531</f>
        <v>0</v>
      </c>
      <c r="U531" s="110">
        <f>I531*T531</f>
        <v>0</v>
      </c>
      <c r="V531" s="111">
        <f>((T531*I531)-W531)*7.5%</f>
        <v>0</v>
      </c>
      <c r="W531" s="110">
        <f>S531*I531*10%</f>
        <v>0</v>
      </c>
      <c r="X531" s="113"/>
    </row>
    <row r="532" spans="1:24">
      <c r="A532" s="103"/>
      <c r="B532" s="103"/>
      <c r="C532" s="105"/>
      <c r="D532" s="103"/>
      <c r="E532" s="103"/>
      <c r="F532" s="103"/>
      <c r="G532" s="105"/>
      <c r="H532" s="105"/>
      <c r="I532" s="105"/>
      <c r="J532" s="105"/>
      <c r="K532" s="105"/>
      <c r="L532" s="105"/>
      <c r="M532" s="107" cm="1">
        <f t="array" ref="M532">IFERROR(_xlfn.SWITCH(L532,"R-FPA",495,"R-FPB",595,"R-FPC",595,"R-FPD",595,"Custom Carton","input L"),0)</f>
        <v>0</v>
      </c>
      <c r="N532" s="107" cm="1">
        <f t="array" ref="N532">IFERROR(_xlfn.SWITCH(L532,"R-FPA",285,"R-FPB",285,"R-FPC",325,"R-FPD",380,"Custom Carton","input W"),0)</f>
        <v>0</v>
      </c>
      <c r="O532" s="107" cm="1">
        <f t="array" ref="O532">IFERROR(_xlfn.SWITCH(L532,"R-FPA","input H","R-FPB","input H","R-FPC","input H","R-FPD","input H","Custom Carton","input H"),0)</f>
        <v>0</v>
      </c>
      <c r="P532" s="107">
        <f>IFERROR(IF(K532="",0,(M532+N532)*2+15),0)</f>
        <v>0</v>
      </c>
      <c r="Q532" s="107">
        <f>IFERROR(IF(K532="",0,(N532+O532)-10),0)</f>
        <v>0</v>
      </c>
      <c r="R532" s="108">
        <f xml:space="preserve"> P532 * Q532 * (1 + 2.5%) / 1000000</f>
        <v>0</v>
      </c>
      <c r="S532" s="109">
        <f>R532*'RFQ_Matalan Carton'!$M$32</f>
        <v>0</v>
      </c>
      <c r="T532" s="110">
        <f>S532</f>
        <v>0</v>
      </c>
      <c r="U532" s="110">
        <f>I532*T532</f>
        <v>0</v>
      </c>
      <c r="V532" s="111">
        <f>((T532*I532)-W532)*7.5%</f>
        <v>0</v>
      </c>
      <c r="W532" s="110">
        <f>S532*I532*10%</f>
        <v>0</v>
      </c>
      <c r="X532" s="113"/>
    </row>
    <row r="533" spans="1:24">
      <c r="A533" s="103"/>
      <c r="B533" s="103"/>
      <c r="C533" s="105"/>
      <c r="D533" s="103"/>
      <c r="E533" s="103"/>
      <c r="F533" s="103"/>
      <c r="G533" s="105"/>
      <c r="H533" s="105"/>
      <c r="I533" s="105"/>
      <c r="J533" s="105"/>
      <c r="K533" s="105"/>
      <c r="L533" s="105"/>
      <c r="M533" s="107" cm="1">
        <f t="array" ref="M533">IFERROR(_xlfn.SWITCH(L533,"R-FPA",495,"R-FPB",595,"R-FPC",595,"R-FPD",595,"Custom Carton","input L"),0)</f>
        <v>0</v>
      </c>
      <c r="N533" s="107" cm="1">
        <f t="array" ref="N533">IFERROR(_xlfn.SWITCH(L533,"R-FPA",285,"R-FPB",285,"R-FPC",325,"R-FPD",380,"Custom Carton","input W"),0)</f>
        <v>0</v>
      </c>
      <c r="O533" s="107" cm="1">
        <f t="array" ref="O533">IFERROR(_xlfn.SWITCH(L533,"R-FPA","input H","R-FPB","input H","R-FPC","input H","R-FPD","input H","Custom Carton","input H"),0)</f>
        <v>0</v>
      </c>
      <c r="P533" s="107">
        <f>IFERROR(IF(K533="",0,(M533+N533)*2+15),0)</f>
        <v>0</v>
      </c>
      <c r="Q533" s="107">
        <f>IFERROR(IF(K533="",0,(N533+O533)-10),0)</f>
        <v>0</v>
      </c>
      <c r="R533" s="108">
        <f xml:space="preserve"> P533 * Q533 * (1 + 2.5%) / 1000000</f>
        <v>0</v>
      </c>
      <c r="S533" s="109">
        <f>R533*'RFQ_Matalan Carton'!$M$32</f>
        <v>0</v>
      </c>
      <c r="T533" s="110">
        <f>S533</f>
        <v>0</v>
      </c>
      <c r="U533" s="110">
        <f>I533*T533</f>
        <v>0</v>
      </c>
      <c r="V533" s="111">
        <f>((T533*I533)-W533)*7.5%</f>
        <v>0</v>
      </c>
      <c r="W533" s="110">
        <f>S533*I533*10%</f>
        <v>0</v>
      </c>
      <c r="X533" s="113"/>
    </row>
    <row r="534" spans="1:24">
      <c r="A534" s="103"/>
      <c r="B534" s="103"/>
      <c r="C534" s="105"/>
      <c r="D534" s="103"/>
      <c r="E534" s="103"/>
      <c r="F534" s="103"/>
      <c r="G534" s="105"/>
      <c r="H534" s="105"/>
      <c r="I534" s="105"/>
      <c r="J534" s="105"/>
      <c r="K534" s="105"/>
      <c r="L534" s="105"/>
      <c r="M534" s="107" cm="1">
        <f t="array" ref="M534">IFERROR(_xlfn.SWITCH(L534,"R-FPA",495,"R-FPB",595,"R-FPC",595,"R-FPD",595,"Custom Carton","input L"),0)</f>
        <v>0</v>
      </c>
      <c r="N534" s="107" cm="1">
        <f t="array" ref="N534">IFERROR(_xlfn.SWITCH(L534,"R-FPA",285,"R-FPB",285,"R-FPC",325,"R-FPD",380,"Custom Carton","input W"),0)</f>
        <v>0</v>
      </c>
      <c r="O534" s="107" cm="1">
        <f t="array" ref="O534">IFERROR(_xlfn.SWITCH(L534,"R-FPA","input H","R-FPB","input H","R-FPC","input H","R-FPD","input H","Custom Carton","input H"),0)</f>
        <v>0</v>
      </c>
      <c r="P534" s="107">
        <f>IFERROR(IF(K534="",0,(M534+N534)*2+15),0)</f>
        <v>0</v>
      </c>
      <c r="Q534" s="107">
        <f>IFERROR(IF(K534="",0,(N534+O534)-10),0)</f>
        <v>0</v>
      </c>
      <c r="R534" s="108">
        <f xml:space="preserve"> P534 * Q534 * (1 + 2.5%) / 1000000</f>
        <v>0</v>
      </c>
      <c r="S534" s="109">
        <f>R534*'RFQ_Matalan Carton'!$M$32</f>
        <v>0</v>
      </c>
      <c r="T534" s="110">
        <f>S534</f>
        <v>0</v>
      </c>
      <c r="U534" s="110">
        <f>I534*T534</f>
        <v>0</v>
      </c>
      <c r="V534" s="111">
        <f>((T534*I534)-W534)*7.5%</f>
        <v>0</v>
      </c>
      <c r="W534" s="110">
        <f>S534*I534*10%</f>
        <v>0</v>
      </c>
      <c r="X534" s="113"/>
    </row>
    <row r="535" spans="1:24">
      <c r="A535" s="103"/>
      <c r="B535" s="103"/>
      <c r="C535" s="105"/>
      <c r="D535" s="103"/>
      <c r="E535" s="103"/>
      <c r="F535" s="103"/>
      <c r="G535" s="105"/>
      <c r="H535" s="105"/>
      <c r="I535" s="105"/>
      <c r="J535" s="105"/>
      <c r="K535" s="105"/>
      <c r="L535" s="105"/>
      <c r="M535" s="107" cm="1">
        <f t="array" ref="M535">IFERROR(_xlfn.SWITCH(L535,"R-FPA",495,"R-FPB",595,"R-FPC",595,"R-FPD",595,"Custom Carton","input L"),0)</f>
        <v>0</v>
      </c>
      <c r="N535" s="107" cm="1">
        <f t="array" ref="N535">IFERROR(_xlfn.SWITCH(L535,"R-FPA",285,"R-FPB",285,"R-FPC",325,"R-FPD",380,"Custom Carton","input W"),0)</f>
        <v>0</v>
      </c>
      <c r="O535" s="107" cm="1">
        <f t="array" ref="O535">IFERROR(_xlfn.SWITCH(L535,"R-FPA","input H","R-FPB","input H","R-FPC","input H","R-FPD","input H","Custom Carton","input H"),0)</f>
        <v>0</v>
      </c>
      <c r="P535" s="107">
        <f>IFERROR(IF(K535="",0,(M535+N535)*2+15),0)</f>
        <v>0</v>
      </c>
      <c r="Q535" s="107">
        <f>IFERROR(IF(K535="",0,(N535+O535)-10),0)</f>
        <v>0</v>
      </c>
      <c r="R535" s="108">
        <f xml:space="preserve"> P535 * Q535 * (1 + 2.5%) / 1000000</f>
        <v>0</v>
      </c>
      <c r="S535" s="109">
        <f>R535*'RFQ_Matalan Carton'!$M$32</f>
        <v>0</v>
      </c>
      <c r="T535" s="110">
        <f>S535</f>
        <v>0</v>
      </c>
      <c r="U535" s="110">
        <f>I535*T535</f>
        <v>0</v>
      </c>
      <c r="V535" s="111">
        <f>((T535*I535)-W535)*7.5%</f>
        <v>0</v>
      </c>
      <c r="W535" s="110">
        <f>S535*I535*10%</f>
        <v>0</v>
      </c>
      <c r="X535" s="113"/>
    </row>
    <row r="536" spans="1:24">
      <c r="A536" s="103"/>
      <c r="B536" s="103"/>
      <c r="C536" s="105"/>
      <c r="D536" s="103"/>
      <c r="E536" s="103"/>
      <c r="F536" s="103"/>
      <c r="G536" s="105"/>
      <c r="H536" s="105"/>
      <c r="I536" s="105"/>
      <c r="J536" s="105"/>
      <c r="K536" s="105"/>
      <c r="L536" s="105"/>
      <c r="M536" s="107" cm="1">
        <f t="array" ref="M536">IFERROR(_xlfn.SWITCH(L536,"R-FPA",495,"R-FPB",595,"R-FPC",595,"R-FPD",595,"Custom Carton","input L"),0)</f>
        <v>0</v>
      </c>
      <c r="N536" s="107" cm="1">
        <f t="array" ref="N536">IFERROR(_xlfn.SWITCH(L536,"R-FPA",285,"R-FPB",285,"R-FPC",325,"R-FPD",380,"Custom Carton","input W"),0)</f>
        <v>0</v>
      </c>
      <c r="O536" s="107" cm="1">
        <f t="array" ref="O536">IFERROR(_xlfn.SWITCH(L536,"R-FPA","input H","R-FPB","input H","R-FPC","input H","R-FPD","input H","Custom Carton","input H"),0)</f>
        <v>0</v>
      </c>
      <c r="P536" s="107">
        <f>IFERROR(IF(K536="",0,(M536+N536)*2+15),0)</f>
        <v>0</v>
      </c>
      <c r="Q536" s="107">
        <f>IFERROR(IF(K536="",0,(N536+O536)-10),0)</f>
        <v>0</v>
      </c>
      <c r="R536" s="108">
        <f xml:space="preserve"> P536 * Q536 * (1 + 2.5%) / 1000000</f>
        <v>0</v>
      </c>
      <c r="S536" s="109">
        <f>R536*'RFQ_Matalan Carton'!$M$32</f>
        <v>0</v>
      </c>
      <c r="T536" s="110">
        <f>S536</f>
        <v>0</v>
      </c>
      <c r="U536" s="110">
        <f>I536*T536</f>
        <v>0</v>
      </c>
      <c r="V536" s="111">
        <f>((T536*I536)-W536)*7.5%</f>
        <v>0</v>
      </c>
      <c r="W536" s="110">
        <f>S536*I536*10%</f>
        <v>0</v>
      </c>
      <c r="X536" s="113"/>
    </row>
    <row r="537" spans="1:24">
      <c r="A537" s="103"/>
      <c r="B537" s="103"/>
      <c r="C537" s="105"/>
      <c r="D537" s="103"/>
      <c r="E537" s="103"/>
      <c r="F537" s="103"/>
      <c r="G537" s="105"/>
      <c r="H537" s="105"/>
      <c r="I537" s="105"/>
      <c r="J537" s="105"/>
      <c r="K537" s="105"/>
      <c r="L537" s="105"/>
      <c r="M537" s="107" cm="1">
        <f t="array" ref="M537">IFERROR(_xlfn.SWITCH(L537,"R-FPA",495,"R-FPB",595,"R-FPC",595,"R-FPD",595,"Custom Carton","input L"),0)</f>
        <v>0</v>
      </c>
      <c r="N537" s="107" cm="1">
        <f t="array" ref="N537">IFERROR(_xlfn.SWITCH(L537,"R-FPA",285,"R-FPB",285,"R-FPC",325,"R-FPD",380,"Custom Carton","input W"),0)</f>
        <v>0</v>
      </c>
      <c r="O537" s="107" cm="1">
        <f t="array" ref="O537">IFERROR(_xlfn.SWITCH(L537,"R-FPA","input H","R-FPB","input H","R-FPC","input H","R-FPD","input H","Custom Carton","input H"),0)</f>
        <v>0</v>
      </c>
      <c r="P537" s="107">
        <f>IFERROR(IF(K537="",0,(M537+N537)*2+15),0)</f>
        <v>0</v>
      </c>
      <c r="Q537" s="107">
        <f>IFERROR(IF(K537="",0,(N537+O537)-10),0)</f>
        <v>0</v>
      </c>
      <c r="R537" s="108">
        <f xml:space="preserve"> P537 * Q537 * (1 + 2.5%) / 1000000</f>
        <v>0</v>
      </c>
      <c r="S537" s="109">
        <f>R537*'RFQ_Matalan Carton'!$M$32</f>
        <v>0</v>
      </c>
      <c r="T537" s="110">
        <f>S537</f>
        <v>0</v>
      </c>
      <c r="U537" s="110">
        <f>I537*T537</f>
        <v>0</v>
      </c>
      <c r="V537" s="111">
        <f>((T537*I537)-W537)*7.5%</f>
        <v>0</v>
      </c>
      <c r="W537" s="110">
        <f>S537*I537*10%</f>
        <v>0</v>
      </c>
      <c r="X537" s="113"/>
    </row>
    <row r="538" spans="1:24">
      <c r="A538" s="103"/>
      <c r="B538" s="103"/>
      <c r="C538" s="105"/>
      <c r="D538" s="103"/>
      <c r="E538" s="103"/>
      <c r="F538" s="103"/>
      <c r="G538" s="105"/>
      <c r="H538" s="105"/>
      <c r="I538" s="105"/>
      <c r="J538" s="105"/>
      <c r="K538" s="105"/>
      <c r="L538" s="105"/>
      <c r="M538" s="107" cm="1">
        <f t="array" ref="M538">IFERROR(_xlfn.SWITCH(L538,"R-FPA",495,"R-FPB",595,"R-FPC",595,"R-FPD",595,"Custom Carton","input L"),0)</f>
        <v>0</v>
      </c>
      <c r="N538" s="107" cm="1">
        <f t="array" ref="N538">IFERROR(_xlfn.SWITCH(L538,"R-FPA",285,"R-FPB",285,"R-FPC",325,"R-FPD",380,"Custom Carton","input W"),0)</f>
        <v>0</v>
      </c>
      <c r="O538" s="107" cm="1">
        <f t="array" ref="O538">IFERROR(_xlfn.SWITCH(L538,"R-FPA","input H","R-FPB","input H","R-FPC","input H","R-FPD","input H","Custom Carton","input H"),0)</f>
        <v>0</v>
      </c>
      <c r="P538" s="107">
        <f>IFERROR(IF(K538="",0,(M538+N538)*2+15),0)</f>
        <v>0</v>
      </c>
      <c r="Q538" s="107">
        <f>IFERROR(IF(K538="",0,(N538+O538)-10),0)</f>
        <v>0</v>
      </c>
      <c r="R538" s="108">
        <f xml:space="preserve"> P538 * Q538 * (1 + 2.5%) / 1000000</f>
        <v>0</v>
      </c>
      <c r="S538" s="109">
        <f>R538*'RFQ_Matalan Carton'!$M$32</f>
        <v>0</v>
      </c>
      <c r="T538" s="110">
        <f>S538</f>
        <v>0</v>
      </c>
      <c r="U538" s="110">
        <f>I538*T538</f>
        <v>0</v>
      </c>
      <c r="V538" s="111">
        <f>((T538*I538)-W538)*7.5%</f>
        <v>0</v>
      </c>
      <c r="W538" s="110">
        <f>S538*I538*10%</f>
        <v>0</v>
      </c>
      <c r="X538" s="113"/>
    </row>
    <row r="539" spans="1:24">
      <c r="A539" s="103"/>
      <c r="B539" s="103"/>
      <c r="C539" s="105"/>
      <c r="D539" s="103"/>
      <c r="E539" s="103"/>
      <c r="F539" s="103"/>
      <c r="G539" s="105"/>
      <c r="H539" s="105"/>
      <c r="I539" s="105"/>
      <c r="J539" s="105"/>
      <c r="K539" s="105"/>
      <c r="L539" s="105"/>
      <c r="M539" s="107" cm="1">
        <f t="array" ref="M539">IFERROR(_xlfn.SWITCH(L539,"R-FPA",495,"R-FPB",595,"R-FPC",595,"R-FPD",595,"Custom Carton","input L"),0)</f>
        <v>0</v>
      </c>
      <c r="N539" s="107" cm="1">
        <f t="array" ref="N539">IFERROR(_xlfn.SWITCH(L539,"R-FPA",285,"R-FPB",285,"R-FPC",325,"R-FPD",380,"Custom Carton","input W"),0)</f>
        <v>0</v>
      </c>
      <c r="O539" s="107" cm="1">
        <f t="array" ref="O539">IFERROR(_xlfn.SWITCH(L539,"R-FPA","input H","R-FPB","input H","R-FPC","input H","R-FPD","input H","Custom Carton","input H"),0)</f>
        <v>0</v>
      </c>
      <c r="P539" s="107">
        <f>IFERROR(IF(K539="",0,(M539+N539)*2+15),0)</f>
        <v>0</v>
      </c>
      <c r="Q539" s="107">
        <f>IFERROR(IF(K539="",0,(N539+O539)-10),0)</f>
        <v>0</v>
      </c>
      <c r="R539" s="108">
        <f xml:space="preserve"> P539 * Q539 * (1 + 2.5%) / 1000000</f>
        <v>0</v>
      </c>
      <c r="S539" s="109">
        <f>R539*'RFQ_Matalan Carton'!$M$32</f>
        <v>0</v>
      </c>
      <c r="T539" s="110">
        <f>S539</f>
        <v>0</v>
      </c>
      <c r="U539" s="110">
        <f>I539*T539</f>
        <v>0</v>
      </c>
      <c r="V539" s="111">
        <f>((T539*I539)-W539)*7.5%</f>
        <v>0</v>
      </c>
      <c r="W539" s="110">
        <f>S539*I539*10%</f>
        <v>0</v>
      </c>
      <c r="X539" s="113"/>
    </row>
    <row r="540" spans="1:24">
      <c r="A540" s="103"/>
      <c r="B540" s="103"/>
      <c r="C540" s="105"/>
      <c r="D540" s="103"/>
      <c r="E540" s="103"/>
      <c r="F540" s="103"/>
      <c r="G540" s="105"/>
      <c r="H540" s="105"/>
      <c r="I540" s="105"/>
      <c r="J540" s="105"/>
      <c r="K540" s="105"/>
      <c r="L540" s="105"/>
      <c r="M540" s="107" cm="1">
        <f t="array" ref="M540">IFERROR(_xlfn.SWITCH(L540,"R-FPA",495,"R-FPB",595,"R-FPC",595,"R-FPD",595,"Custom Carton","input L"),0)</f>
        <v>0</v>
      </c>
      <c r="N540" s="107" cm="1">
        <f t="array" ref="N540">IFERROR(_xlfn.SWITCH(L540,"R-FPA",285,"R-FPB",285,"R-FPC",325,"R-FPD",380,"Custom Carton","input W"),0)</f>
        <v>0</v>
      </c>
      <c r="O540" s="107" cm="1">
        <f t="array" ref="O540">IFERROR(_xlfn.SWITCH(L540,"R-FPA","input H","R-FPB","input H","R-FPC","input H","R-FPD","input H","Custom Carton","input H"),0)</f>
        <v>0</v>
      </c>
      <c r="P540" s="107">
        <f>IFERROR(IF(K540="",0,(M540+N540)*2+15),0)</f>
        <v>0</v>
      </c>
      <c r="Q540" s="107">
        <f>IFERROR(IF(K540="",0,(N540+O540)-10),0)</f>
        <v>0</v>
      </c>
      <c r="R540" s="108">
        <f xml:space="preserve"> P540 * Q540 * (1 + 2.5%) / 1000000</f>
        <v>0</v>
      </c>
      <c r="S540" s="109">
        <f>R540*'RFQ_Matalan Carton'!$M$32</f>
        <v>0</v>
      </c>
      <c r="T540" s="110">
        <f>S540</f>
        <v>0</v>
      </c>
      <c r="U540" s="110">
        <f>I540*T540</f>
        <v>0</v>
      </c>
      <c r="V540" s="111">
        <f>((T540*I540)-W540)*7.5%</f>
        <v>0</v>
      </c>
      <c r="W540" s="110">
        <f>S540*I540*10%</f>
        <v>0</v>
      </c>
      <c r="X540" s="113"/>
    </row>
    <row r="541" spans="1:24">
      <c r="A541" s="103"/>
      <c r="B541" s="103"/>
      <c r="C541" s="105"/>
      <c r="D541" s="103"/>
      <c r="E541" s="103"/>
      <c r="F541" s="103"/>
      <c r="G541" s="105"/>
      <c r="H541" s="105"/>
      <c r="I541" s="105"/>
      <c r="J541" s="105"/>
      <c r="K541" s="105"/>
      <c r="L541" s="105"/>
      <c r="M541" s="107" cm="1">
        <f t="array" ref="M541">IFERROR(_xlfn.SWITCH(L541,"R-FPA",495,"R-FPB",595,"R-FPC",595,"R-FPD",595,"Custom Carton","input L"),0)</f>
        <v>0</v>
      </c>
      <c r="N541" s="107" cm="1">
        <f t="array" ref="N541">IFERROR(_xlfn.SWITCH(L541,"R-FPA",285,"R-FPB",285,"R-FPC",325,"R-FPD",380,"Custom Carton","input W"),0)</f>
        <v>0</v>
      </c>
      <c r="O541" s="107" cm="1">
        <f t="array" ref="O541">IFERROR(_xlfn.SWITCH(L541,"R-FPA","input H","R-FPB","input H","R-FPC","input H","R-FPD","input H","Custom Carton","input H"),0)</f>
        <v>0</v>
      </c>
      <c r="P541" s="107">
        <f>IFERROR(IF(K541="",0,(M541+N541)*2+15),0)</f>
        <v>0</v>
      </c>
      <c r="Q541" s="107">
        <f>IFERROR(IF(K541="",0,(N541+O541)-10),0)</f>
        <v>0</v>
      </c>
      <c r="R541" s="108">
        <f xml:space="preserve"> P541 * Q541 * (1 + 2.5%) / 1000000</f>
        <v>0</v>
      </c>
      <c r="S541" s="109">
        <f>R541*'RFQ_Matalan Carton'!$M$32</f>
        <v>0</v>
      </c>
      <c r="T541" s="110">
        <f>S541</f>
        <v>0</v>
      </c>
      <c r="U541" s="110">
        <f>I541*T541</f>
        <v>0</v>
      </c>
      <c r="V541" s="111">
        <f>((T541*I541)-W541)*7.5%</f>
        <v>0</v>
      </c>
      <c r="W541" s="110">
        <f>S541*I541*10%</f>
        <v>0</v>
      </c>
      <c r="X541" s="113"/>
    </row>
    <row r="542" spans="1:24">
      <c r="A542" s="103"/>
      <c r="B542" s="103"/>
      <c r="C542" s="105"/>
      <c r="D542" s="103"/>
      <c r="E542" s="103"/>
      <c r="F542" s="103"/>
      <c r="G542" s="105"/>
      <c r="H542" s="105"/>
      <c r="I542" s="105"/>
      <c r="J542" s="105"/>
      <c r="K542" s="105"/>
      <c r="L542" s="105"/>
      <c r="M542" s="107" cm="1">
        <f t="array" ref="M542">IFERROR(_xlfn.SWITCH(L542,"R-FPA",495,"R-FPB",595,"R-FPC",595,"R-FPD",595,"Custom Carton","input L"),0)</f>
        <v>0</v>
      </c>
      <c r="N542" s="107" cm="1">
        <f t="array" ref="N542">IFERROR(_xlfn.SWITCH(L542,"R-FPA",285,"R-FPB",285,"R-FPC",325,"R-FPD",380,"Custom Carton","input W"),0)</f>
        <v>0</v>
      </c>
      <c r="O542" s="107" cm="1">
        <f t="array" ref="O542">IFERROR(_xlfn.SWITCH(L542,"R-FPA","input H","R-FPB","input H","R-FPC","input H","R-FPD","input H","Custom Carton","input H"),0)</f>
        <v>0</v>
      </c>
      <c r="P542" s="107">
        <f>IFERROR(IF(K542="",0,(M542+N542)*2+15),0)</f>
        <v>0</v>
      </c>
      <c r="Q542" s="107">
        <f>IFERROR(IF(K542="",0,(N542+O542)-10),0)</f>
        <v>0</v>
      </c>
      <c r="R542" s="108">
        <f xml:space="preserve"> P542 * Q542 * (1 + 2.5%) / 1000000</f>
        <v>0</v>
      </c>
      <c r="S542" s="109">
        <f>R542*'RFQ_Matalan Carton'!$M$32</f>
        <v>0</v>
      </c>
      <c r="T542" s="110">
        <f>S542</f>
        <v>0</v>
      </c>
      <c r="U542" s="110">
        <f>I542*T542</f>
        <v>0</v>
      </c>
      <c r="V542" s="111">
        <f>((T542*I542)-W542)*7.5%</f>
        <v>0</v>
      </c>
      <c r="W542" s="110">
        <f>S542*I542*10%</f>
        <v>0</v>
      </c>
      <c r="X542" s="113"/>
    </row>
    <row r="543" spans="1:24">
      <c r="A543" s="103"/>
      <c r="B543" s="103"/>
      <c r="C543" s="105"/>
      <c r="D543" s="103"/>
      <c r="E543" s="103"/>
      <c r="F543" s="103"/>
      <c r="G543" s="105"/>
      <c r="H543" s="105"/>
      <c r="I543" s="105"/>
      <c r="J543" s="105"/>
      <c r="K543" s="105"/>
      <c r="L543" s="105"/>
      <c r="M543" s="107" cm="1">
        <f t="array" ref="M543">IFERROR(_xlfn.SWITCH(L543,"R-FPA",495,"R-FPB",595,"R-FPC",595,"R-FPD",595,"Custom Carton","input L"),0)</f>
        <v>0</v>
      </c>
      <c r="N543" s="107" cm="1">
        <f t="array" ref="N543">IFERROR(_xlfn.SWITCH(L543,"R-FPA",285,"R-FPB",285,"R-FPC",325,"R-FPD",380,"Custom Carton","input W"),0)</f>
        <v>0</v>
      </c>
      <c r="O543" s="107" cm="1">
        <f t="array" ref="O543">IFERROR(_xlfn.SWITCH(L543,"R-FPA","input H","R-FPB","input H","R-FPC","input H","R-FPD","input H","Custom Carton","input H"),0)</f>
        <v>0</v>
      </c>
      <c r="P543" s="107">
        <f>IFERROR(IF(K543="",0,(M543+N543)*2+15),0)</f>
        <v>0</v>
      </c>
      <c r="Q543" s="107">
        <f>IFERROR(IF(K543="",0,(N543+O543)-10),0)</f>
        <v>0</v>
      </c>
      <c r="R543" s="108">
        <f xml:space="preserve"> P543 * Q543 * (1 + 2.5%) / 1000000</f>
        <v>0</v>
      </c>
      <c r="S543" s="109">
        <f>R543*'RFQ_Matalan Carton'!$M$32</f>
        <v>0</v>
      </c>
      <c r="T543" s="110">
        <f>S543</f>
        <v>0</v>
      </c>
      <c r="U543" s="110">
        <f>I543*T543</f>
        <v>0</v>
      </c>
      <c r="V543" s="111">
        <f>((T543*I543)-W543)*7.5%</f>
        <v>0</v>
      </c>
      <c r="W543" s="110">
        <f>S543*I543*10%</f>
        <v>0</v>
      </c>
      <c r="X543" s="113"/>
    </row>
    <row r="544" spans="1:24">
      <c r="A544" s="103"/>
      <c r="B544" s="103"/>
      <c r="C544" s="105"/>
      <c r="D544" s="103"/>
      <c r="E544" s="103"/>
      <c r="F544" s="103"/>
      <c r="G544" s="105"/>
      <c r="H544" s="105"/>
      <c r="I544" s="105"/>
      <c r="J544" s="105"/>
      <c r="K544" s="105"/>
      <c r="L544" s="105"/>
      <c r="M544" s="107" cm="1">
        <f t="array" ref="M544">IFERROR(_xlfn.SWITCH(L544,"R-FPA",495,"R-FPB",595,"R-FPC",595,"R-FPD",595,"Custom Carton","input L"),0)</f>
        <v>0</v>
      </c>
      <c r="N544" s="107" cm="1">
        <f t="array" ref="N544">IFERROR(_xlfn.SWITCH(L544,"R-FPA",285,"R-FPB",285,"R-FPC",325,"R-FPD",380,"Custom Carton","input W"),0)</f>
        <v>0</v>
      </c>
      <c r="O544" s="107" cm="1">
        <f t="array" ref="O544">IFERROR(_xlfn.SWITCH(L544,"R-FPA","input H","R-FPB","input H","R-FPC","input H","R-FPD","input H","Custom Carton","input H"),0)</f>
        <v>0</v>
      </c>
      <c r="P544" s="107">
        <f>IFERROR(IF(K544="",0,(M544+N544)*2+15),0)</f>
        <v>0</v>
      </c>
      <c r="Q544" s="107">
        <f>IFERROR(IF(K544="",0,(N544+O544)-10),0)</f>
        <v>0</v>
      </c>
      <c r="R544" s="108">
        <f xml:space="preserve"> P544 * Q544 * (1 + 2.5%) / 1000000</f>
        <v>0</v>
      </c>
      <c r="S544" s="109">
        <f>R544*'RFQ_Matalan Carton'!$M$32</f>
        <v>0</v>
      </c>
      <c r="T544" s="110">
        <f>S544</f>
        <v>0</v>
      </c>
      <c r="U544" s="110">
        <f>I544*T544</f>
        <v>0</v>
      </c>
      <c r="V544" s="111">
        <f>((T544*I544)-W544)*7.5%</f>
        <v>0</v>
      </c>
      <c r="W544" s="110">
        <f>S544*I544*10%</f>
        <v>0</v>
      </c>
      <c r="X544" s="113"/>
    </row>
    <row r="545" spans="1:24">
      <c r="A545" s="103"/>
      <c r="B545" s="103"/>
      <c r="C545" s="105"/>
      <c r="D545" s="103"/>
      <c r="E545" s="103"/>
      <c r="F545" s="103"/>
      <c r="G545" s="105"/>
      <c r="H545" s="105"/>
      <c r="I545" s="105"/>
      <c r="J545" s="105"/>
      <c r="K545" s="105"/>
      <c r="L545" s="105"/>
      <c r="M545" s="107" cm="1">
        <f t="array" ref="M545">IFERROR(_xlfn.SWITCH(L545,"R-FPA",495,"R-FPB",595,"R-FPC",595,"R-FPD",595,"Custom Carton","input L"),0)</f>
        <v>0</v>
      </c>
      <c r="N545" s="107" cm="1">
        <f t="array" ref="N545">IFERROR(_xlfn.SWITCH(L545,"R-FPA",285,"R-FPB",285,"R-FPC",325,"R-FPD",380,"Custom Carton","input W"),0)</f>
        <v>0</v>
      </c>
      <c r="O545" s="107" cm="1">
        <f t="array" ref="O545">IFERROR(_xlfn.SWITCH(L545,"R-FPA","input H","R-FPB","input H","R-FPC","input H","R-FPD","input H","Custom Carton","input H"),0)</f>
        <v>0</v>
      </c>
      <c r="P545" s="107">
        <f>IFERROR(IF(K545="",0,(M545+N545)*2+15),0)</f>
        <v>0</v>
      </c>
      <c r="Q545" s="107">
        <f>IFERROR(IF(K545="",0,(N545+O545)-10),0)</f>
        <v>0</v>
      </c>
      <c r="R545" s="108">
        <f xml:space="preserve"> P545 * Q545 * (1 + 2.5%) / 1000000</f>
        <v>0</v>
      </c>
      <c r="S545" s="109">
        <f>R545*'RFQ_Matalan Carton'!$M$32</f>
        <v>0</v>
      </c>
      <c r="T545" s="110">
        <f>S545</f>
        <v>0</v>
      </c>
      <c r="U545" s="110">
        <f>I545*T545</f>
        <v>0</v>
      </c>
      <c r="V545" s="111">
        <f>((T545*I545)-W545)*7.5%</f>
        <v>0</v>
      </c>
      <c r="W545" s="110">
        <f>S545*I545*10%</f>
        <v>0</v>
      </c>
      <c r="X545" s="113"/>
    </row>
    <row r="546" spans="1:24">
      <c r="A546" s="103"/>
      <c r="B546" s="103"/>
      <c r="C546" s="105"/>
      <c r="D546" s="103"/>
      <c r="E546" s="103"/>
      <c r="F546" s="103"/>
      <c r="G546" s="105"/>
      <c r="H546" s="105"/>
      <c r="I546" s="105"/>
      <c r="J546" s="105"/>
      <c r="K546" s="105"/>
      <c r="L546" s="105"/>
      <c r="M546" s="107" cm="1">
        <f t="array" ref="M546">IFERROR(_xlfn.SWITCH(L546,"R-FPA",495,"R-FPB",595,"R-FPC",595,"R-FPD",595,"Custom Carton","input L"),0)</f>
        <v>0</v>
      </c>
      <c r="N546" s="107" cm="1">
        <f t="array" ref="N546">IFERROR(_xlfn.SWITCH(L546,"R-FPA",285,"R-FPB",285,"R-FPC",325,"R-FPD",380,"Custom Carton","input W"),0)</f>
        <v>0</v>
      </c>
      <c r="O546" s="107" cm="1">
        <f t="array" ref="O546">IFERROR(_xlfn.SWITCH(L546,"R-FPA","input H","R-FPB","input H","R-FPC","input H","R-FPD","input H","Custom Carton","input H"),0)</f>
        <v>0</v>
      </c>
      <c r="P546" s="107">
        <f>IFERROR(IF(K546="",0,(M546+N546)*2+15),0)</f>
        <v>0</v>
      </c>
      <c r="Q546" s="107">
        <f>IFERROR(IF(K546="",0,(N546+O546)-10),0)</f>
        <v>0</v>
      </c>
      <c r="R546" s="108">
        <f xml:space="preserve"> P546 * Q546 * (1 + 2.5%) / 1000000</f>
        <v>0</v>
      </c>
      <c r="S546" s="109">
        <f>R546*'RFQ_Matalan Carton'!$M$32</f>
        <v>0</v>
      </c>
      <c r="T546" s="110">
        <f>S546</f>
        <v>0</v>
      </c>
      <c r="U546" s="110">
        <f>I546*T546</f>
        <v>0</v>
      </c>
      <c r="V546" s="111">
        <f>((T546*I546)-W546)*7.5%</f>
        <v>0</v>
      </c>
      <c r="W546" s="110">
        <f>S546*I546*10%</f>
        <v>0</v>
      </c>
      <c r="X546" s="113"/>
    </row>
    <row r="547" spans="1:24">
      <c r="A547" s="103"/>
      <c r="B547" s="103"/>
      <c r="C547" s="105"/>
      <c r="D547" s="103"/>
      <c r="E547" s="103"/>
      <c r="F547" s="103"/>
      <c r="G547" s="105"/>
      <c r="H547" s="105"/>
      <c r="I547" s="105"/>
      <c r="J547" s="105"/>
      <c r="K547" s="105"/>
      <c r="L547" s="105"/>
      <c r="M547" s="107" cm="1">
        <f t="array" ref="M547">IFERROR(_xlfn.SWITCH(L547,"R-FPA",495,"R-FPB",595,"R-FPC",595,"R-FPD",595,"Custom Carton","input L"),0)</f>
        <v>0</v>
      </c>
      <c r="N547" s="107" cm="1">
        <f t="array" ref="N547">IFERROR(_xlfn.SWITCH(L547,"R-FPA",285,"R-FPB",285,"R-FPC",325,"R-FPD",380,"Custom Carton","input W"),0)</f>
        <v>0</v>
      </c>
      <c r="O547" s="107" cm="1">
        <f t="array" ref="O547">IFERROR(_xlfn.SWITCH(L547,"R-FPA","input H","R-FPB","input H","R-FPC","input H","R-FPD","input H","Custom Carton","input H"),0)</f>
        <v>0</v>
      </c>
      <c r="P547" s="107">
        <f>IFERROR(IF(K547="",0,(M547+N547)*2+15),0)</f>
        <v>0</v>
      </c>
      <c r="Q547" s="107">
        <f>IFERROR(IF(K547="",0,(N547+O547)-10),0)</f>
        <v>0</v>
      </c>
      <c r="R547" s="108">
        <f xml:space="preserve"> P547 * Q547 * (1 + 2.5%) / 1000000</f>
        <v>0</v>
      </c>
      <c r="S547" s="109">
        <f>R547*'RFQ_Matalan Carton'!$M$32</f>
        <v>0</v>
      </c>
      <c r="T547" s="110">
        <f>S547</f>
        <v>0</v>
      </c>
      <c r="U547" s="110">
        <f>I547*T547</f>
        <v>0</v>
      </c>
      <c r="V547" s="111">
        <f>((T547*I547)-W547)*7.5%</f>
        <v>0</v>
      </c>
      <c r="W547" s="110">
        <f>S547*I547*10%</f>
        <v>0</v>
      </c>
      <c r="X547" s="113"/>
    </row>
    <row r="548" spans="1:24">
      <c r="A548" s="103"/>
      <c r="B548" s="103"/>
      <c r="C548" s="105"/>
      <c r="D548" s="103"/>
      <c r="E548" s="103"/>
      <c r="F548" s="103"/>
      <c r="G548" s="105"/>
      <c r="H548" s="105"/>
      <c r="I548" s="105"/>
      <c r="J548" s="105"/>
      <c r="K548" s="105"/>
      <c r="L548" s="105"/>
      <c r="M548" s="107" cm="1">
        <f t="array" ref="M548">IFERROR(_xlfn.SWITCH(L548,"R-FPA",495,"R-FPB",595,"R-FPC",595,"R-FPD",595,"Custom Carton","input L"),0)</f>
        <v>0</v>
      </c>
      <c r="N548" s="107" cm="1">
        <f t="array" ref="N548">IFERROR(_xlfn.SWITCH(L548,"R-FPA",285,"R-FPB",285,"R-FPC",325,"R-FPD",380,"Custom Carton","input W"),0)</f>
        <v>0</v>
      </c>
      <c r="O548" s="107" cm="1">
        <f t="array" ref="O548">IFERROR(_xlfn.SWITCH(L548,"R-FPA","input H","R-FPB","input H","R-FPC","input H","R-FPD","input H","Custom Carton","input H"),0)</f>
        <v>0</v>
      </c>
      <c r="P548" s="107">
        <f>IFERROR(IF(K548="",0,(M548+N548)*2+15),0)</f>
        <v>0</v>
      </c>
      <c r="Q548" s="107">
        <f>IFERROR(IF(K548="",0,(N548+O548)-10),0)</f>
        <v>0</v>
      </c>
      <c r="R548" s="108">
        <f xml:space="preserve"> P548 * Q548 * (1 + 2.5%) / 1000000</f>
        <v>0</v>
      </c>
      <c r="S548" s="109">
        <f>R548*'RFQ_Matalan Carton'!$M$32</f>
        <v>0</v>
      </c>
      <c r="T548" s="110">
        <f>S548</f>
        <v>0</v>
      </c>
      <c r="U548" s="110">
        <f>I548*T548</f>
        <v>0</v>
      </c>
      <c r="V548" s="111">
        <f>((T548*I548)-W548)*7.5%</f>
        <v>0</v>
      </c>
      <c r="W548" s="110">
        <f>S548*I548*10%</f>
        <v>0</v>
      </c>
      <c r="X548" s="113"/>
    </row>
    <row r="549" spans="1:24">
      <c r="A549" s="103"/>
      <c r="B549" s="103"/>
      <c r="C549" s="105"/>
      <c r="D549" s="103"/>
      <c r="E549" s="103"/>
      <c r="F549" s="103"/>
      <c r="G549" s="105"/>
      <c r="H549" s="105"/>
      <c r="I549" s="105"/>
      <c r="J549" s="105"/>
      <c r="K549" s="105"/>
      <c r="L549" s="105"/>
      <c r="M549" s="107" cm="1">
        <f t="array" ref="M549">IFERROR(_xlfn.SWITCH(L549,"R-FPA",495,"R-FPB",595,"R-FPC",595,"R-FPD",595,"Custom Carton","input L"),0)</f>
        <v>0</v>
      </c>
      <c r="N549" s="107" cm="1">
        <f t="array" ref="N549">IFERROR(_xlfn.SWITCH(L549,"R-FPA",285,"R-FPB",285,"R-FPC",325,"R-FPD",380,"Custom Carton","input W"),0)</f>
        <v>0</v>
      </c>
      <c r="O549" s="107" cm="1">
        <f t="array" ref="O549">IFERROR(_xlfn.SWITCH(L549,"R-FPA","input H","R-FPB","input H","R-FPC","input H","R-FPD","input H","Custom Carton","input H"),0)</f>
        <v>0</v>
      </c>
      <c r="P549" s="107">
        <f>IFERROR(IF(K549="",0,(M549+N549)*2+15),0)</f>
        <v>0</v>
      </c>
      <c r="Q549" s="107">
        <f>IFERROR(IF(K549="",0,(N549+O549)-10),0)</f>
        <v>0</v>
      </c>
      <c r="R549" s="108">
        <f xml:space="preserve"> P549 * Q549 * (1 + 2.5%) / 1000000</f>
        <v>0</v>
      </c>
      <c r="S549" s="109">
        <f>R549*'RFQ_Matalan Carton'!$M$32</f>
        <v>0</v>
      </c>
      <c r="T549" s="110">
        <f>S549</f>
        <v>0</v>
      </c>
      <c r="U549" s="110">
        <f>I549*T549</f>
        <v>0</v>
      </c>
      <c r="V549" s="111">
        <f>((T549*I549)-W549)*7.5%</f>
        <v>0</v>
      </c>
      <c r="W549" s="110">
        <f>S549*I549*10%</f>
        <v>0</v>
      </c>
      <c r="X549" s="113"/>
    </row>
    <row r="550" spans="1:24">
      <c r="A550" s="103"/>
      <c r="B550" s="103"/>
      <c r="C550" s="105"/>
      <c r="D550" s="103"/>
      <c r="E550" s="103"/>
      <c r="F550" s="103"/>
      <c r="G550" s="105"/>
      <c r="H550" s="105"/>
      <c r="I550" s="105"/>
      <c r="J550" s="105"/>
      <c r="K550" s="105"/>
      <c r="L550" s="105"/>
      <c r="M550" s="107" cm="1">
        <f t="array" ref="M550">IFERROR(_xlfn.SWITCH(L550,"R-FPA",495,"R-FPB",595,"R-FPC",595,"R-FPD",595,"Custom Carton","input L"),0)</f>
        <v>0</v>
      </c>
      <c r="N550" s="107" cm="1">
        <f t="array" ref="N550">IFERROR(_xlfn.SWITCH(L550,"R-FPA",285,"R-FPB",285,"R-FPC",325,"R-FPD",380,"Custom Carton","input W"),0)</f>
        <v>0</v>
      </c>
      <c r="O550" s="107" cm="1">
        <f t="array" ref="O550">IFERROR(_xlfn.SWITCH(L550,"R-FPA","input H","R-FPB","input H","R-FPC","input H","R-FPD","input H","Custom Carton","input H"),0)</f>
        <v>0</v>
      </c>
      <c r="P550" s="107">
        <f>IFERROR(IF(K550="",0,(M550+N550)*2+15),0)</f>
        <v>0</v>
      </c>
      <c r="Q550" s="107">
        <f>IFERROR(IF(K550="",0,(N550+O550)-10),0)</f>
        <v>0</v>
      </c>
      <c r="R550" s="108">
        <f xml:space="preserve"> P550 * Q550 * (1 + 2.5%) / 1000000</f>
        <v>0</v>
      </c>
      <c r="S550" s="109">
        <f>R550*'RFQ_Matalan Carton'!$M$32</f>
        <v>0</v>
      </c>
      <c r="T550" s="110">
        <f>S550</f>
        <v>0</v>
      </c>
      <c r="U550" s="110">
        <f>I550*T550</f>
        <v>0</v>
      </c>
      <c r="V550" s="111">
        <f>((T550*I550)-W550)*7.5%</f>
        <v>0</v>
      </c>
      <c r="W550" s="110">
        <f>S550*I550*10%</f>
        <v>0</v>
      </c>
      <c r="X550" s="113"/>
    </row>
    <row r="551" spans="1:24">
      <c r="A551" s="103"/>
      <c r="B551" s="103"/>
      <c r="C551" s="105"/>
      <c r="D551" s="103"/>
      <c r="E551" s="103"/>
      <c r="F551" s="103"/>
      <c r="G551" s="105"/>
      <c r="H551" s="105"/>
      <c r="I551" s="105"/>
      <c r="J551" s="105"/>
      <c r="K551" s="105"/>
      <c r="L551" s="105"/>
      <c r="M551" s="107" cm="1">
        <f t="array" ref="M551">IFERROR(_xlfn.SWITCH(L551,"R-FPA",495,"R-FPB",595,"R-FPC",595,"R-FPD",595,"Custom Carton","input L"),0)</f>
        <v>0</v>
      </c>
      <c r="N551" s="107" cm="1">
        <f t="array" ref="N551">IFERROR(_xlfn.SWITCH(L551,"R-FPA",285,"R-FPB",285,"R-FPC",325,"R-FPD",380,"Custom Carton","input W"),0)</f>
        <v>0</v>
      </c>
      <c r="O551" s="107" cm="1">
        <f t="array" ref="O551">IFERROR(_xlfn.SWITCH(L551,"R-FPA","input H","R-FPB","input H","R-FPC","input H","R-FPD","input H","Custom Carton","input H"),0)</f>
        <v>0</v>
      </c>
      <c r="P551" s="107">
        <f>IFERROR(IF(K551="",0,(M551+N551)*2+15),0)</f>
        <v>0</v>
      </c>
      <c r="Q551" s="107">
        <f>IFERROR(IF(K551="",0,(N551+O551)-10),0)</f>
        <v>0</v>
      </c>
      <c r="R551" s="108">
        <f xml:space="preserve"> P551 * Q551 * (1 + 2.5%) / 1000000</f>
        <v>0</v>
      </c>
      <c r="S551" s="109">
        <f>R551*'RFQ_Matalan Carton'!$M$32</f>
        <v>0</v>
      </c>
      <c r="T551" s="110">
        <f>S551</f>
        <v>0</v>
      </c>
      <c r="U551" s="110">
        <f>I551*T551</f>
        <v>0</v>
      </c>
      <c r="V551" s="111">
        <f>((T551*I551)-W551)*7.5%</f>
        <v>0</v>
      </c>
      <c r="W551" s="110">
        <f>S551*I551*10%</f>
        <v>0</v>
      </c>
      <c r="X551" s="113"/>
    </row>
    <row r="552" spans="1:24">
      <c r="A552" s="103"/>
      <c r="B552" s="103"/>
      <c r="C552" s="105"/>
      <c r="D552" s="103"/>
      <c r="E552" s="103"/>
      <c r="F552" s="103"/>
      <c r="G552" s="105"/>
      <c r="H552" s="105"/>
      <c r="I552" s="105"/>
      <c r="J552" s="105"/>
      <c r="K552" s="105"/>
      <c r="L552" s="105"/>
      <c r="M552" s="107" cm="1">
        <f t="array" ref="M552">IFERROR(_xlfn.SWITCH(L552,"R-FPA",495,"R-FPB",595,"R-FPC",595,"R-FPD",595,"Custom Carton","input L"),0)</f>
        <v>0</v>
      </c>
      <c r="N552" s="107" cm="1">
        <f t="array" ref="N552">IFERROR(_xlfn.SWITCH(L552,"R-FPA",285,"R-FPB",285,"R-FPC",325,"R-FPD",380,"Custom Carton","input W"),0)</f>
        <v>0</v>
      </c>
      <c r="O552" s="107" cm="1">
        <f t="array" ref="O552">IFERROR(_xlfn.SWITCH(L552,"R-FPA","input H","R-FPB","input H","R-FPC","input H","R-FPD","input H","Custom Carton","input H"),0)</f>
        <v>0</v>
      </c>
      <c r="P552" s="107">
        <f>IFERROR(IF(K552="",0,(M552+N552)*2+15),0)</f>
        <v>0</v>
      </c>
      <c r="Q552" s="107">
        <f>IFERROR(IF(K552="",0,(N552+O552)-10),0)</f>
        <v>0</v>
      </c>
      <c r="R552" s="108">
        <f xml:space="preserve"> P552 * Q552 * (1 + 2.5%) / 1000000</f>
        <v>0</v>
      </c>
      <c r="S552" s="109">
        <f>R552*'RFQ_Matalan Carton'!$M$32</f>
        <v>0</v>
      </c>
      <c r="T552" s="110">
        <f>S552</f>
        <v>0</v>
      </c>
      <c r="U552" s="110">
        <f>I552*T552</f>
        <v>0</v>
      </c>
      <c r="V552" s="111">
        <f>((T552*I552)-W552)*7.5%</f>
        <v>0</v>
      </c>
      <c r="W552" s="110">
        <f>S552*I552*10%</f>
        <v>0</v>
      </c>
      <c r="X552" s="113"/>
    </row>
    <row r="553" spans="1:24">
      <c r="A553" s="103"/>
      <c r="B553" s="103"/>
      <c r="C553" s="105"/>
      <c r="D553" s="103"/>
      <c r="E553" s="103"/>
      <c r="F553" s="103"/>
      <c r="G553" s="105"/>
      <c r="H553" s="105"/>
      <c r="I553" s="105"/>
      <c r="J553" s="105"/>
      <c r="K553" s="105"/>
      <c r="L553" s="105"/>
      <c r="M553" s="107" cm="1">
        <f t="array" ref="M553">IFERROR(_xlfn.SWITCH(L553,"R-FPA",495,"R-FPB",595,"R-FPC",595,"R-FPD",595,"Custom Carton","input L"),0)</f>
        <v>0</v>
      </c>
      <c r="N553" s="107" cm="1">
        <f t="array" ref="N553">IFERROR(_xlfn.SWITCH(L553,"R-FPA",285,"R-FPB",285,"R-FPC",325,"R-FPD",380,"Custom Carton","input W"),0)</f>
        <v>0</v>
      </c>
      <c r="O553" s="107" cm="1">
        <f t="array" ref="O553">IFERROR(_xlfn.SWITCH(L553,"R-FPA","input H","R-FPB","input H","R-FPC","input H","R-FPD","input H","Custom Carton","input H"),0)</f>
        <v>0</v>
      </c>
      <c r="P553" s="107">
        <f>IFERROR(IF(K553="",0,(M553+N553)*2+15),0)</f>
        <v>0</v>
      </c>
      <c r="Q553" s="107">
        <f>IFERROR(IF(K553="",0,(N553+O553)-10),0)</f>
        <v>0</v>
      </c>
      <c r="R553" s="108">
        <f xml:space="preserve"> P553 * Q553 * (1 + 2.5%) / 1000000</f>
        <v>0</v>
      </c>
      <c r="S553" s="109">
        <f>R553*'RFQ_Matalan Carton'!$M$32</f>
        <v>0</v>
      </c>
      <c r="T553" s="110">
        <f>S553</f>
        <v>0</v>
      </c>
      <c r="U553" s="110">
        <f>I553*T553</f>
        <v>0</v>
      </c>
      <c r="V553" s="111">
        <f>((T553*I553)-W553)*7.5%</f>
        <v>0</v>
      </c>
      <c r="W553" s="110">
        <f>S553*I553*10%</f>
        <v>0</v>
      </c>
      <c r="X553" s="113"/>
    </row>
    <row r="554" spans="1:24">
      <c r="A554" s="103"/>
      <c r="B554" s="103"/>
      <c r="C554" s="105"/>
      <c r="D554" s="103"/>
      <c r="E554" s="103"/>
      <c r="F554" s="103"/>
      <c r="G554" s="105"/>
      <c r="H554" s="105"/>
      <c r="I554" s="105"/>
      <c r="J554" s="105"/>
      <c r="K554" s="105"/>
      <c r="L554" s="105"/>
      <c r="M554" s="107" cm="1">
        <f t="array" ref="M554">IFERROR(_xlfn.SWITCH(L554,"R-FPA",495,"R-FPB",595,"R-FPC",595,"R-FPD",595,"Custom Carton","input L"),0)</f>
        <v>0</v>
      </c>
      <c r="N554" s="107" cm="1">
        <f t="array" ref="N554">IFERROR(_xlfn.SWITCH(L554,"R-FPA",285,"R-FPB",285,"R-FPC",325,"R-FPD",380,"Custom Carton","input W"),0)</f>
        <v>0</v>
      </c>
      <c r="O554" s="107" cm="1">
        <f t="array" ref="O554">IFERROR(_xlfn.SWITCH(L554,"R-FPA","input H","R-FPB","input H","R-FPC","input H","R-FPD","input H","Custom Carton","input H"),0)</f>
        <v>0</v>
      </c>
      <c r="P554" s="107">
        <f>IFERROR(IF(K554="",0,(M554+N554)*2+15),0)</f>
        <v>0</v>
      </c>
      <c r="Q554" s="107">
        <f>IFERROR(IF(K554="",0,(N554+O554)-10),0)</f>
        <v>0</v>
      </c>
      <c r="R554" s="108">
        <f xml:space="preserve"> P554 * Q554 * (1 + 2.5%) / 1000000</f>
        <v>0</v>
      </c>
      <c r="S554" s="109">
        <f>R554*'RFQ_Matalan Carton'!$M$32</f>
        <v>0</v>
      </c>
      <c r="T554" s="110">
        <f>S554</f>
        <v>0</v>
      </c>
      <c r="U554" s="110">
        <f>I554*T554</f>
        <v>0</v>
      </c>
      <c r="V554" s="111">
        <f>((T554*I554)-W554)*7.5%</f>
        <v>0</v>
      </c>
      <c r="W554" s="110">
        <f>S554*I554*10%</f>
        <v>0</v>
      </c>
      <c r="X554" s="113"/>
    </row>
    <row r="555" spans="1:24">
      <c r="A555" s="103"/>
      <c r="B555" s="103"/>
      <c r="C555" s="105"/>
      <c r="D555" s="103"/>
      <c r="E555" s="103"/>
      <c r="F555" s="103"/>
      <c r="G555" s="105"/>
      <c r="H555" s="105"/>
      <c r="I555" s="105"/>
      <c r="J555" s="105"/>
      <c r="K555" s="105"/>
      <c r="L555" s="105"/>
      <c r="M555" s="107" cm="1">
        <f t="array" ref="M555">IFERROR(_xlfn.SWITCH(L555,"R-FPA",495,"R-FPB",595,"R-FPC",595,"R-FPD",595,"Custom Carton","input L"),0)</f>
        <v>0</v>
      </c>
      <c r="N555" s="107" cm="1">
        <f t="array" ref="N555">IFERROR(_xlfn.SWITCH(L555,"R-FPA",285,"R-FPB",285,"R-FPC",325,"R-FPD",380,"Custom Carton","input W"),0)</f>
        <v>0</v>
      </c>
      <c r="O555" s="107" cm="1">
        <f t="array" ref="O555">IFERROR(_xlfn.SWITCH(L555,"R-FPA","input H","R-FPB","input H","R-FPC","input H","R-FPD","input H","Custom Carton","input H"),0)</f>
        <v>0</v>
      </c>
      <c r="P555" s="107">
        <f>IFERROR(IF(K555="",0,(M555+N555)*2+15),0)</f>
        <v>0</v>
      </c>
      <c r="Q555" s="107">
        <f>IFERROR(IF(K555="",0,(N555+O555)-10),0)</f>
        <v>0</v>
      </c>
      <c r="R555" s="108">
        <f xml:space="preserve"> P555 * Q555 * (1 + 2.5%) / 1000000</f>
        <v>0</v>
      </c>
      <c r="S555" s="109">
        <f>R555*'RFQ_Matalan Carton'!$M$32</f>
        <v>0</v>
      </c>
      <c r="T555" s="110">
        <f>S555</f>
        <v>0</v>
      </c>
      <c r="U555" s="110">
        <f>I555*T555</f>
        <v>0</v>
      </c>
      <c r="V555" s="111">
        <f>((T555*I555)-W555)*7.5%</f>
        <v>0</v>
      </c>
      <c r="W555" s="110">
        <f>S555*I555*10%</f>
        <v>0</v>
      </c>
      <c r="X555" s="113"/>
    </row>
    <row r="556" spans="1:24">
      <c r="A556" s="103"/>
      <c r="B556" s="103"/>
      <c r="C556" s="105"/>
      <c r="D556" s="103"/>
      <c r="E556" s="103"/>
      <c r="F556" s="103"/>
      <c r="G556" s="105"/>
      <c r="H556" s="105"/>
      <c r="I556" s="105"/>
      <c r="J556" s="105"/>
      <c r="K556" s="105"/>
      <c r="L556" s="105"/>
      <c r="M556" s="107" cm="1">
        <f t="array" ref="M556">IFERROR(_xlfn.SWITCH(L556,"R-FPA",495,"R-FPB",595,"R-FPC",595,"R-FPD",595,"Custom Carton","input L"),0)</f>
        <v>0</v>
      </c>
      <c r="N556" s="107" cm="1">
        <f t="array" ref="N556">IFERROR(_xlfn.SWITCH(L556,"R-FPA",285,"R-FPB",285,"R-FPC",325,"R-FPD",380,"Custom Carton","input W"),0)</f>
        <v>0</v>
      </c>
      <c r="O556" s="107" cm="1">
        <f t="array" ref="O556">IFERROR(_xlfn.SWITCH(L556,"R-FPA","input H","R-FPB","input H","R-FPC","input H","R-FPD","input H","Custom Carton","input H"),0)</f>
        <v>0</v>
      </c>
      <c r="P556" s="107">
        <f>IFERROR(IF(K556="",0,(M556+N556)*2+15),0)</f>
        <v>0</v>
      </c>
      <c r="Q556" s="107">
        <f>IFERROR(IF(K556="",0,(N556+O556)-10),0)</f>
        <v>0</v>
      </c>
      <c r="R556" s="108">
        <f xml:space="preserve"> P556 * Q556 * (1 + 2.5%) / 1000000</f>
        <v>0</v>
      </c>
      <c r="S556" s="109">
        <f>R556*'RFQ_Matalan Carton'!$M$32</f>
        <v>0</v>
      </c>
      <c r="T556" s="110">
        <f>S556</f>
        <v>0</v>
      </c>
      <c r="U556" s="110">
        <f>I556*T556</f>
        <v>0</v>
      </c>
      <c r="V556" s="111">
        <f>((T556*I556)-W556)*7.5%</f>
        <v>0</v>
      </c>
      <c r="W556" s="110">
        <f>S556*I556*10%</f>
        <v>0</v>
      </c>
      <c r="X556" s="113"/>
    </row>
    <row r="557" spans="1:24">
      <c r="A557" s="103"/>
      <c r="B557" s="103"/>
      <c r="C557" s="105"/>
      <c r="D557" s="103"/>
      <c r="E557" s="103"/>
      <c r="F557" s="103"/>
      <c r="G557" s="105"/>
      <c r="H557" s="105"/>
      <c r="I557" s="105"/>
      <c r="J557" s="105"/>
      <c r="K557" s="105"/>
      <c r="L557" s="105"/>
      <c r="M557" s="107" cm="1">
        <f t="array" ref="M557">IFERROR(_xlfn.SWITCH(L557,"R-FPA",495,"R-FPB",595,"R-FPC",595,"R-FPD",595,"Custom Carton","input L"),0)</f>
        <v>0</v>
      </c>
      <c r="N557" s="107" cm="1">
        <f t="array" ref="N557">IFERROR(_xlfn.SWITCH(L557,"R-FPA",285,"R-FPB",285,"R-FPC",325,"R-FPD",380,"Custom Carton","input W"),0)</f>
        <v>0</v>
      </c>
      <c r="O557" s="107" cm="1">
        <f t="array" ref="O557">IFERROR(_xlfn.SWITCH(L557,"R-FPA","input H","R-FPB","input H","R-FPC","input H","R-FPD","input H","Custom Carton","input H"),0)</f>
        <v>0</v>
      </c>
      <c r="P557" s="107">
        <f>IFERROR(IF(K557="",0,(M557+N557)*2+15),0)</f>
        <v>0</v>
      </c>
      <c r="Q557" s="107">
        <f>IFERROR(IF(K557="",0,(N557+O557)-10),0)</f>
        <v>0</v>
      </c>
      <c r="R557" s="108">
        <f xml:space="preserve"> P557 * Q557 * (1 + 2.5%) / 1000000</f>
        <v>0</v>
      </c>
      <c r="S557" s="109">
        <f>R557*'RFQ_Matalan Carton'!$M$32</f>
        <v>0</v>
      </c>
      <c r="T557" s="110">
        <f>S557</f>
        <v>0</v>
      </c>
      <c r="U557" s="110">
        <f>I557*T557</f>
        <v>0</v>
      </c>
      <c r="V557" s="111">
        <f>((T557*I557)-W557)*7.5%</f>
        <v>0</v>
      </c>
      <c r="W557" s="110">
        <f>S557*I557*10%</f>
        <v>0</v>
      </c>
      <c r="X557" s="113"/>
    </row>
    <row r="558" spans="1:24">
      <c r="A558" s="103"/>
      <c r="B558" s="103"/>
      <c r="C558" s="105"/>
      <c r="D558" s="103"/>
      <c r="E558" s="103"/>
      <c r="F558" s="103"/>
      <c r="G558" s="105"/>
      <c r="H558" s="105"/>
      <c r="I558" s="105"/>
      <c r="J558" s="105"/>
      <c r="K558" s="105"/>
      <c r="L558" s="105"/>
      <c r="M558" s="107" cm="1">
        <f t="array" ref="M558">IFERROR(_xlfn.SWITCH(L558,"R-FPA",495,"R-FPB",595,"R-FPC",595,"R-FPD",595,"Custom Carton","input L"),0)</f>
        <v>0</v>
      </c>
      <c r="N558" s="107" cm="1">
        <f t="array" ref="N558">IFERROR(_xlfn.SWITCH(L558,"R-FPA",285,"R-FPB",285,"R-FPC",325,"R-FPD",380,"Custom Carton","input W"),0)</f>
        <v>0</v>
      </c>
      <c r="O558" s="107" cm="1">
        <f t="array" ref="O558">IFERROR(_xlfn.SWITCH(L558,"R-FPA","input H","R-FPB","input H","R-FPC","input H","R-FPD","input H","Custom Carton","input H"),0)</f>
        <v>0</v>
      </c>
      <c r="P558" s="107">
        <f>IFERROR(IF(K558="",0,(M558+N558)*2+15),0)</f>
        <v>0</v>
      </c>
      <c r="Q558" s="107">
        <f>IFERROR(IF(K558="",0,(N558+O558)-10),0)</f>
        <v>0</v>
      </c>
      <c r="R558" s="108">
        <f xml:space="preserve"> P558 * Q558 * (1 + 2.5%) / 1000000</f>
        <v>0</v>
      </c>
      <c r="S558" s="109">
        <f>R558*'RFQ_Matalan Carton'!$M$32</f>
        <v>0</v>
      </c>
      <c r="T558" s="110">
        <f>S558</f>
        <v>0</v>
      </c>
      <c r="U558" s="110">
        <f>I558*T558</f>
        <v>0</v>
      </c>
      <c r="V558" s="111">
        <f>((T558*I558)-W558)*7.5%</f>
        <v>0</v>
      </c>
      <c r="W558" s="110">
        <f>S558*I558*10%</f>
        <v>0</v>
      </c>
      <c r="X558" s="113"/>
    </row>
    <row r="559" spans="1:24">
      <c r="A559" s="103"/>
      <c r="B559" s="103"/>
      <c r="C559" s="105"/>
      <c r="D559" s="103"/>
      <c r="E559" s="103"/>
      <c r="F559" s="103"/>
      <c r="G559" s="105"/>
      <c r="H559" s="105"/>
      <c r="I559" s="105"/>
      <c r="J559" s="105"/>
      <c r="K559" s="105"/>
      <c r="L559" s="105"/>
      <c r="M559" s="107" cm="1">
        <f t="array" ref="M559">IFERROR(_xlfn.SWITCH(L559,"R-FPA",495,"R-FPB",595,"R-FPC",595,"R-FPD",595,"Custom Carton","input L"),0)</f>
        <v>0</v>
      </c>
      <c r="N559" s="107" cm="1">
        <f t="array" ref="N559">IFERROR(_xlfn.SWITCH(L559,"R-FPA",285,"R-FPB",285,"R-FPC",325,"R-FPD",380,"Custom Carton","input W"),0)</f>
        <v>0</v>
      </c>
      <c r="O559" s="107" cm="1">
        <f t="array" ref="O559">IFERROR(_xlfn.SWITCH(L559,"R-FPA","input H","R-FPB","input H","R-FPC","input H","R-FPD","input H","Custom Carton","input H"),0)</f>
        <v>0</v>
      </c>
      <c r="P559" s="107">
        <f>IFERROR(IF(K559="",0,(M559+N559)*2+15),0)</f>
        <v>0</v>
      </c>
      <c r="Q559" s="107">
        <f>IFERROR(IF(K559="",0,(N559+O559)-10),0)</f>
        <v>0</v>
      </c>
      <c r="R559" s="108">
        <f xml:space="preserve"> P559 * Q559 * (1 + 2.5%) / 1000000</f>
        <v>0</v>
      </c>
      <c r="S559" s="109">
        <f>R559*'RFQ_Matalan Carton'!$M$32</f>
        <v>0</v>
      </c>
      <c r="T559" s="110">
        <f>S559</f>
        <v>0</v>
      </c>
      <c r="U559" s="110">
        <f>I559*T559</f>
        <v>0</v>
      </c>
      <c r="V559" s="111">
        <f>((T559*I559)-W559)*7.5%</f>
        <v>0</v>
      </c>
      <c r="W559" s="110">
        <f>S559*I559*10%</f>
        <v>0</v>
      </c>
      <c r="X559" s="113"/>
    </row>
    <row r="560" spans="1:24">
      <c r="A560" s="103"/>
      <c r="B560" s="103"/>
      <c r="C560" s="105"/>
      <c r="D560" s="103"/>
      <c r="E560" s="103"/>
      <c r="F560" s="103"/>
      <c r="G560" s="105"/>
      <c r="H560" s="105"/>
      <c r="I560" s="105"/>
      <c r="J560" s="105"/>
      <c r="K560" s="105"/>
      <c r="L560" s="105"/>
      <c r="M560" s="107" cm="1">
        <f t="array" ref="M560">IFERROR(_xlfn.SWITCH(L560,"R-FPA",495,"R-FPB",595,"R-FPC",595,"R-FPD",595,"Custom Carton","input L"),0)</f>
        <v>0</v>
      </c>
      <c r="N560" s="107" cm="1">
        <f t="array" ref="N560">IFERROR(_xlfn.SWITCH(L560,"R-FPA",285,"R-FPB",285,"R-FPC",325,"R-FPD",380,"Custom Carton","input W"),0)</f>
        <v>0</v>
      </c>
      <c r="O560" s="107" cm="1">
        <f t="array" ref="O560">IFERROR(_xlfn.SWITCH(L560,"R-FPA","input H","R-FPB","input H","R-FPC","input H","R-FPD","input H","Custom Carton","input H"),0)</f>
        <v>0</v>
      </c>
      <c r="P560" s="107">
        <f>IFERROR(IF(K560="",0,(M560+N560)*2+15),0)</f>
        <v>0</v>
      </c>
      <c r="Q560" s="107">
        <f>IFERROR(IF(K560="",0,(N560+O560)-10),0)</f>
        <v>0</v>
      </c>
      <c r="R560" s="108">
        <f xml:space="preserve"> P560 * Q560 * (1 + 2.5%) / 1000000</f>
        <v>0</v>
      </c>
      <c r="S560" s="109">
        <f>R560*'RFQ_Matalan Carton'!$M$32</f>
        <v>0</v>
      </c>
      <c r="T560" s="110">
        <f>S560</f>
        <v>0</v>
      </c>
      <c r="U560" s="110">
        <f>I560*T560</f>
        <v>0</v>
      </c>
      <c r="V560" s="111">
        <f>((T560*I560)-W560)*7.5%</f>
        <v>0</v>
      </c>
      <c r="W560" s="110">
        <f>S560*I560*10%</f>
        <v>0</v>
      </c>
      <c r="X560" s="113"/>
    </row>
    <row r="561" spans="1:24">
      <c r="A561" s="103"/>
      <c r="B561" s="103"/>
      <c r="C561" s="105"/>
      <c r="D561" s="103"/>
      <c r="E561" s="103"/>
      <c r="F561" s="103"/>
      <c r="G561" s="105"/>
      <c r="H561" s="105"/>
      <c r="I561" s="105"/>
      <c r="J561" s="105"/>
      <c r="K561" s="105"/>
      <c r="L561" s="105"/>
      <c r="M561" s="107" cm="1">
        <f t="array" ref="M561">IFERROR(_xlfn.SWITCH(L561,"R-FPA",495,"R-FPB",595,"R-FPC",595,"R-FPD",595,"Custom Carton","input L"),0)</f>
        <v>0</v>
      </c>
      <c r="N561" s="107" cm="1">
        <f t="array" ref="N561">IFERROR(_xlfn.SWITCH(L561,"R-FPA",285,"R-FPB",285,"R-FPC",325,"R-FPD",380,"Custom Carton","input W"),0)</f>
        <v>0</v>
      </c>
      <c r="O561" s="107" cm="1">
        <f t="array" ref="O561">IFERROR(_xlfn.SWITCH(L561,"R-FPA","input H","R-FPB","input H","R-FPC","input H","R-FPD","input H","Custom Carton","input H"),0)</f>
        <v>0</v>
      </c>
      <c r="P561" s="107">
        <f>IFERROR(IF(K561="",0,(M561+N561)*2+15),0)</f>
        <v>0</v>
      </c>
      <c r="Q561" s="107">
        <f>IFERROR(IF(K561="",0,(N561+O561)-10),0)</f>
        <v>0</v>
      </c>
      <c r="R561" s="108">
        <f xml:space="preserve"> P561 * Q561 * (1 + 2.5%) / 1000000</f>
        <v>0</v>
      </c>
      <c r="S561" s="109">
        <f>R561*'RFQ_Matalan Carton'!$M$32</f>
        <v>0</v>
      </c>
      <c r="T561" s="110">
        <f>S561</f>
        <v>0</v>
      </c>
      <c r="U561" s="110">
        <f>I561*T561</f>
        <v>0</v>
      </c>
      <c r="V561" s="111">
        <f>((T561*I561)-W561)*7.5%</f>
        <v>0</v>
      </c>
      <c r="W561" s="110">
        <f>S561*I561*10%</f>
        <v>0</v>
      </c>
      <c r="X561" s="113"/>
    </row>
    <row r="562" spans="1:24">
      <c r="A562" s="103"/>
      <c r="B562" s="103"/>
      <c r="C562" s="105"/>
      <c r="D562" s="103"/>
      <c r="E562" s="103"/>
      <c r="F562" s="103"/>
      <c r="G562" s="105"/>
      <c r="H562" s="105"/>
      <c r="I562" s="105"/>
      <c r="J562" s="105"/>
      <c r="K562" s="105"/>
      <c r="L562" s="105"/>
      <c r="M562" s="107" cm="1">
        <f t="array" ref="M562">IFERROR(_xlfn.SWITCH(L562,"R-FPA",495,"R-FPB",595,"R-FPC",595,"R-FPD",595,"Custom Carton","input L"),0)</f>
        <v>0</v>
      </c>
      <c r="N562" s="107" cm="1">
        <f t="array" ref="N562">IFERROR(_xlfn.SWITCH(L562,"R-FPA",285,"R-FPB",285,"R-FPC",325,"R-FPD",380,"Custom Carton","input W"),0)</f>
        <v>0</v>
      </c>
      <c r="O562" s="107" cm="1">
        <f t="array" ref="O562">IFERROR(_xlfn.SWITCH(L562,"R-FPA","input H","R-FPB","input H","R-FPC","input H","R-FPD","input H","Custom Carton","input H"),0)</f>
        <v>0</v>
      </c>
      <c r="P562" s="107">
        <f>IFERROR(IF(K562="",0,(M562+N562)*2+15),0)</f>
        <v>0</v>
      </c>
      <c r="Q562" s="107">
        <f>IFERROR(IF(K562="",0,(N562+O562)-10),0)</f>
        <v>0</v>
      </c>
      <c r="R562" s="108">
        <f xml:space="preserve"> P562 * Q562 * (1 + 2.5%) / 1000000</f>
        <v>0</v>
      </c>
      <c r="S562" s="109">
        <f>R562*'RFQ_Matalan Carton'!$M$32</f>
        <v>0</v>
      </c>
      <c r="T562" s="110">
        <f>S562</f>
        <v>0</v>
      </c>
      <c r="U562" s="110">
        <f>I562*T562</f>
        <v>0</v>
      </c>
      <c r="V562" s="111">
        <f>((T562*I562)-W562)*7.5%</f>
        <v>0</v>
      </c>
      <c r="W562" s="110">
        <f>S562*I562*10%</f>
        <v>0</v>
      </c>
      <c r="X562" s="113"/>
    </row>
    <row r="563" spans="1:24">
      <c r="A563" s="103"/>
      <c r="B563" s="103"/>
      <c r="C563" s="105"/>
      <c r="D563" s="103"/>
      <c r="E563" s="103"/>
      <c r="F563" s="103"/>
      <c r="G563" s="105"/>
      <c r="H563" s="105"/>
      <c r="I563" s="105"/>
      <c r="J563" s="105"/>
      <c r="K563" s="105"/>
      <c r="L563" s="105"/>
      <c r="M563" s="107" cm="1">
        <f t="array" ref="M563">IFERROR(_xlfn.SWITCH(L563,"R-FPA",495,"R-FPB",595,"R-FPC",595,"R-FPD",595,"Custom Carton","input L"),0)</f>
        <v>0</v>
      </c>
      <c r="N563" s="107" cm="1">
        <f t="array" ref="N563">IFERROR(_xlfn.SWITCH(L563,"R-FPA",285,"R-FPB",285,"R-FPC",325,"R-FPD",380,"Custom Carton","input W"),0)</f>
        <v>0</v>
      </c>
      <c r="O563" s="107" cm="1">
        <f t="array" ref="O563">IFERROR(_xlfn.SWITCH(L563,"R-FPA","input H","R-FPB","input H","R-FPC","input H","R-FPD","input H","Custom Carton","input H"),0)</f>
        <v>0</v>
      </c>
      <c r="P563" s="107">
        <f>IFERROR(IF(K563="",0,(M563+N563)*2+15),0)</f>
        <v>0</v>
      </c>
      <c r="Q563" s="107">
        <f>IFERROR(IF(K563="",0,(N563+O563)-10),0)</f>
        <v>0</v>
      </c>
      <c r="R563" s="108">
        <f xml:space="preserve"> P563 * Q563 * (1 + 2.5%) / 1000000</f>
        <v>0</v>
      </c>
      <c r="S563" s="109">
        <f>R563*'RFQ_Matalan Carton'!$M$32</f>
        <v>0</v>
      </c>
      <c r="T563" s="110">
        <f>S563</f>
        <v>0</v>
      </c>
      <c r="U563" s="110">
        <f>I563*T563</f>
        <v>0</v>
      </c>
      <c r="V563" s="111">
        <f>((T563*I563)-W563)*7.5%</f>
        <v>0</v>
      </c>
      <c r="W563" s="110">
        <f>S563*I563*10%</f>
        <v>0</v>
      </c>
      <c r="X563" s="113"/>
    </row>
    <row r="564" spans="1:24">
      <c r="A564" s="103"/>
      <c r="B564" s="103"/>
      <c r="C564" s="105"/>
      <c r="D564" s="103"/>
      <c r="E564" s="103"/>
      <c r="F564" s="103"/>
      <c r="G564" s="105"/>
      <c r="H564" s="105"/>
      <c r="I564" s="105"/>
      <c r="J564" s="105"/>
      <c r="K564" s="105"/>
      <c r="L564" s="105"/>
      <c r="M564" s="107" cm="1">
        <f t="array" ref="M564">IFERROR(_xlfn.SWITCH(L564,"R-FPA",495,"R-FPB",595,"R-FPC",595,"R-FPD",595,"Custom Carton","input L"),0)</f>
        <v>0</v>
      </c>
      <c r="N564" s="107" cm="1">
        <f t="array" ref="N564">IFERROR(_xlfn.SWITCH(L564,"R-FPA",285,"R-FPB",285,"R-FPC",325,"R-FPD",380,"Custom Carton","input W"),0)</f>
        <v>0</v>
      </c>
      <c r="O564" s="107" cm="1">
        <f t="array" ref="O564">IFERROR(_xlfn.SWITCH(L564,"R-FPA","input H","R-FPB","input H","R-FPC","input H","R-FPD","input H","Custom Carton","input H"),0)</f>
        <v>0</v>
      </c>
      <c r="P564" s="107">
        <f>IFERROR(IF(K564="",0,(M564+N564)*2+15),0)</f>
        <v>0</v>
      </c>
      <c r="Q564" s="107">
        <f>IFERROR(IF(K564="",0,(N564+O564)-10),0)</f>
        <v>0</v>
      </c>
      <c r="R564" s="108">
        <f xml:space="preserve"> P564 * Q564 * (1 + 2.5%) / 1000000</f>
        <v>0</v>
      </c>
      <c r="S564" s="109">
        <f>R564*'RFQ_Matalan Carton'!$M$32</f>
        <v>0</v>
      </c>
      <c r="T564" s="110">
        <f>S564</f>
        <v>0</v>
      </c>
      <c r="U564" s="110">
        <f>I564*T564</f>
        <v>0</v>
      </c>
      <c r="V564" s="111">
        <f>((T564*I564)-W564)*7.5%</f>
        <v>0</v>
      </c>
      <c r="W564" s="110">
        <f>S564*I564*10%</f>
        <v>0</v>
      </c>
      <c r="X564" s="113"/>
    </row>
    <row r="565" spans="1:24">
      <c r="A565" s="103"/>
      <c r="B565" s="103"/>
      <c r="C565" s="105"/>
      <c r="D565" s="103"/>
      <c r="E565" s="103"/>
      <c r="F565" s="103"/>
      <c r="G565" s="105"/>
      <c r="H565" s="105"/>
      <c r="I565" s="105"/>
      <c r="J565" s="105"/>
      <c r="K565" s="105"/>
      <c r="L565" s="105"/>
      <c r="M565" s="107" cm="1">
        <f t="array" ref="M565">IFERROR(_xlfn.SWITCH(L565,"R-FPA",495,"R-FPB",595,"R-FPC",595,"R-FPD",595,"Custom Carton","input L"),0)</f>
        <v>0</v>
      </c>
      <c r="N565" s="107" cm="1">
        <f t="array" ref="N565">IFERROR(_xlfn.SWITCH(L565,"R-FPA",285,"R-FPB",285,"R-FPC",325,"R-FPD",380,"Custom Carton","input W"),0)</f>
        <v>0</v>
      </c>
      <c r="O565" s="107" cm="1">
        <f t="array" ref="O565">IFERROR(_xlfn.SWITCH(L565,"R-FPA","input H","R-FPB","input H","R-FPC","input H","R-FPD","input H","Custom Carton","input H"),0)</f>
        <v>0</v>
      </c>
      <c r="P565" s="107">
        <f>IFERROR(IF(K565="",0,(M565+N565)*2+15),0)</f>
        <v>0</v>
      </c>
      <c r="Q565" s="107">
        <f>IFERROR(IF(K565="",0,(N565+O565)-10),0)</f>
        <v>0</v>
      </c>
      <c r="R565" s="108">
        <f xml:space="preserve"> P565 * Q565 * (1 + 2.5%) / 1000000</f>
        <v>0</v>
      </c>
      <c r="S565" s="109">
        <f>R565*'RFQ_Matalan Carton'!$M$32</f>
        <v>0</v>
      </c>
      <c r="T565" s="110">
        <f>S565</f>
        <v>0</v>
      </c>
      <c r="U565" s="110">
        <f>I565*T565</f>
        <v>0</v>
      </c>
      <c r="V565" s="111">
        <f>((T565*I565)-W565)*7.5%</f>
        <v>0</v>
      </c>
      <c r="W565" s="110">
        <f>S565*I565*10%</f>
        <v>0</v>
      </c>
      <c r="X565" s="113"/>
    </row>
    <row r="566" spans="1:24">
      <c r="A566" s="103"/>
      <c r="B566" s="103"/>
      <c r="C566" s="105"/>
      <c r="D566" s="103"/>
      <c r="E566" s="103"/>
      <c r="F566" s="103"/>
      <c r="G566" s="105"/>
      <c r="H566" s="105"/>
      <c r="I566" s="105"/>
      <c r="J566" s="105"/>
      <c r="K566" s="105"/>
      <c r="L566" s="105"/>
      <c r="M566" s="107" cm="1">
        <f t="array" ref="M566">IFERROR(_xlfn.SWITCH(L566,"R-FPA",495,"R-FPB",595,"R-FPC",595,"R-FPD",595,"Custom Carton","input L"),0)</f>
        <v>0</v>
      </c>
      <c r="N566" s="107" cm="1">
        <f t="array" ref="N566">IFERROR(_xlfn.SWITCH(L566,"R-FPA",285,"R-FPB",285,"R-FPC",325,"R-FPD",380,"Custom Carton","input W"),0)</f>
        <v>0</v>
      </c>
      <c r="O566" s="107" cm="1">
        <f t="array" ref="O566">IFERROR(_xlfn.SWITCH(L566,"R-FPA","input H","R-FPB","input H","R-FPC","input H","R-FPD","input H","Custom Carton","input H"),0)</f>
        <v>0</v>
      </c>
      <c r="P566" s="107">
        <f>IFERROR(IF(K566="",0,(M566+N566)*2+15),0)</f>
        <v>0</v>
      </c>
      <c r="Q566" s="107">
        <f>IFERROR(IF(K566="",0,(N566+O566)-10),0)</f>
        <v>0</v>
      </c>
      <c r="R566" s="108">
        <f xml:space="preserve"> P566 * Q566 * (1 + 2.5%) / 1000000</f>
        <v>0</v>
      </c>
      <c r="S566" s="109">
        <f>R566*'RFQ_Matalan Carton'!$M$32</f>
        <v>0</v>
      </c>
      <c r="T566" s="110">
        <f>S566</f>
        <v>0</v>
      </c>
      <c r="U566" s="110">
        <f>I566*T566</f>
        <v>0</v>
      </c>
      <c r="V566" s="111">
        <f>((T566*I566)-W566)*7.5%</f>
        <v>0</v>
      </c>
      <c r="W566" s="110">
        <f>S566*I566*10%</f>
        <v>0</v>
      </c>
      <c r="X566" s="113"/>
    </row>
    <row r="567" spans="1:24">
      <c r="A567" s="103"/>
      <c r="B567" s="103"/>
      <c r="C567" s="105"/>
      <c r="D567" s="103"/>
      <c r="E567" s="103"/>
      <c r="F567" s="103"/>
      <c r="G567" s="105"/>
      <c r="H567" s="105"/>
      <c r="I567" s="105"/>
      <c r="J567" s="105"/>
      <c r="K567" s="105"/>
      <c r="L567" s="105"/>
      <c r="M567" s="107" cm="1">
        <f t="array" ref="M567">IFERROR(_xlfn.SWITCH(L567,"R-FPA",495,"R-FPB",595,"R-FPC",595,"R-FPD",595,"Custom Carton","input L"),0)</f>
        <v>0</v>
      </c>
      <c r="N567" s="107" cm="1">
        <f t="array" ref="N567">IFERROR(_xlfn.SWITCH(L567,"R-FPA",285,"R-FPB",285,"R-FPC",325,"R-FPD",380,"Custom Carton","input W"),0)</f>
        <v>0</v>
      </c>
      <c r="O567" s="107" cm="1">
        <f t="array" ref="O567">IFERROR(_xlfn.SWITCH(L567,"R-FPA","input H","R-FPB","input H","R-FPC","input H","R-FPD","input H","Custom Carton","input H"),0)</f>
        <v>0</v>
      </c>
      <c r="P567" s="107">
        <f>IFERROR(IF(K567="",0,(M567+N567)*2+15),0)</f>
        <v>0</v>
      </c>
      <c r="Q567" s="107">
        <f>IFERROR(IF(K567="",0,(N567+O567)-10),0)</f>
        <v>0</v>
      </c>
      <c r="R567" s="108">
        <f xml:space="preserve"> P567 * Q567 * (1 + 2.5%) / 1000000</f>
        <v>0</v>
      </c>
      <c r="S567" s="109">
        <f>R567*'RFQ_Matalan Carton'!$M$32</f>
        <v>0</v>
      </c>
      <c r="T567" s="110">
        <f>S567</f>
        <v>0</v>
      </c>
      <c r="U567" s="110">
        <f>I567*T567</f>
        <v>0</v>
      </c>
      <c r="V567" s="111">
        <f>((T567*I567)-W567)*7.5%</f>
        <v>0</v>
      </c>
      <c r="W567" s="110">
        <f>S567*I567*10%</f>
        <v>0</v>
      </c>
      <c r="X567" s="113"/>
    </row>
    <row r="568" spans="1:24">
      <c r="A568" s="103"/>
      <c r="B568" s="103"/>
      <c r="C568" s="105"/>
      <c r="D568" s="103"/>
      <c r="E568" s="103"/>
      <c r="F568" s="103"/>
      <c r="G568" s="105"/>
      <c r="H568" s="105"/>
      <c r="I568" s="105"/>
      <c r="J568" s="105"/>
      <c r="K568" s="105"/>
      <c r="L568" s="105"/>
      <c r="M568" s="107" cm="1">
        <f t="array" ref="M568">IFERROR(_xlfn.SWITCH(L568,"R-FPA",495,"R-FPB",595,"R-FPC",595,"R-FPD",595,"Custom Carton","input L"),0)</f>
        <v>0</v>
      </c>
      <c r="N568" s="107" cm="1">
        <f t="array" ref="N568">IFERROR(_xlfn.SWITCH(L568,"R-FPA",285,"R-FPB",285,"R-FPC",325,"R-FPD",380,"Custom Carton","input W"),0)</f>
        <v>0</v>
      </c>
      <c r="O568" s="107" cm="1">
        <f t="array" ref="O568">IFERROR(_xlfn.SWITCH(L568,"R-FPA","input H","R-FPB","input H","R-FPC","input H","R-FPD","input H","Custom Carton","input H"),0)</f>
        <v>0</v>
      </c>
      <c r="P568" s="107">
        <f>IFERROR(IF(K568="",0,(M568+N568)*2+15),0)</f>
        <v>0</v>
      </c>
      <c r="Q568" s="107">
        <f>IFERROR(IF(K568="",0,(N568+O568)-10),0)</f>
        <v>0</v>
      </c>
      <c r="R568" s="108">
        <f xml:space="preserve"> P568 * Q568 * (1 + 2.5%) / 1000000</f>
        <v>0</v>
      </c>
      <c r="S568" s="109">
        <f>R568*'RFQ_Matalan Carton'!$M$32</f>
        <v>0</v>
      </c>
      <c r="T568" s="110">
        <f>S568</f>
        <v>0</v>
      </c>
      <c r="U568" s="110">
        <f>I568*T568</f>
        <v>0</v>
      </c>
      <c r="V568" s="111">
        <f>((T568*I568)-W568)*7.5%</f>
        <v>0</v>
      </c>
      <c r="W568" s="110">
        <f>S568*I568*10%</f>
        <v>0</v>
      </c>
      <c r="X568" s="113"/>
    </row>
    <row r="569" spans="1:24">
      <c r="A569" s="103"/>
      <c r="B569" s="103"/>
      <c r="C569" s="105"/>
      <c r="D569" s="103"/>
      <c r="E569" s="103"/>
      <c r="F569" s="103"/>
      <c r="G569" s="105"/>
      <c r="H569" s="105"/>
      <c r="I569" s="105"/>
      <c r="J569" s="105"/>
      <c r="K569" s="105"/>
      <c r="L569" s="105"/>
      <c r="M569" s="107" cm="1">
        <f t="array" ref="M569">IFERROR(_xlfn.SWITCH(L569,"R-FPA",495,"R-FPB",595,"R-FPC",595,"R-FPD",595,"Custom Carton","input L"),0)</f>
        <v>0</v>
      </c>
      <c r="N569" s="107" cm="1">
        <f t="array" ref="N569">IFERROR(_xlfn.SWITCH(L569,"R-FPA",285,"R-FPB",285,"R-FPC",325,"R-FPD",380,"Custom Carton","input W"),0)</f>
        <v>0</v>
      </c>
      <c r="O569" s="107" cm="1">
        <f t="array" ref="O569">IFERROR(_xlfn.SWITCH(L569,"R-FPA","input H","R-FPB","input H","R-FPC","input H","R-FPD","input H","Custom Carton","input H"),0)</f>
        <v>0</v>
      </c>
      <c r="P569" s="107">
        <f>IFERROR(IF(K569="",0,(M569+N569)*2+15),0)</f>
        <v>0</v>
      </c>
      <c r="Q569" s="107">
        <f>IFERROR(IF(K569="",0,(N569+O569)-10),0)</f>
        <v>0</v>
      </c>
      <c r="R569" s="108">
        <f xml:space="preserve"> P569 * Q569 * (1 + 2.5%) / 1000000</f>
        <v>0</v>
      </c>
      <c r="S569" s="109">
        <f>R569*'RFQ_Matalan Carton'!$M$32</f>
        <v>0</v>
      </c>
      <c r="T569" s="110">
        <f>S569</f>
        <v>0</v>
      </c>
      <c r="U569" s="110">
        <f>I569*T569</f>
        <v>0</v>
      </c>
      <c r="V569" s="111">
        <f>((T569*I569)-W569)*7.5%</f>
        <v>0</v>
      </c>
      <c r="W569" s="110">
        <f>S569*I569*10%</f>
        <v>0</v>
      </c>
      <c r="X569" s="113"/>
    </row>
    <row r="570" spans="1:24">
      <c r="A570" s="104"/>
      <c r="B570" s="104"/>
      <c r="D570" s="104"/>
      <c r="E570" s="104"/>
      <c r="F570" s="104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8">
        <f xml:space="preserve"> P570 * Q570 * (1 + 2.5%) / 1000000</f>
        <v>0</v>
      </c>
      <c r="S570" s="109">
        <f>R570*'RFQ_Matalan Carton'!$M$32</f>
        <v>0</v>
      </c>
      <c r="T570" s="110">
        <f>S570</f>
        <v>0</v>
      </c>
      <c r="U570" s="110">
        <f>I570*T570</f>
        <v>0</v>
      </c>
      <c r="V570" s="111">
        <f>((T570*I570)-W570)*7.5%</f>
        <v>0</v>
      </c>
      <c r="W570" s="110">
        <f>S570*I570*10%</f>
        <v>0</v>
      </c>
      <c r="X570" s="106"/>
    </row>
  </sheetData>
  <autoFilter ref="A2:Y570" xr:uid="{65BB781A-BC87-43E8-BA65-320B819DEF30}">
    <filterColumn colId="5">
      <filters blank="1">
        <filter val="Transworld Packaging (BD) Ltd."/>
      </filters>
    </filterColumn>
    <sortState xmlns:xlrd2="http://schemas.microsoft.com/office/spreadsheetml/2017/richdata2" ref="A3:Y570">
      <sortCondition ref="F2:F570"/>
    </sortState>
  </autoFilter>
  <phoneticPr fontId="22" type="noConversion"/>
  <conditionalFormatting sqref="A4:B4 J4 J5:K128 G12:I13 A12:E13 A16:E117 I15 I119:I123 I126:I127 A132:E133 A146:E146 A149:F165 J129 L3:O443 G16:I117">
    <cfRule type="cellIs" dxfId="80" priority="126" operator="equal">
      <formula>0</formula>
    </cfRule>
  </conditionalFormatting>
  <conditionalFormatting sqref="K4 C4:E4 F166:F269 F312:F419 A3:K3 I5 G4:I4 F4:F5 I7:I8 F49 F121:F148 F54:F77">
    <cfRule type="cellIs" dxfId="79" priority="128" operator="equal">
      <formula>0</formula>
    </cfRule>
  </conditionalFormatting>
  <conditionalFormatting sqref="J130:K131 G132:K133 G146:K146 G149:K165 J147:K148 K129 J134:K145">
    <cfRule type="cellIs" dxfId="78" priority="131" operator="equal">
      <formula>0</formula>
    </cfRule>
  </conditionalFormatting>
  <conditionalFormatting sqref="A444:O1048576">
    <cfRule type="cellIs" dxfId="77" priority="152" operator="equal">
      <formula>0</formula>
    </cfRule>
  </conditionalFormatting>
  <conditionalFormatting sqref="M3:M1048576">
    <cfRule type="cellIs" dxfId="76" priority="139" operator="equal">
      <formula>"input L"</formula>
    </cfRule>
  </conditionalFormatting>
  <conditionalFormatting sqref="N3:N1048576">
    <cfRule type="cellIs" dxfId="75" priority="140" operator="equal">
      <formula>"input W"</formula>
    </cfRule>
  </conditionalFormatting>
  <conditionalFormatting sqref="O3:O1048576">
    <cfRule type="cellIs" dxfId="74" priority="141" operator="equal">
      <formula>"input H"</formula>
    </cfRule>
  </conditionalFormatting>
  <conditionalFormatting sqref="G172:I194 A167:B172 A173:E194 J167 J168:K267 I195 K270:K293 J270:J311 G270:I293 A270:F311 A196:E269 G268:K269 G196:I267">
    <cfRule type="cellIs" dxfId="73" priority="120" operator="equal">
      <formula>0</formula>
    </cfRule>
  </conditionalFormatting>
  <conditionalFormatting sqref="A166:E166 C167:E172 K167 G167:I171 G166:K166">
    <cfRule type="cellIs" dxfId="72" priority="121" operator="equal">
      <formula>0</formula>
    </cfRule>
  </conditionalFormatting>
  <conditionalFormatting sqref="G294:I311 K294:K311">
    <cfRule type="cellIs" dxfId="71" priority="122" operator="equal">
      <formula>0</formula>
    </cfRule>
  </conditionalFormatting>
  <conditionalFormatting sqref="A195:E195">
    <cfRule type="cellIs" dxfId="70" priority="118" operator="equal">
      <formula>0</formula>
    </cfRule>
  </conditionalFormatting>
  <conditionalFormatting sqref="G195:H195">
    <cfRule type="cellIs" dxfId="69" priority="119" operator="equal">
      <formula>0</formula>
    </cfRule>
  </conditionalFormatting>
  <conditionalFormatting sqref="B195">
    <cfRule type="expression" priority="117">
      <formula>AND(ROW()=CELL("row"),CELL("col")=8)</formula>
    </cfRule>
  </conditionalFormatting>
  <conditionalFormatting sqref="G318:I340 A313:B318 A319:E340 J313 J314:K413 I341 G423:I440 J423:J443 K423:K440 G414:K422 A342:E443 G342:I413">
    <cfRule type="cellIs" dxfId="68" priority="113" operator="equal">
      <formula>0</formula>
    </cfRule>
  </conditionalFormatting>
  <conditionalFormatting sqref="C313:E318 K313 G314:I317 J312:K312 H313:I313">
    <cfRule type="cellIs" dxfId="67" priority="114" operator="equal">
      <formula>0</formula>
    </cfRule>
  </conditionalFormatting>
  <conditionalFormatting sqref="G441:I443 K441:K443">
    <cfRule type="cellIs" dxfId="66" priority="115" operator="equal">
      <formula>0</formula>
    </cfRule>
  </conditionalFormatting>
  <conditionalFormatting sqref="A341:E341">
    <cfRule type="cellIs" dxfId="65" priority="111" operator="equal">
      <formula>0</formula>
    </cfRule>
  </conditionalFormatting>
  <conditionalFormatting sqref="G341:H341">
    <cfRule type="cellIs" dxfId="64" priority="112" operator="equal">
      <formula>0</formula>
    </cfRule>
  </conditionalFormatting>
  <conditionalFormatting sqref="B341">
    <cfRule type="expression" priority="110">
      <formula>AND(ROW()=CELL("row"),CELL("col")=8)</formula>
    </cfRule>
  </conditionalFormatting>
  <conditionalFormatting sqref="A312:E312 G312:I312">
    <cfRule type="cellIs" dxfId="63" priority="105" operator="equal">
      <formula>0</formula>
    </cfRule>
  </conditionalFormatting>
  <conditionalFormatting sqref="B312">
    <cfRule type="expression" priority="104">
      <formula>AND(ROW()=CELL("row"),CELL("col")=8)</formula>
    </cfRule>
  </conditionalFormatting>
  <conditionalFormatting sqref="F420:F442">
    <cfRule type="cellIs" dxfId="62" priority="103" operator="equal">
      <formula>0</formula>
    </cfRule>
  </conditionalFormatting>
  <conditionalFormatting sqref="G313">
    <cfRule type="cellIs" dxfId="61" priority="102" operator="equal">
      <formula>0</formula>
    </cfRule>
  </conditionalFormatting>
  <conditionalFormatting sqref="A5:E5 A7:E8">
    <cfRule type="cellIs" dxfId="60" priority="99" operator="equal">
      <formula>0</formula>
    </cfRule>
  </conditionalFormatting>
  <conditionalFormatting sqref="G5:H5 G7:H8">
    <cfRule type="cellIs" dxfId="59" priority="100" operator="equal">
      <formula>0</formula>
    </cfRule>
  </conditionalFormatting>
  <conditionalFormatting sqref="B5 B7:B8">
    <cfRule type="expression" priority="98">
      <formula>AND(ROW()=CELL("row"),CELL("col")=8)</formula>
    </cfRule>
  </conditionalFormatting>
  <conditionalFormatting sqref="A9:E10">
    <cfRule type="cellIs" dxfId="58" priority="95" operator="equal">
      <formula>0</formula>
    </cfRule>
  </conditionalFormatting>
  <conditionalFormatting sqref="F443">
    <cfRule type="cellIs" dxfId="57" priority="97" operator="equal">
      <formula>0</formula>
    </cfRule>
  </conditionalFormatting>
  <conditionalFormatting sqref="G9:I10">
    <cfRule type="cellIs" dxfId="56" priority="96" operator="equal">
      <formula>0</formula>
    </cfRule>
  </conditionalFormatting>
  <conditionalFormatting sqref="B9:B10">
    <cfRule type="expression" priority="94">
      <formula>AND(ROW()=CELL("row"),CELL("col")=8)</formula>
    </cfRule>
  </conditionalFormatting>
  <conditionalFormatting sqref="A11:E11">
    <cfRule type="cellIs" dxfId="55" priority="91" operator="equal">
      <formula>0</formula>
    </cfRule>
  </conditionalFormatting>
  <conditionalFormatting sqref="G11:I11">
    <cfRule type="cellIs" dxfId="54" priority="92" operator="equal">
      <formula>0</formula>
    </cfRule>
  </conditionalFormatting>
  <conditionalFormatting sqref="B11">
    <cfRule type="expression" priority="90">
      <formula>AND(ROW()=CELL("row"),CELL("col")=8)</formula>
    </cfRule>
  </conditionalFormatting>
  <conditionalFormatting sqref="I14">
    <cfRule type="cellIs" dxfId="53" priority="89" operator="equal">
      <formula>0</formula>
    </cfRule>
  </conditionalFormatting>
  <conditionalFormatting sqref="G14:H15 A14:E15">
    <cfRule type="cellIs" dxfId="52" priority="87" operator="equal">
      <formula>0</formula>
    </cfRule>
  </conditionalFormatting>
  <conditionalFormatting sqref="A118:E119">
    <cfRule type="cellIs" dxfId="51" priority="85" operator="equal">
      <formula>0</formula>
    </cfRule>
  </conditionalFormatting>
  <conditionalFormatting sqref="G118:I118 G119:H119">
    <cfRule type="cellIs" dxfId="50" priority="86" operator="equal">
      <formula>0</formula>
    </cfRule>
  </conditionalFormatting>
  <conditionalFormatting sqref="B118:B119">
    <cfRule type="expression" priority="84">
      <formula>ROW()=CELL("row")</formula>
    </cfRule>
  </conditionalFormatting>
  <conditionalFormatting sqref="B118:B119">
    <cfRule type="expression" priority="83">
      <formula>AND(ROW()=CELL("row"),CELL("col")=8)</formula>
    </cfRule>
  </conditionalFormatting>
  <conditionalFormatting sqref="A120:E120">
    <cfRule type="cellIs" dxfId="49" priority="80" operator="equal">
      <formula>0</formula>
    </cfRule>
  </conditionalFormatting>
  <conditionalFormatting sqref="G120:H120">
    <cfRule type="cellIs" dxfId="48" priority="81" operator="equal">
      <formula>0</formula>
    </cfRule>
  </conditionalFormatting>
  <conditionalFormatting sqref="B120">
    <cfRule type="expression" priority="79">
      <formula>ROW()=CELL("row")</formula>
    </cfRule>
  </conditionalFormatting>
  <conditionalFormatting sqref="B120">
    <cfRule type="expression" priority="78">
      <formula>AND(ROW()=CELL("row"),CELL("col")=8)</formula>
    </cfRule>
  </conditionalFormatting>
  <conditionalFormatting sqref="A121:E122">
    <cfRule type="cellIs" dxfId="47" priority="76" operator="equal">
      <formula>0</formula>
    </cfRule>
  </conditionalFormatting>
  <conditionalFormatting sqref="G121:H122">
    <cfRule type="cellIs" dxfId="46" priority="77" operator="equal">
      <formula>0</formula>
    </cfRule>
  </conditionalFormatting>
  <conditionalFormatting sqref="B121:B122">
    <cfRule type="expression" priority="75">
      <formula>ROW()=CELL("row")</formula>
    </cfRule>
  </conditionalFormatting>
  <conditionalFormatting sqref="B121:B122">
    <cfRule type="expression" priority="74">
      <formula>AND(ROW()=CELL("row"),CELL("col")=8)</formula>
    </cfRule>
  </conditionalFormatting>
  <conditionalFormatting sqref="A123:E123">
    <cfRule type="cellIs" dxfId="45" priority="72" operator="equal">
      <formula>0</formula>
    </cfRule>
  </conditionalFormatting>
  <conditionalFormatting sqref="G123:H123">
    <cfRule type="cellIs" dxfId="44" priority="73" operator="equal">
      <formula>0</formula>
    </cfRule>
  </conditionalFormatting>
  <conditionalFormatting sqref="B123">
    <cfRule type="expression" priority="71">
      <formula>ROW()=CELL("row")</formula>
    </cfRule>
  </conditionalFormatting>
  <conditionalFormatting sqref="B123">
    <cfRule type="expression" priority="70">
      <formula>AND(ROW()=CELL("row"),CELL("col")=8)</formula>
    </cfRule>
  </conditionalFormatting>
  <conditionalFormatting sqref="A124:E124">
    <cfRule type="cellIs" dxfId="43" priority="68" operator="equal">
      <formula>0</formula>
    </cfRule>
  </conditionalFormatting>
  <conditionalFormatting sqref="G124:I124">
    <cfRule type="cellIs" dxfId="42" priority="69" operator="equal">
      <formula>0</formula>
    </cfRule>
  </conditionalFormatting>
  <conditionalFormatting sqref="B124">
    <cfRule type="expression" priority="67">
      <formula>ROW()=CELL("row")</formula>
    </cfRule>
  </conditionalFormatting>
  <conditionalFormatting sqref="B124">
    <cfRule type="expression" priority="66">
      <formula>AND(ROW()=CELL("row"),CELL("col")=8)</formula>
    </cfRule>
  </conditionalFormatting>
  <conditionalFormatting sqref="A125:E125">
    <cfRule type="cellIs" dxfId="41" priority="64" operator="equal">
      <formula>0</formula>
    </cfRule>
  </conditionalFormatting>
  <conditionalFormatting sqref="G125:I125">
    <cfRule type="cellIs" dxfId="40" priority="65" operator="equal">
      <formula>0</formula>
    </cfRule>
  </conditionalFormatting>
  <conditionalFormatting sqref="B125">
    <cfRule type="expression" priority="63">
      <formula>ROW()=CELL("row")</formula>
    </cfRule>
  </conditionalFormatting>
  <conditionalFormatting sqref="B125">
    <cfRule type="expression" priority="62">
      <formula>AND(ROW()=CELL("row"),CELL("col")=8)</formula>
    </cfRule>
  </conditionalFormatting>
  <conditionalFormatting sqref="A126:E127">
    <cfRule type="cellIs" dxfId="39" priority="60" operator="equal">
      <formula>0</formula>
    </cfRule>
  </conditionalFormatting>
  <conditionalFormatting sqref="G126:H127">
    <cfRule type="cellIs" dxfId="38" priority="61" operator="equal">
      <formula>0</formula>
    </cfRule>
  </conditionalFormatting>
  <conditionalFormatting sqref="B126:B127">
    <cfRule type="expression" priority="59">
      <formula>ROW()=CELL("row")</formula>
    </cfRule>
  </conditionalFormatting>
  <conditionalFormatting sqref="B126:B127">
    <cfRule type="expression" priority="58">
      <formula>AND(ROW()=CELL("row"),CELL("col")=8)</formula>
    </cfRule>
  </conditionalFormatting>
  <conditionalFormatting sqref="A128:E128">
    <cfRule type="cellIs" dxfId="37" priority="56" operator="equal">
      <formula>0</formula>
    </cfRule>
  </conditionalFormatting>
  <conditionalFormatting sqref="G128:I128">
    <cfRule type="cellIs" dxfId="36" priority="57" operator="equal">
      <formula>0</formula>
    </cfRule>
  </conditionalFormatting>
  <conditionalFormatting sqref="B128">
    <cfRule type="expression" priority="55">
      <formula>ROW()=CELL("row")</formula>
    </cfRule>
  </conditionalFormatting>
  <conditionalFormatting sqref="B128">
    <cfRule type="expression" priority="54">
      <formula>AND(ROW()=CELL("row"),CELL("col")=8)</formula>
    </cfRule>
  </conditionalFormatting>
  <conditionalFormatting sqref="A129:E129">
    <cfRule type="cellIs" dxfId="35" priority="52" operator="equal">
      <formula>0</formula>
    </cfRule>
  </conditionalFormatting>
  <conditionalFormatting sqref="G129:I129">
    <cfRule type="cellIs" dxfId="34" priority="53" operator="equal">
      <formula>0</formula>
    </cfRule>
  </conditionalFormatting>
  <conditionalFormatting sqref="B129">
    <cfRule type="expression" priority="51">
      <formula>ROW()=CELL("row")</formula>
    </cfRule>
  </conditionalFormatting>
  <conditionalFormatting sqref="B129">
    <cfRule type="expression" priority="50">
      <formula>AND(ROW()=CELL("row"),CELL("col")=8)</formula>
    </cfRule>
  </conditionalFormatting>
  <conditionalFormatting sqref="A130:E130">
    <cfRule type="cellIs" dxfId="33" priority="48" operator="equal">
      <formula>0</formula>
    </cfRule>
  </conditionalFormatting>
  <conditionalFormatting sqref="G130:I130">
    <cfRule type="cellIs" dxfId="32" priority="49" operator="equal">
      <formula>0</formula>
    </cfRule>
  </conditionalFormatting>
  <conditionalFormatting sqref="B130">
    <cfRule type="expression" priority="47">
      <formula>ROW()=CELL("row")</formula>
    </cfRule>
  </conditionalFormatting>
  <conditionalFormatting sqref="B130">
    <cfRule type="expression" priority="46">
      <formula>AND(ROW()=CELL("row"),CELL("col")=8)</formula>
    </cfRule>
  </conditionalFormatting>
  <conditionalFormatting sqref="A131:E131">
    <cfRule type="cellIs" dxfId="31" priority="44" operator="equal">
      <formula>0</formula>
    </cfRule>
  </conditionalFormatting>
  <conditionalFormatting sqref="G131:I131">
    <cfRule type="cellIs" dxfId="30" priority="45" operator="equal">
      <formula>0</formula>
    </cfRule>
  </conditionalFormatting>
  <conditionalFormatting sqref="B131">
    <cfRule type="expression" priority="43">
      <formula>ROW()=CELL("row")</formula>
    </cfRule>
  </conditionalFormatting>
  <conditionalFormatting sqref="B131">
    <cfRule type="expression" priority="42">
      <formula>AND(ROW()=CELL("row"),CELL("col")=8)</formula>
    </cfRule>
  </conditionalFormatting>
  <conditionalFormatting sqref="I134:I135">
    <cfRule type="cellIs" dxfId="29" priority="41" operator="equal">
      <formula>0</formula>
    </cfRule>
  </conditionalFormatting>
  <conditionalFormatting sqref="A134:E135">
    <cfRule type="cellIs" dxfId="28" priority="39" operator="equal">
      <formula>0</formula>
    </cfRule>
  </conditionalFormatting>
  <conditionalFormatting sqref="G134:H135">
    <cfRule type="cellIs" dxfId="27" priority="40" operator="equal">
      <formula>0</formula>
    </cfRule>
  </conditionalFormatting>
  <conditionalFormatting sqref="I136">
    <cfRule type="cellIs" dxfId="26" priority="38" operator="equal">
      <formula>0</formula>
    </cfRule>
  </conditionalFormatting>
  <conditionalFormatting sqref="A136:E136">
    <cfRule type="cellIs" dxfId="25" priority="36" operator="equal">
      <formula>0</formula>
    </cfRule>
  </conditionalFormatting>
  <conditionalFormatting sqref="G136:H136">
    <cfRule type="cellIs" dxfId="24" priority="37" operator="equal">
      <formula>0</formula>
    </cfRule>
  </conditionalFormatting>
  <conditionalFormatting sqref="I137">
    <cfRule type="cellIs" dxfId="23" priority="35" operator="equal">
      <formula>0</formula>
    </cfRule>
  </conditionalFormatting>
  <conditionalFormatting sqref="A137:E137">
    <cfRule type="cellIs" dxfId="22" priority="33" operator="equal">
      <formula>0</formula>
    </cfRule>
  </conditionalFormatting>
  <conditionalFormatting sqref="G137:H137">
    <cfRule type="cellIs" dxfId="21" priority="34" operator="equal">
      <formula>0</formula>
    </cfRule>
  </conditionalFormatting>
  <conditionalFormatting sqref="I138:I139">
    <cfRule type="cellIs" dxfId="20" priority="29" operator="equal">
      <formula>0</formula>
    </cfRule>
  </conditionalFormatting>
  <conditionalFormatting sqref="A138:E139">
    <cfRule type="cellIs" dxfId="19" priority="27" operator="equal">
      <formula>0</formula>
    </cfRule>
  </conditionalFormatting>
  <conditionalFormatting sqref="G138:H139">
    <cfRule type="cellIs" dxfId="18" priority="28" operator="equal">
      <formula>0</formula>
    </cfRule>
  </conditionalFormatting>
  <conditionalFormatting sqref="A140:E140">
    <cfRule type="cellIs" dxfId="17" priority="25" operator="equal">
      <formula>0</formula>
    </cfRule>
  </conditionalFormatting>
  <conditionalFormatting sqref="G140:I140">
    <cfRule type="cellIs" dxfId="16" priority="26" operator="equal">
      <formula>0</formula>
    </cfRule>
  </conditionalFormatting>
  <conditionalFormatting sqref="B140">
    <cfRule type="expression" priority="24">
      <formula>ROW()=CELL("row")</formula>
    </cfRule>
  </conditionalFormatting>
  <conditionalFormatting sqref="B140">
    <cfRule type="expression" priority="23">
      <formula>AND(ROW()=CELL("row"),CELL("col")=8)</formula>
    </cfRule>
  </conditionalFormatting>
  <conditionalFormatting sqref="A141:E141">
    <cfRule type="cellIs" dxfId="15" priority="21" operator="equal">
      <formula>0</formula>
    </cfRule>
  </conditionalFormatting>
  <conditionalFormatting sqref="G141:I141">
    <cfRule type="cellIs" dxfId="14" priority="22" operator="equal">
      <formula>0</formula>
    </cfRule>
  </conditionalFormatting>
  <conditionalFormatting sqref="B141">
    <cfRule type="expression" priority="20">
      <formula>ROW()=CELL("row")</formula>
    </cfRule>
  </conditionalFormatting>
  <conditionalFormatting sqref="B141">
    <cfRule type="expression" priority="19">
      <formula>AND(ROW()=CELL("row"),CELL("col")=8)</formula>
    </cfRule>
  </conditionalFormatting>
  <conditionalFormatting sqref="A142:E144">
    <cfRule type="cellIs" dxfId="13" priority="17" operator="equal">
      <formula>0</formula>
    </cfRule>
  </conditionalFormatting>
  <conditionalFormatting sqref="G142:I144">
    <cfRule type="cellIs" dxfId="12" priority="18" operator="equal">
      <formula>0</formula>
    </cfRule>
  </conditionalFormatting>
  <conditionalFormatting sqref="B142:B144">
    <cfRule type="expression" priority="16">
      <formula>ROW()=CELL("row")</formula>
    </cfRule>
  </conditionalFormatting>
  <conditionalFormatting sqref="B142:B144">
    <cfRule type="expression" priority="15">
      <formula>AND(ROW()=CELL("row"),CELL("col")=8)</formula>
    </cfRule>
  </conditionalFormatting>
  <conditionalFormatting sqref="A145:E145">
    <cfRule type="cellIs" dxfId="11" priority="13" operator="equal">
      <formula>0</formula>
    </cfRule>
  </conditionalFormatting>
  <conditionalFormatting sqref="G145:I145">
    <cfRule type="cellIs" dxfId="10" priority="14" operator="equal">
      <formula>0</formula>
    </cfRule>
  </conditionalFormatting>
  <conditionalFormatting sqref="B145">
    <cfRule type="expression" priority="12">
      <formula>ROW()=CELL("row")</formula>
    </cfRule>
  </conditionalFormatting>
  <conditionalFormatting sqref="B145">
    <cfRule type="expression" priority="11">
      <formula>AND(ROW()=CELL("row"),CELL("col")=8)</formula>
    </cfRule>
  </conditionalFormatting>
  <conditionalFormatting sqref="I147">
    <cfRule type="cellIs" dxfId="9" priority="10" operator="equal">
      <formula>0</formula>
    </cfRule>
  </conditionalFormatting>
  <conditionalFormatting sqref="A147:E147">
    <cfRule type="cellIs" dxfId="8" priority="8" operator="equal">
      <formula>0</formula>
    </cfRule>
  </conditionalFormatting>
  <conditionalFormatting sqref="G147:H147">
    <cfRule type="cellIs" dxfId="7" priority="9" operator="equal">
      <formula>0</formula>
    </cfRule>
  </conditionalFormatting>
  <conditionalFormatting sqref="I148">
    <cfRule type="cellIs" dxfId="6" priority="7" operator="equal">
      <formula>0</formula>
    </cfRule>
  </conditionalFormatting>
  <conditionalFormatting sqref="A148:E148">
    <cfRule type="cellIs" dxfId="5" priority="5" operator="equal">
      <formula>0</formula>
    </cfRule>
  </conditionalFormatting>
  <conditionalFormatting sqref="G148:H148">
    <cfRule type="cellIs" dxfId="4" priority="6" operator="equal">
      <formula>0</formula>
    </cfRule>
  </conditionalFormatting>
  <conditionalFormatting sqref="A6:E6">
    <cfRule type="cellIs" dxfId="3" priority="3" operator="equal">
      <formula>0</formula>
    </cfRule>
  </conditionalFormatting>
  <conditionalFormatting sqref="G6:I6">
    <cfRule type="cellIs" dxfId="2" priority="4" operator="equal">
      <formula>0</formula>
    </cfRule>
  </conditionalFormatting>
  <conditionalFormatting sqref="B6">
    <cfRule type="expression" priority="2">
      <formula>AND(ROW()=CELL("row"),CELL("col")=8)</formula>
    </cfRule>
  </conditionalFormatting>
  <conditionalFormatting sqref="F6:F48 F50:F53 F78:F120">
    <cfRule type="cellIs" dxfId="1" priority="1" operator="equal">
      <formula>0</formula>
    </cfRule>
  </conditionalFormatting>
  <dataValidations count="3">
    <dataValidation type="list" allowBlank="1" showInputMessage="1" showErrorMessage="1" sqref="K3:K569" xr:uid="{CEDD682D-060F-4654-A822-FC0A6F733835}">
      <formula1>"C-Flute"</formula1>
    </dataValidation>
    <dataValidation type="list" allowBlank="1" showInputMessage="1" showErrorMessage="1" sqref="J3:J569" xr:uid="{78E5B01A-EDA1-4BEE-9C56-5460298A25A0}">
      <formula1>"Ratio Carton,Custom Carton"</formula1>
    </dataValidation>
    <dataValidation type="list" allowBlank="1" showInputMessage="1" showErrorMessage="1" sqref="L3:L569" xr:uid="{E8950221-DD7A-4F53-92DB-9DEDF6545EDD}">
      <formula1>"Custom Carton, R-FPA,R-FPB,R-FPC,R-FPD"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R36"/>
  <sheetViews>
    <sheetView zoomScale="130" zoomScaleNormal="130" workbookViewId="0">
      <selection activeCell="M32" sqref="M32"/>
    </sheetView>
  </sheetViews>
  <sheetFormatPr defaultColWidth="8.875" defaultRowHeight="14.25" outlineLevelCol="1"/>
  <cols>
    <col min="1" max="1" width="11.375" style="1" customWidth="1"/>
    <col min="2" max="4" width="11.875" style="1" customWidth="1"/>
    <col min="5" max="5" width="26.625" style="1" customWidth="1"/>
    <col min="6" max="8" width="12.375" style="1" customWidth="1"/>
    <col min="9" max="11" width="14.75" style="3" hidden="1" customWidth="1"/>
    <col min="12" max="12" width="13.375" style="3" customWidth="1"/>
    <col min="13" max="13" width="21.125" style="1" customWidth="1"/>
    <col min="14" max="14" width="17.125" style="1" customWidth="1"/>
    <col min="15" max="15" width="18.125" style="1" customWidth="1"/>
    <col min="16" max="16" width="9.125" style="1" customWidth="1" outlineLevel="1"/>
    <col min="17" max="17" width="12.375" style="1" customWidth="1" outlineLevel="1"/>
    <col min="18" max="18" width="15.875" style="1" customWidth="1" outlineLevel="1"/>
    <col min="19" max="20" width="18.25" style="1" customWidth="1"/>
    <col min="21" max="16384" width="8.875" style="1"/>
  </cols>
  <sheetData>
    <row r="1" spans="1:17">
      <c r="A1" s="138" t="s">
        <v>0</v>
      </c>
      <c r="B1" s="138"/>
      <c r="C1" s="138"/>
      <c r="D1" s="138"/>
      <c r="E1" s="138"/>
      <c r="J1" s="82" t="s">
        <v>1</v>
      </c>
      <c r="K1" s="83">
        <v>45968</v>
      </c>
      <c r="M1" s="3"/>
      <c r="N1" s="3"/>
      <c r="O1" s="3"/>
      <c r="P1" s="3"/>
      <c r="Q1" s="3"/>
    </row>
    <row r="2" spans="1:17">
      <c r="A2" s="138"/>
      <c r="B2" s="138"/>
      <c r="C2" s="138"/>
      <c r="D2" s="138"/>
      <c r="E2" s="138"/>
      <c r="I2" s="1"/>
      <c r="J2" s="1"/>
      <c r="M2" s="3"/>
      <c r="N2" s="3"/>
      <c r="O2" s="3"/>
      <c r="P2" s="3"/>
      <c r="Q2" s="3"/>
    </row>
    <row r="3" spans="1:17" ht="4.3499999999999996" customHeight="1">
      <c r="I3" s="1"/>
      <c r="J3" s="1"/>
      <c r="K3" s="1"/>
      <c r="L3" s="1"/>
    </row>
    <row r="4" spans="1:17" ht="16.5">
      <c r="A4" s="64" t="s">
        <v>2</v>
      </c>
      <c r="B4" s="134" t="s">
        <v>118</v>
      </c>
      <c r="C4" s="134"/>
      <c r="D4" s="134"/>
      <c r="E4" s="135"/>
      <c r="G4" s="59" t="s">
        <v>3</v>
      </c>
      <c r="H4" s="60"/>
      <c r="I4" s="60"/>
      <c r="J4" s="60"/>
      <c r="K4" s="60"/>
      <c r="L4" s="60"/>
      <c r="M4" s="60"/>
      <c r="N4" s="60"/>
      <c r="O4" s="61"/>
    </row>
    <row r="5" spans="1:17" ht="15">
      <c r="A5" s="65" t="s">
        <v>4</v>
      </c>
      <c r="B5" s="136" t="s">
        <v>5</v>
      </c>
      <c r="C5" s="136"/>
      <c r="D5" s="136"/>
      <c r="E5" s="137"/>
      <c r="G5" s="78" t="s">
        <v>6</v>
      </c>
      <c r="H5" s="40"/>
      <c r="I5" s="40"/>
      <c r="J5" s="40"/>
      <c r="K5" s="40"/>
      <c r="L5" s="40"/>
      <c r="M5" s="40"/>
      <c r="N5" s="40"/>
      <c r="O5" s="41"/>
    </row>
    <row r="6" spans="1:17" ht="15">
      <c r="A6" s="65" t="s">
        <v>7</v>
      </c>
      <c r="B6" s="136" t="s">
        <v>8</v>
      </c>
      <c r="C6" s="136"/>
      <c r="D6" s="136"/>
      <c r="E6" s="137"/>
      <c r="G6" s="57" t="s">
        <v>9</v>
      </c>
      <c r="H6" s="17"/>
      <c r="I6" s="17"/>
      <c r="J6" s="17"/>
      <c r="K6" s="17"/>
      <c r="L6" s="17"/>
      <c r="M6" s="17"/>
      <c r="N6" s="17"/>
      <c r="O6" s="18"/>
    </row>
    <row r="7" spans="1:17" ht="15">
      <c r="A7" s="65" t="s">
        <v>10</v>
      </c>
      <c r="B7" s="136" t="s">
        <v>11</v>
      </c>
      <c r="C7" s="136"/>
      <c r="D7" s="136"/>
      <c r="E7" s="137"/>
      <c r="G7" s="57" t="s">
        <v>119</v>
      </c>
      <c r="H7" s="17"/>
      <c r="I7" s="17"/>
      <c r="J7" s="17"/>
      <c r="K7" s="17"/>
      <c r="L7" s="17"/>
      <c r="M7" s="17"/>
      <c r="N7" s="17"/>
      <c r="O7" s="18"/>
    </row>
    <row r="8" spans="1:17" ht="14.45" customHeight="1">
      <c r="A8" s="65" t="s">
        <v>13</v>
      </c>
      <c r="B8" s="136" t="s">
        <v>14</v>
      </c>
      <c r="C8" s="136"/>
      <c r="D8" s="136"/>
      <c r="E8" s="137"/>
      <c r="G8" s="152" t="s">
        <v>120</v>
      </c>
      <c r="H8" s="153"/>
      <c r="I8" s="153"/>
      <c r="J8" s="153"/>
      <c r="K8" s="153"/>
      <c r="L8" s="153"/>
      <c r="M8" s="153"/>
      <c r="N8" s="153"/>
      <c r="O8" s="154"/>
    </row>
    <row r="9" spans="1:17" ht="15">
      <c r="A9" s="65" t="s">
        <v>16</v>
      </c>
      <c r="B9" s="136">
        <v>100</v>
      </c>
      <c r="C9" s="136"/>
      <c r="D9" s="136"/>
      <c r="E9" s="137"/>
      <c r="G9" s="152"/>
      <c r="H9" s="153"/>
      <c r="I9" s="153"/>
      <c r="J9" s="153"/>
      <c r="K9" s="153"/>
      <c r="L9" s="153"/>
      <c r="M9" s="153"/>
      <c r="N9" s="153"/>
      <c r="O9" s="154"/>
    </row>
    <row r="10" spans="1:17" ht="15">
      <c r="A10" s="65" t="s">
        <v>17</v>
      </c>
      <c r="B10" s="136" t="s">
        <v>18</v>
      </c>
      <c r="C10" s="136"/>
      <c r="D10" s="136"/>
      <c r="E10" s="137"/>
      <c r="G10" s="58" t="s">
        <v>19</v>
      </c>
      <c r="H10" s="19"/>
      <c r="I10" s="19"/>
      <c r="J10" s="19"/>
      <c r="K10" s="19"/>
      <c r="L10" s="19"/>
      <c r="M10" s="19"/>
      <c r="N10" s="19"/>
      <c r="O10" s="20"/>
    </row>
    <row r="11" spans="1:17" ht="15">
      <c r="A11" s="66" t="s">
        <v>20</v>
      </c>
      <c r="B11" s="150">
        <v>46023</v>
      </c>
      <c r="C11" s="150"/>
      <c r="D11" s="150"/>
      <c r="E11" s="151"/>
      <c r="I11" s="1"/>
      <c r="J11" s="1"/>
      <c r="K11" s="1"/>
      <c r="L11" s="1"/>
    </row>
    <row r="12" spans="1:17" ht="5.45" customHeight="1"/>
    <row r="13" spans="1:17" ht="15">
      <c r="A13" s="2" t="s">
        <v>21</v>
      </c>
      <c r="M13" s="3"/>
      <c r="N13" s="3"/>
      <c r="O13" s="3"/>
      <c r="P13" s="3"/>
      <c r="Q13" s="3"/>
    </row>
    <row r="14" spans="1:17" ht="15">
      <c r="A14" s="139" t="s">
        <v>22</v>
      </c>
      <c r="B14" s="140" t="s">
        <v>23</v>
      </c>
      <c r="C14" s="140"/>
      <c r="D14" s="140"/>
      <c r="E14" s="139" t="s">
        <v>24</v>
      </c>
      <c r="F14" s="139" t="s">
        <v>25</v>
      </c>
      <c r="G14" s="139" t="s">
        <v>26</v>
      </c>
      <c r="H14" s="148" t="s">
        <v>27</v>
      </c>
      <c r="I14" s="139" t="s">
        <v>28</v>
      </c>
      <c r="J14" s="139"/>
      <c r="K14" s="148" t="s">
        <v>29</v>
      </c>
      <c r="L14" s="148" t="s">
        <v>30</v>
      </c>
      <c r="M14" s="155" t="s">
        <v>31</v>
      </c>
      <c r="N14" s="155"/>
      <c r="O14" s="155"/>
      <c r="P14" s="155"/>
      <c r="Q14" s="155"/>
    </row>
    <row r="15" spans="1:17" ht="42.75">
      <c r="A15" s="139"/>
      <c r="B15" s="7" t="s">
        <v>32</v>
      </c>
      <c r="C15" s="7" t="s">
        <v>33</v>
      </c>
      <c r="D15" s="7" t="s">
        <v>34</v>
      </c>
      <c r="E15" s="139"/>
      <c r="F15" s="139"/>
      <c r="G15" s="139"/>
      <c r="H15" s="149"/>
      <c r="I15" s="7" t="s">
        <v>32</v>
      </c>
      <c r="J15" s="7" t="s">
        <v>33</v>
      </c>
      <c r="K15" s="149"/>
      <c r="L15" s="149"/>
      <c r="M15" s="75" t="s">
        <v>113</v>
      </c>
      <c r="N15" s="75" t="s">
        <v>114</v>
      </c>
      <c r="O15" s="75" t="s">
        <v>35</v>
      </c>
      <c r="P15" s="75" t="s">
        <v>115</v>
      </c>
    </row>
    <row r="16" spans="1:17">
      <c r="A16" s="4" t="s">
        <v>37</v>
      </c>
      <c r="B16" s="4">
        <v>495</v>
      </c>
      <c r="C16" s="4">
        <v>285</v>
      </c>
      <c r="D16" s="4">
        <v>375</v>
      </c>
      <c r="E16" s="141" t="s">
        <v>38</v>
      </c>
      <c r="F16" s="143" t="s">
        <v>39</v>
      </c>
      <c r="G16" s="144" t="s">
        <v>110</v>
      </c>
      <c r="H16" s="145">
        <v>40</v>
      </c>
      <c r="I16" s="4">
        <v>1571</v>
      </c>
      <c r="J16" s="4">
        <v>644</v>
      </c>
      <c r="K16" s="56">
        <f t="shared" ref="K16:K27" si="0">I16*J16/1000000</f>
        <v>1.0117240000000001</v>
      </c>
      <c r="L16" s="10">
        <v>100</v>
      </c>
      <c r="M16" s="89">
        <v>0.97</v>
      </c>
      <c r="N16" s="90">
        <f t="shared" ref="N16:N27" si="1">M16+P16</f>
        <v>1.0185</v>
      </c>
      <c r="O16" s="156">
        <v>0.05</v>
      </c>
      <c r="P16" s="93">
        <f>M16*$O$16</f>
        <v>4.8500000000000001E-2</v>
      </c>
    </row>
    <row r="17" spans="1:17">
      <c r="A17" s="4" t="s">
        <v>40</v>
      </c>
      <c r="B17" s="4">
        <v>495</v>
      </c>
      <c r="C17" s="4">
        <v>285</v>
      </c>
      <c r="D17" s="4">
        <v>310</v>
      </c>
      <c r="E17" s="142"/>
      <c r="F17" s="143"/>
      <c r="G17" s="144"/>
      <c r="H17" s="146"/>
      <c r="I17" s="4">
        <v>1571</v>
      </c>
      <c r="J17" s="4">
        <v>579</v>
      </c>
      <c r="K17" s="56">
        <f t="shared" si="0"/>
        <v>0.909609</v>
      </c>
      <c r="L17" s="10">
        <v>100</v>
      </c>
      <c r="M17" s="89">
        <v>0.88</v>
      </c>
      <c r="N17" s="90">
        <f t="shared" si="1"/>
        <v>0.92400000000000004</v>
      </c>
      <c r="O17" s="157"/>
      <c r="P17" s="93">
        <f t="shared" ref="P17:P27" si="2">M17*$O$16</f>
        <v>4.4000000000000004E-2</v>
      </c>
    </row>
    <row r="18" spans="1:17">
      <c r="A18" s="4" t="s">
        <v>41</v>
      </c>
      <c r="B18" s="4">
        <v>495</v>
      </c>
      <c r="C18" s="4">
        <v>285</v>
      </c>
      <c r="D18" s="4">
        <v>260</v>
      </c>
      <c r="E18" s="142"/>
      <c r="F18" s="143"/>
      <c r="G18" s="144"/>
      <c r="H18" s="146"/>
      <c r="I18" s="4">
        <v>1571</v>
      </c>
      <c r="J18" s="4">
        <v>529</v>
      </c>
      <c r="K18" s="56">
        <f t="shared" si="0"/>
        <v>0.83105899999999999</v>
      </c>
      <c r="L18" s="10">
        <v>100</v>
      </c>
      <c r="M18" s="89">
        <v>0.81</v>
      </c>
      <c r="N18" s="90">
        <f t="shared" si="1"/>
        <v>0.85050000000000003</v>
      </c>
      <c r="O18" s="157"/>
      <c r="P18" s="93">
        <f t="shared" si="2"/>
        <v>4.0500000000000008E-2</v>
      </c>
    </row>
    <row r="19" spans="1:17" s="8" customFormat="1" ht="15">
      <c r="A19" s="5" t="s">
        <v>42</v>
      </c>
      <c r="B19" s="5">
        <v>595</v>
      </c>
      <c r="C19" s="5">
        <v>285</v>
      </c>
      <c r="D19" s="5">
        <v>375</v>
      </c>
      <c r="E19" s="142"/>
      <c r="F19" s="143"/>
      <c r="G19" s="144"/>
      <c r="H19" s="146"/>
      <c r="I19" s="4">
        <v>1771</v>
      </c>
      <c r="J19" s="4">
        <v>644</v>
      </c>
      <c r="K19" s="56">
        <f t="shared" si="0"/>
        <v>1.1405240000000001</v>
      </c>
      <c r="L19" s="10">
        <v>100</v>
      </c>
      <c r="M19" s="89">
        <v>1.1000000000000001</v>
      </c>
      <c r="N19" s="90">
        <f t="shared" si="1"/>
        <v>1.155</v>
      </c>
      <c r="O19" s="157"/>
      <c r="P19" s="93">
        <f t="shared" si="2"/>
        <v>5.5000000000000007E-2</v>
      </c>
      <c r="Q19" s="1"/>
    </row>
    <row r="20" spans="1:17">
      <c r="A20" s="4" t="s">
        <v>43</v>
      </c>
      <c r="B20" s="4">
        <v>595</v>
      </c>
      <c r="C20" s="4">
        <v>285</v>
      </c>
      <c r="D20" s="4">
        <v>310</v>
      </c>
      <c r="E20" s="142"/>
      <c r="F20" s="143"/>
      <c r="G20" s="144"/>
      <c r="H20" s="146"/>
      <c r="I20" s="4">
        <v>1771</v>
      </c>
      <c r="J20" s="4">
        <v>579</v>
      </c>
      <c r="K20" s="56">
        <f t="shared" si="0"/>
        <v>1.025409</v>
      </c>
      <c r="L20" s="10">
        <v>100</v>
      </c>
      <c r="M20" s="89">
        <v>0.99</v>
      </c>
      <c r="N20" s="90">
        <f t="shared" si="1"/>
        <v>1.0395000000000001</v>
      </c>
      <c r="O20" s="157"/>
      <c r="P20" s="93">
        <f t="shared" si="2"/>
        <v>4.9500000000000002E-2</v>
      </c>
    </row>
    <row r="21" spans="1:17">
      <c r="A21" s="4" t="s">
        <v>44</v>
      </c>
      <c r="B21" s="4">
        <v>595</v>
      </c>
      <c r="C21" s="4">
        <v>285</v>
      </c>
      <c r="D21" s="4">
        <v>260</v>
      </c>
      <c r="E21" s="142"/>
      <c r="F21" s="143"/>
      <c r="G21" s="144"/>
      <c r="H21" s="146"/>
      <c r="I21" s="4">
        <v>1771</v>
      </c>
      <c r="J21" s="4">
        <v>529</v>
      </c>
      <c r="K21" s="56">
        <f t="shared" si="0"/>
        <v>0.936859</v>
      </c>
      <c r="L21" s="10">
        <v>100</v>
      </c>
      <c r="M21" s="89">
        <v>0.9</v>
      </c>
      <c r="N21" s="90">
        <f t="shared" si="1"/>
        <v>0.94500000000000006</v>
      </c>
      <c r="O21" s="157"/>
      <c r="P21" s="93">
        <f t="shared" si="2"/>
        <v>4.5000000000000005E-2</v>
      </c>
    </row>
    <row r="22" spans="1:17" s="95" customFormat="1">
      <c r="A22" s="96" t="s">
        <v>45</v>
      </c>
      <c r="B22" s="96">
        <v>595</v>
      </c>
      <c r="C22" s="96">
        <v>325</v>
      </c>
      <c r="D22" s="96">
        <v>375</v>
      </c>
      <c r="E22" s="142"/>
      <c r="F22" s="143"/>
      <c r="G22" s="144"/>
      <c r="H22" s="146"/>
      <c r="I22" s="96">
        <v>1851</v>
      </c>
      <c r="J22" s="96">
        <v>684</v>
      </c>
      <c r="K22" s="97">
        <f t="shared" si="0"/>
        <v>1.266084</v>
      </c>
      <c r="L22" s="98">
        <v>100</v>
      </c>
      <c r="M22" s="90">
        <v>1.22</v>
      </c>
      <c r="N22" s="90">
        <f t="shared" si="1"/>
        <v>1.2809999999999999</v>
      </c>
      <c r="O22" s="157"/>
      <c r="P22" s="90">
        <f t="shared" si="2"/>
        <v>6.0999999999999999E-2</v>
      </c>
    </row>
    <row r="23" spans="1:17">
      <c r="A23" s="4" t="s">
        <v>46</v>
      </c>
      <c r="B23" s="4">
        <v>595</v>
      </c>
      <c r="C23" s="4">
        <v>325</v>
      </c>
      <c r="D23" s="4">
        <v>310</v>
      </c>
      <c r="E23" s="142"/>
      <c r="F23" s="143"/>
      <c r="G23" s="144"/>
      <c r="H23" s="146"/>
      <c r="I23" s="4">
        <v>1851</v>
      </c>
      <c r="J23" s="4">
        <v>619</v>
      </c>
      <c r="K23" s="56">
        <f t="shared" si="0"/>
        <v>1.145769</v>
      </c>
      <c r="L23" s="10">
        <v>100</v>
      </c>
      <c r="M23" s="89">
        <v>1.1000000000000001</v>
      </c>
      <c r="N23" s="90">
        <f t="shared" si="1"/>
        <v>1.155</v>
      </c>
      <c r="O23" s="157"/>
      <c r="P23" s="93">
        <f t="shared" si="2"/>
        <v>5.5000000000000007E-2</v>
      </c>
    </row>
    <row r="24" spans="1:17">
      <c r="A24" s="4" t="s">
        <v>47</v>
      </c>
      <c r="B24" s="4">
        <v>595</v>
      </c>
      <c r="C24" s="4">
        <v>325</v>
      </c>
      <c r="D24" s="4">
        <v>260</v>
      </c>
      <c r="E24" s="142"/>
      <c r="F24" s="143"/>
      <c r="G24" s="144"/>
      <c r="H24" s="146"/>
      <c r="I24" s="4">
        <v>1851</v>
      </c>
      <c r="J24" s="4">
        <v>569</v>
      </c>
      <c r="K24" s="56">
        <f t="shared" si="0"/>
        <v>1.0532189999999999</v>
      </c>
      <c r="L24" s="10">
        <v>100</v>
      </c>
      <c r="M24" s="89">
        <v>1.02</v>
      </c>
      <c r="N24" s="90">
        <f t="shared" si="1"/>
        <v>1.071</v>
      </c>
      <c r="O24" s="157"/>
      <c r="P24" s="93">
        <f t="shared" si="2"/>
        <v>5.1000000000000004E-2</v>
      </c>
    </row>
    <row r="25" spans="1:17">
      <c r="A25" s="4" t="s">
        <v>48</v>
      </c>
      <c r="B25" s="4">
        <v>595</v>
      </c>
      <c r="C25" s="4">
        <v>380</v>
      </c>
      <c r="D25" s="4">
        <v>375</v>
      </c>
      <c r="E25" s="142"/>
      <c r="F25" s="143"/>
      <c r="G25" s="144"/>
      <c r="H25" s="146"/>
      <c r="I25" s="4">
        <v>1961</v>
      </c>
      <c r="J25" s="4">
        <v>739</v>
      </c>
      <c r="K25" s="56">
        <f t="shared" si="0"/>
        <v>1.449179</v>
      </c>
      <c r="L25" s="10">
        <v>100</v>
      </c>
      <c r="M25" s="89">
        <v>1.39</v>
      </c>
      <c r="N25" s="90">
        <f t="shared" si="1"/>
        <v>1.4594999999999998</v>
      </c>
      <c r="O25" s="157"/>
      <c r="P25" s="93">
        <f t="shared" si="2"/>
        <v>6.9499999999999992E-2</v>
      </c>
    </row>
    <row r="26" spans="1:17">
      <c r="A26" s="4" t="s">
        <v>49</v>
      </c>
      <c r="B26" s="4">
        <v>595</v>
      </c>
      <c r="C26" s="4">
        <v>380</v>
      </c>
      <c r="D26" s="4">
        <v>310</v>
      </c>
      <c r="E26" s="142"/>
      <c r="F26" s="143"/>
      <c r="G26" s="144"/>
      <c r="H26" s="146"/>
      <c r="I26" s="4">
        <v>1961</v>
      </c>
      <c r="J26" s="4">
        <v>674</v>
      </c>
      <c r="K26" s="56">
        <f t="shared" si="0"/>
        <v>1.3217140000000001</v>
      </c>
      <c r="L26" s="10">
        <v>100</v>
      </c>
      <c r="M26" s="89">
        <v>1.27</v>
      </c>
      <c r="N26" s="90">
        <f t="shared" si="1"/>
        <v>1.3334999999999999</v>
      </c>
      <c r="O26" s="157"/>
      <c r="P26" s="93">
        <f t="shared" si="2"/>
        <v>6.3500000000000001E-2</v>
      </c>
    </row>
    <row r="27" spans="1:17">
      <c r="A27" s="4" t="s">
        <v>50</v>
      </c>
      <c r="B27" s="4">
        <v>595</v>
      </c>
      <c r="C27" s="4">
        <v>380</v>
      </c>
      <c r="D27" s="4">
        <v>260</v>
      </c>
      <c r="E27" s="142"/>
      <c r="F27" s="143"/>
      <c r="G27" s="144"/>
      <c r="H27" s="147"/>
      <c r="I27" s="4">
        <v>1961</v>
      </c>
      <c r="J27" s="4">
        <v>624</v>
      </c>
      <c r="K27" s="56">
        <f t="shared" si="0"/>
        <v>1.2236640000000001</v>
      </c>
      <c r="L27" s="10">
        <v>100</v>
      </c>
      <c r="M27" s="89">
        <v>1.18</v>
      </c>
      <c r="N27" s="90">
        <f t="shared" si="1"/>
        <v>1.2389999999999999</v>
      </c>
      <c r="O27" s="158"/>
      <c r="P27" s="93">
        <f t="shared" si="2"/>
        <v>5.8999999999999997E-2</v>
      </c>
    </row>
    <row r="29" spans="1:17" ht="15">
      <c r="A29" s="2" t="s">
        <v>89</v>
      </c>
      <c r="M29" s="3"/>
      <c r="N29" s="3"/>
      <c r="O29" s="3"/>
      <c r="P29" s="3"/>
      <c r="Q29" s="3"/>
    </row>
    <row r="30" spans="1:17" ht="15">
      <c r="A30" s="139" t="s">
        <v>22</v>
      </c>
      <c r="B30" s="140" t="s">
        <v>23</v>
      </c>
      <c r="C30" s="140"/>
      <c r="D30" s="140"/>
      <c r="E30" s="139" t="s">
        <v>24</v>
      </c>
      <c r="F30" s="139" t="s">
        <v>25</v>
      </c>
      <c r="G30" s="139" t="s">
        <v>26</v>
      </c>
      <c r="H30" s="148" t="s">
        <v>27</v>
      </c>
      <c r="I30" s="139" t="s">
        <v>28</v>
      </c>
      <c r="J30" s="139"/>
      <c r="K30" s="148" t="s">
        <v>29</v>
      </c>
      <c r="L30" s="148" t="s">
        <v>30</v>
      </c>
      <c r="M30" s="159" t="s">
        <v>31</v>
      </c>
      <c r="N30" s="160"/>
      <c r="O30" s="160"/>
      <c r="P30" s="160"/>
      <c r="Q30" s="160"/>
    </row>
    <row r="31" spans="1:17" s="76" customFormat="1" ht="57">
      <c r="A31" s="139"/>
      <c r="B31" s="7" t="s">
        <v>32</v>
      </c>
      <c r="C31" s="7" t="s">
        <v>33</v>
      </c>
      <c r="D31" s="7" t="s">
        <v>34</v>
      </c>
      <c r="E31" s="139"/>
      <c r="F31" s="139"/>
      <c r="G31" s="139"/>
      <c r="H31" s="149"/>
      <c r="I31" s="7" t="s">
        <v>32</v>
      </c>
      <c r="J31" s="7" t="s">
        <v>33</v>
      </c>
      <c r="K31" s="149"/>
      <c r="L31" s="149"/>
      <c r="M31" s="75" t="s">
        <v>116</v>
      </c>
      <c r="N31" s="75" t="s">
        <v>117</v>
      </c>
      <c r="O31" s="75" t="s">
        <v>35</v>
      </c>
      <c r="P31" s="75" t="s">
        <v>36</v>
      </c>
    </row>
    <row r="32" spans="1:17" s="3" customFormat="1" ht="28.5">
      <c r="A32" s="4" t="s">
        <v>51</v>
      </c>
      <c r="B32" s="4" t="s">
        <v>51</v>
      </c>
      <c r="C32" s="4" t="s">
        <v>51</v>
      </c>
      <c r="D32" s="4" t="s">
        <v>51</v>
      </c>
      <c r="E32" s="74" t="s">
        <v>52</v>
      </c>
      <c r="F32" s="74" t="s">
        <v>39</v>
      </c>
      <c r="G32" s="4" t="s">
        <v>53</v>
      </c>
      <c r="H32" s="4">
        <v>40</v>
      </c>
      <c r="I32" s="4" t="s">
        <v>51</v>
      </c>
      <c r="J32" s="4" t="s">
        <v>51</v>
      </c>
      <c r="K32" s="56">
        <v>1</v>
      </c>
      <c r="L32" s="4">
        <v>100</v>
      </c>
      <c r="M32" s="91">
        <v>1.03</v>
      </c>
      <c r="N32" s="92">
        <f>M32+P32</f>
        <v>1.133</v>
      </c>
      <c r="O32" s="81">
        <v>0.1</v>
      </c>
      <c r="P32" s="94">
        <f>M32*0.1</f>
        <v>0.10300000000000001</v>
      </c>
    </row>
    <row r="34" spans="8:15" ht="15">
      <c r="H34" s="70" t="s">
        <v>54</v>
      </c>
      <c r="M34" s="71" t="s">
        <v>55</v>
      </c>
      <c r="N34" s="72"/>
      <c r="O34" s="73"/>
    </row>
    <row r="35" spans="8:15">
      <c r="M35" s="11" t="s">
        <v>56</v>
      </c>
      <c r="N35" s="12"/>
      <c r="O35" s="13"/>
    </row>
    <row r="36" spans="8:15">
      <c r="M36" s="14" t="s">
        <v>57</v>
      </c>
      <c r="N36" s="15"/>
      <c r="O36" s="16"/>
    </row>
  </sheetData>
  <mergeCells count="35">
    <mergeCell ref="I30:J30"/>
    <mergeCell ref="K30:K31"/>
    <mergeCell ref="L30:L31"/>
    <mergeCell ref="O16:O27"/>
    <mergeCell ref="M30:Q30"/>
    <mergeCell ref="A14:A15"/>
    <mergeCell ref="B14:D14"/>
    <mergeCell ref="E14:E15"/>
    <mergeCell ref="F14:F15"/>
    <mergeCell ref="G14:G15"/>
    <mergeCell ref="B11:E11"/>
    <mergeCell ref="B10:E10"/>
    <mergeCell ref="B8:E8"/>
    <mergeCell ref="B9:E9"/>
    <mergeCell ref="H14:H15"/>
    <mergeCell ref="G8:O9"/>
    <mergeCell ref="I14:J14"/>
    <mergeCell ref="L14:L15"/>
    <mergeCell ref="K14:K15"/>
    <mergeCell ref="M14:Q14"/>
    <mergeCell ref="E16:E27"/>
    <mergeCell ref="F16:F27"/>
    <mergeCell ref="G16:G27"/>
    <mergeCell ref="H16:H27"/>
    <mergeCell ref="H30:H31"/>
    <mergeCell ref="A30:A31"/>
    <mergeCell ref="B30:D30"/>
    <mergeCell ref="E30:E31"/>
    <mergeCell ref="F30:F31"/>
    <mergeCell ref="G30:G31"/>
    <mergeCell ref="B4:E4"/>
    <mergeCell ref="B5:E5"/>
    <mergeCell ref="B6:E6"/>
    <mergeCell ref="B7:E7"/>
    <mergeCell ref="A1:E2"/>
  </mergeCells>
  <phoneticPr fontId="3" type="noConversion"/>
  <conditionalFormatting sqref="B4:E4">
    <cfRule type="containsBlanks" dxfId="0" priority="1">
      <formula>LEN(TRIM(B4))=0</formula>
    </cfRule>
  </conditionalFormatting>
  <hyperlinks>
    <hyperlink ref="M34:O34" location="'Matalan Curstom CTN Price Cal'!A1" display="PRICE FORMULA FOR NORMAL RSC CARTON" xr:uid="{00000000-0004-0000-0000-000000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5"/>
  <sheetViews>
    <sheetView workbookViewId="0">
      <selection activeCell="H23" sqref="H23"/>
    </sheetView>
  </sheetViews>
  <sheetFormatPr defaultRowHeight="14.25"/>
  <sheetData>
    <row r="2" spans="1:5" ht="15">
      <c r="A2" s="139" t="s">
        <v>22</v>
      </c>
      <c r="B2" s="140" t="s">
        <v>87</v>
      </c>
      <c r="C2" s="140"/>
      <c r="D2" s="140"/>
    </row>
    <row r="3" spans="1:5" ht="15">
      <c r="A3" s="139"/>
      <c r="B3" s="7" t="s">
        <v>82</v>
      </c>
      <c r="C3" s="7" t="s">
        <v>83</v>
      </c>
      <c r="D3" s="7" t="s">
        <v>88</v>
      </c>
      <c r="E3" s="87" t="s">
        <v>31</v>
      </c>
    </row>
    <row r="4" spans="1:5">
      <c r="A4" s="4" t="s">
        <v>37</v>
      </c>
      <c r="B4" s="6">
        <v>495</v>
      </c>
      <c r="C4" s="6">
        <v>285</v>
      </c>
      <c r="D4" s="4">
        <v>375</v>
      </c>
      <c r="E4" s="99">
        <f>'RFQ_Matalan Carton'!M16</f>
        <v>0.97</v>
      </c>
    </row>
    <row r="5" spans="1:5">
      <c r="A5" s="4" t="s">
        <v>40</v>
      </c>
      <c r="B5" s="6">
        <v>495</v>
      </c>
      <c r="C5" s="6">
        <v>285</v>
      </c>
      <c r="D5" s="4">
        <v>310</v>
      </c>
      <c r="E5" s="99">
        <f>'RFQ_Matalan Carton'!M17</f>
        <v>0.88</v>
      </c>
    </row>
    <row r="6" spans="1:5">
      <c r="A6" s="4" t="s">
        <v>41</v>
      </c>
      <c r="B6" s="6">
        <v>495</v>
      </c>
      <c r="C6" s="6">
        <v>285</v>
      </c>
      <c r="D6" s="4">
        <v>260</v>
      </c>
      <c r="E6" s="99">
        <f>'RFQ_Matalan Carton'!M18</f>
        <v>0.81</v>
      </c>
    </row>
    <row r="7" spans="1:5" ht="15">
      <c r="A7" s="9" t="s">
        <v>42</v>
      </c>
      <c r="B7" s="9">
        <v>595</v>
      </c>
      <c r="C7" s="9">
        <v>285</v>
      </c>
      <c r="D7" s="9">
        <v>375</v>
      </c>
      <c r="E7" s="99">
        <f>'RFQ_Matalan Carton'!M19</f>
        <v>1.1000000000000001</v>
      </c>
    </row>
    <row r="8" spans="1:5">
      <c r="A8" s="4" t="s">
        <v>43</v>
      </c>
      <c r="B8" s="4">
        <v>595</v>
      </c>
      <c r="C8" s="4">
        <v>285</v>
      </c>
      <c r="D8" s="4">
        <v>310</v>
      </c>
      <c r="E8" s="99">
        <f>'RFQ_Matalan Carton'!M20</f>
        <v>0.99</v>
      </c>
    </row>
    <row r="9" spans="1:5">
      <c r="A9" s="4" t="s">
        <v>44</v>
      </c>
      <c r="B9" s="4">
        <v>595</v>
      </c>
      <c r="C9" s="4">
        <v>285</v>
      </c>
      <c r="D9" s="4">
        <v>260</v>
      </c>
      <c r="E9" s="99">
        <f>'RFQ_Matalan Carton'!M21</f>
        <v>0.9</v>
      </c>
    </row>
    <row r="10" spans="1:5">
      <c r="A10" s="4" t="s">
        <v>45</v>
      </c>
      <c r="B10" s="6">
        <v>595</v>
      </c>
      <c r="C10" s="6">
        <v>325</v>
      </c>
      <c r="D10" s="4">
        <v>375</v>
      </c>
      <c r="E10" s="99">
        <f>'RFQ_Matalan Carton'!M22</f>
        <v>1.22</v>
      </c>
    </row>
    <row r="11" spans="1:5">
      <c r="A11" s="4" t="s">
        <v>46</v>
      </c>
      <c r="B11" s="6">
        <v>595</v>
      </c>
      <c r="C11" s="6">
        <v>325</v>
      </c>
      <c r="D11" s="4">
        <v>310</v>
      </c>
      <c r="E11" s="99">
        <f>'RFQ_Matalan Carton'!M23</f>
        <v>1.1000000000000001</v>
      </c>
    </row>
    <row r="12" spans="1:5">
      <c r="A12" s="4" t="s">
        <v>47</v>
      </c>
      <c r="B12" s="6">
        <v>595</v>
      </c>
      <c r="C12" s="6">
        <v>325</v>
      </c>
      <c r="D12" s="4">
        <v>260</v>
      </c>
      <c r="E12" s="99">
        <f>'RFQ_Matalan Carton'!M24</f>
        <v>1.02</v>
      </c>
    </row>
    <row r="13" spans="1:5">
      <c r="A13" s="4" t="s">
        <v>48</v>
      </c>
      <c r="B13" s="4">
        <v>595</v>
      </c>
      <c r="C13" s="4">
        <v>380</v>
      </c>
      <c r="D13" s="4">
        <v>375</v>
      </c>
      <c r="E13" s="99">
        <f>'RFQ_Matalan Carton'!M25</f>
        <v>1.39</v>
      </c>
    </row>
    <row r="14" spans="1:5">
      <c r="A14" s="4" t="s">
        <v>49</v>
      </c>
      <c r="B14" s="4">
        <v>595</v>
      </c>
      <c r="C14" s="4">
        <v>380</v>
      </c>
      <c r="D14" s="4">
        <v>310</v>
      </c>
      <c r="E14" s="99">
        <f>'RFQ_Matalan Carton'!M26</f>
        <v>1.27</v>
      </c>
    </row>
    <row r="15" spans="1:5">
      <c r="A15" s="4" t="s">
        <v>50</v>
      </c>
      <c r="B15" s="4">
        <v>595</v>
      </c>
      <c r="C15" s="4">
        <v>380</v>
      </c>
      <c r="D15" s="4">
        <v>260</v>
      </c>
      <c r="E15" s="99">
        <f>'RFQ_Matalan Carton'!M27</f>
        <v>1.18</v>
      </c>
    </row>
  </sheetData>
  <mergeCells count="2">
    <mergeCell ref="A2:A3"/>
    <mergeCell ref="B2:D2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B6E05-12E6-4D0F-92D5-17CE6DAEFDBF}">
  <dimension ref="E6:H33"/>
  <sheetViews>
    <sheetView workbookViewId="0">
      <selection activeCell="K14" sqref="K14"/>
    </sheetView>
  </sheetViews>
  <sheetFormatPr defaultRowHeight="14.25"/>
  <cols>
    <col min="5" max="5" width="28.75" bestFit="1" customWidth="1"/>
    <col min="7" max="8" width="13.375" customWidth="1"/>
  </cols>
  <sheetData>
    <row r="6" spans="5:8">
      <c r="G6" t="s">
        <v>136</v>
      </c>
      <c r="H6" t="s">
        <v>137</v>
      </c>
    </row>
    <row r="7" spans="5:8">
      <c r="E7" t="s">
        <v>129</v>
      </c>
      <c r="F7" t="s">
        <v>134</v>
      </c>
      <c r="G7" s="130">
        <v>3643.4789498175992</v>
      </c>
      <c r="H7" s="130">
        <v>4794.0512497599993</v>
      </c>
    </row>
    <row r="8" spans="5:8">
      <c r="E8" t="s">
        <v>129</v>
      </c>
      <c r="F8" t="s">
        <v>135</v>
      </c>
      <c r="G8" s="130">
        <v>3625.0718443410942</v>
      </c>
      <c r="H8" s="130">
        <v>5370.4768064312457</v>
      </c>
    </row>
    <row r="9" spans="5:8" ht="15">
      <c r="G9" s="161">
        <f>SUM(G7:H8)</f>
        <v>17433.078850349939</v>
      </c>
      <c r="H9" s="161"/>
    </row>
    <row r="10" spans="5:8">
      <c r="G10" s="130"/>
      <c r="H10" s="130"/>
    </row>
    <row r="11" spans="5:8">
      <c r="E11" t="s">
        <v>126</v>
      </c>
      <c r="F11" t="s">
        <v>134</v>
      </c>
      <c r="G11" s="130">
        <v>4014.2216702880005</v>
      </c>
      <c r="H11" s="130">
        <v>5281.8706188000033</v>
      </c>
    </row>
    <row r="12" spans="5:8">
      <c r="E12" t="s">
        <v>126</v>
      </c>
      <c r="F12" t="s">
        <v>135</v>
      </c>
      <c r="G12" s="130">
        <v>5978.1913025675594</v>
      </c>
      <c r="H12" s="130">
        <v>8856.5797075075006</v>
      </c>
    </row>
    <row r="13" spans="5:8" ht="15">
      <c r="G13" s="161">
        <f>SUM(G11:H12)</f>
        <v>24130.863299163066</v>
      </c>
      <c r="H13" s="161"/>
    </row>
    <row r="15" spans="5:8" ht="15">
      <c r="H15" s="132">
        <f>G13+G9</f>
        <v>41563.942149513008</v>
      </c>
    </row>
    <row r="23" spans="5:8">
      <c r="G23" t="s">
        <v>136</v>
      </c>
      <c r="H23" t="s">
        <v>137</v>
      </c>
    </row>
    <row r="24" spans="5:8">
      <c r="E24" t="s">
        <v>126</v>
      </c>
      <c r="F24" t="s">
        <v>134</v>
      </c>
      <c r="G24" s="130">
        <v>4014.2216702880005</v>
      </c>
      <c r="H24" s="130">
        <v>5281.8706188000033</v>
      </c>
    </row>
    <row r="25" spans="5:8">
      <c r="E25" t="s">
        <v>129</v>
      </c>
      <c r="F25" t="s">
        <v>134</v>
      </c>
      <c r="G25" s="130">
        <v>3643.4789498175992</v>
      </c>
      <c r="H25" s="130">
        <v>4794.0512497599993</v>
      </c>
    </row>
    <row r="26" spans="5:8">
      <c r="G26" s="162">
        <f>SUM(G24:H25)</f>
        <v>17733.622488665602</v>
      </c>
      <c r="H26" s="162"/>
    </row>
    <row r="27" spans="5:8">
      <c r="G27" s="131"/>
      <c r="H27" s="131"/>
    </row>
    <row r="28" spans="5:8">
      <c r="G28" s="131"/>
      <c r="H28" s="131"/>
    </row>
    <row r="29" spans="5:8">
      <c r="E29" t="s">
        <v>126</v>
      </c>
      <c r="F29" t="s">
        <v>135</v>
      </c>
      <c r="G29" s="130">
        <v>5978.1913025675594</v>
      </c>
      <c r="H29" s="130">
        <v>8856.5797075075006</v>
      </c>
    </row>
    <row r="30" spans="5:8">
      <c r="E30" t="s">
        <v>129</v>
      </c>
      <c r="F30" t="s">
        <v>135</v>
      </c>
      <c r="G30" s="130">
        <v>3625.0718443410942</v>
      </c>
      <c r="H30" s="130">
        <v>5370.4768064312457</v>
      </c>
    </row>
    <row r="31" spans="5:8">
      <c r="G31" s="162">
        <f>SUM(G29:H30)</f>
        <v>23830.319660847399</v>
      </c>
      <c r="H31" s="162"/>
    </row>
    <row r="32" spans="5:8">
      <c r="G32" s="130"/>
      <c r="H32" s="130"/>
    </row>
    <row r="33" spans="7:8">
      <c r="G33" s="130"/>
      <c r="H33" s="130"/>
    </row>
  </sheetData>
  <mergeCells count="4">
    <mergeCell ref="G9:H9"/>
    <mergeCell ref="G13:H13"/>
    <mergeCell ref="G31:H31"/>
    <mergeCell ref="G26:H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4"/>
  <sheetViews>
    <sheetView zoomScaleNormal="100" workbookViewId="0">
      <selection activeCell="M26" sqref="M26"/>
    </sheetView>
  </sheetViews>
  <sheetFormatPr defaultColWidth="8.875" defaultRowHeight="12"/>
  <cols>
    <col min="1" max="1" width="8.875" style="17"/>
    <col min="2" max="2" width="10.25" style="17" customWidth="1"/>
    <col min="3" max="3" width="12.375" style="17" customWidth="1"/>
    <col min="4" max="4" width="8.875" style="17"/>
    <col min="5" max="5" width="9.25" style="17" bestFit="1" customWidth="1"/>
    <col min="6" max="8" width="8.875" style="17"/>
    <col min="9" max="9" width="11.75" style="17" customWidth="1"/>
    <col min="10" max="10" width="14.25" style="17" customWidth="1"/>
    <col min="11" max="11" width="10.375" style="17" customWidth="1"/>
    <col min="12" max="12" width="22.25" style="17" customWidth="1"/>
    <col min="13" max="13" width="21.375" style="17" customWidth="1"/>
    <col min="14" max="14" width="20.25" style="17" customWidth="1"/>
    <col min="15" max="16384" width="8.875" style="17"/>
  </cols>
  <sheetData>
    <row r="1" spans="1:16" s="21" customFormat="1" ht="16.5">
      <c r="A1" s="67" t="s">
        <v>58</v>
      </c>
      <c r="B1" s="68"/>
      <c r="C1" s="68"/>
      <c r="D1" s="68"/>
      <c r="E1" s="69"/>
      <c r="L1" s="22" t="s">
        <v>91</v>
      </c>
      <c r="M1" s="23">
        <v>45980</v>
      </c>
    </row>
    <row r="2" spans="1:16" s="21" customFormat="1" ht="16.5">
      <c r="A2" s="24" t="s">
        <v>59</v>
      </c>
      <c r="B2" s="25" t="s">
        <v>60</v>
      </c>
      <c r="D2" s="26" t="s">
        <v>90</v>
      </c>
      <c r="I2" s="26" t="s">
        <v>61</v>
      </c>
    </row>
    <row r="3" spans="1:16" s="21" customFormat="1" ht="17.100000000000001" customHeight="1">
      <c r="A3" s="27"/>
      <c r="B3" s="28" t="s">
        <v>62</v>
      </c>
      <c r="D3" s="39" t="s">
        <v>56</v>
      </c>
      <c r="E3" s="40"/>
      <c r="F3" s="40"/>
      <c r="G3" s="40"/>
      <c r="H3" s="41"/>
      <c r="I3" s="32" t="s">
        <v>63</v>
      </c>
      <c r="J3" s="33" t="s">
        <v>64</v>
      </c>
      <c r="L3" s="33" t="s">
        <v>65</v>
      </c>
      <c r="M3" s="34" t="s">
        <v>66</v>
      </c>
    </row>
    <row r="4" spans="1:16" s="21" customFormat="1" ht="16.5">
      <c r="A4" s="29"/>
      <c r="B4" s="28" t="s">
        <v>67</v>
      </c>
      <c r="D4" s="42" t="s">
        <v>57</v>
      </c>
      <c r="E4" s="19"/>
      <c r="F4" s="19"/>
      <c r="G4" s="19"/>
      <c r="H4" s="20"/>
      <c r="I4" s="37" t="s">
        <v>68</v>
      </c>
      <c r="J4" s="37">
        <v>4</v>
      </c>
      <c r="L4" s="38">
        <f>'RFQ_Matalan Carton'!N32</f>
        <v>1.133</v>
      </c>
      <c r="M4" s="77">
        <f>'RFQ_Matalan Carton'!O2</f>
        <v>0</v>
      </c>
    </row>
    <row r="5" spans="1:16" s="21" customFormat="1" ht="16.5">
      <c r="A5" s="30"/>
      <c r="B5" s="28" t="s">
        <v>69</v>
      </c>
    </row>
    <row r="6" spans="1:16" s="21" customFormat="1" ht="16.5">
      <c r="A6" s="31"/>
      <c r="B6" s="28" t="s">
        <v>70</v>
      </c>
    </row>
    <row r="7" spans="1:16" s="21" customFormat="1" ht="16.5">
      <c r="A7" s="28"/>
      <c r="B7" s="28"/>
      <c r="D7" s="59" t="s">
        <v>3</v>
      </c>
      <c r="E7" s="60"/>
      <c r="F7" s="60"/>
      <c r="G7" s="60"/>
      <c r="H7" s="60"/>
      <c r="I7" s="60"/>
      <c r="J7" s="60"/>
      <c r="K7" s="60"/>
      <c r="L7" s="60"/>
      <c r="M7" s="60"/>
      <c r="N7" s="61"/>
    </row>
    <row r="8" spans="1:16" s="21" customFormat="1" ht="16.5">
      <c r="A8" s="28"/>
      <c r="B8" s="28"/>
      <c r="D8" s="78" t="s">
        <v>6</v>
      </c>
      <c r="E8" s="40"/>
      <c r="F8" s="40"/>
      <c r="G8" s="40"/>
      <c r="H8" s="40"/>
      <c r="I8" s="40"/>
      <c r="J8" s="40"/>
      <c r="K8" s="40"/>
      <c r="L8" s="40"/>
      <c r="M8" s="17"/>
      <c r="N8" s="18"/>
    </row>
    <row r="9" spans="1:16" s="21" customFormat="1" ht="16.5">
      <c r="A9" s="28"/>
      <c r="B9" s="28"/>
      <c r="D9" s="57" t="s">
        <v>9</v>
      </c>
      <c r="E9" s="17"/>
      <c r="F9" s="17"/>
      <c r="G9" s="17"/>
      <c r="H9" s="17"/>
      <c r="I9" s="17"/>
      <c r="J9" s="17"/>
      <c r="K9" s="17"/>
      <c r="L9" s="17"/>
      <c r="M9" s="17"/>
      <c r="N9" s="18"/>
    </row>
    <row r="10" spans="1:16" s="21" customFormat="1" ht="16.5">
      <c r="A10" s="28"/>
      <c r="B10" s="28"/>
      <c r="D10" s="57" t="s">
        <v>12</v>
      </c>
      <c r="E10" s="17"/>
      <c r="F10" s="17"/>
      <c r="G10" s="17"/>
      <c r="H10" s="17"/>
      <c r="I10" s="17"/>
      <c r="J10" s="17"/>
      <c r="K10" s="17"/>
      <c r="L10" s="17"/>
      <c r="M10" s="17"/>
      <c r="N10" s="18"/>
    </row>
    <row r="11" spans="1:16" s="21" customFormat="1" ht="16.5">
      <c r="A11" s="28"/>
      <c r="B11" s="28"/>
      <c r="D11" s="80" t="s">
        <v>15</v>
      </c>
      <c r="E11" s="79"/>
      <c r="F11" s="79"/>
      <c r="G11" s="79"/>
      <c r="H11" s="79"/>
      <c r="I11" s="79"/>
      <c r="J11" s="79"/>
      <c r="K11" s="79"/>
      <c r="L11" s="79"/>
      <c r="M11" s="17"/>
      <c r="N11" s="18"/>
    </row>
    <row r="12" spans="1:16" s="21" customFormat="1" ht="16.5">
      <c r="A12" s="28"/>
      <c r="B12" s="28"/>
      <c r="D12" s="58" t="s">
        <v>19</v>
      </c>
      <c r="E12" s="19"/>
      <c r="F12" s="19"/>
      <c r="G12" s="19"/>
      <c r="H12" s="19"/>
      <c r="I12" s="19"/>
      <c r="J12" s="19"/>
      <c r="K12" s="19"/>
      <c r="L12" s="19"/>
      <c r="M12" s="19"/>
      <c r="N12" s="20"/>
    </row>
    <row r="13" spans="1:16" s="21" customFormat="1" ht="16.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 s="21" customFormat="1" ht="16.5"/>
    <row r="15" spans="1:16" s="35" customFormat="1" ht="14.45" customHeight="1">
      <c r="A15" s="167" t="s">
        <v>71</v>
      </c>
      <c r="B15" s="167" t="s">
        <v>72</v>
      </c>
      <c r="C15" s="167" t="s">
        <v>73</v>
      </c>
      <c r="D15" s="167" t="s">
        <v>74</v>
      </c>
      <c r="E15" s="168" t="s">
        <v>75</v>
      </c>
      <c r="F15" s="167" t="s">
        <v>76</v>
      </c>
      <c r="G15" s="167"/>
      <c r="H15" s="167"/>
      <c r="I15" s="169" t="s">
        <v>77</v>
      </c>
      <c r="J15" s="170"/>
      <c r="K15" s="165" t="s">
        <v>78</v>
      </c>
      <c r="L15" s="171" t="s">
        <v>79</v>
      </c>
      <c r="M15" s="163" t="s">
        <v>80</v>
      </c>
      <c r="N15" s="165" t="s">
        <v>81</v>
      </c>
    </row>
    <row r="16" spans="1:16" s="35" customFormat="1" ht="14.25">
      <c r="A16" s="167"/>
      <c r="B16" s="167"/>
      <c r="C16" s="167"/>
      <c r="D16" s="167"/>
      <c r="E16" s="167"/>
      <c r="F16" s="32" t="s">
        <v>32</v>
      </c>
      <c r="G16" s="32" t="s">
        <v>33</v>
      </c>
      <c r="H16" s="32" t="s">
        <v>34</v>
      </c>
      <c r="I16" s="32" t="s">
        <v>82</v>
      </c>
      <c r="J16" s="32" t="s">
        <v>83</v>
      </c>
      <c r="K16" s="166"/>
      <c r="L16" s="172"/>
      <c r="M16" s="164"/>
      <c r="N16" s="166"/>
    </row>
    <row r="17" spans="1:14">
      <c r="A17" s="43">
        <v>123456</v>
      </c>
      <c r="B17" s="44" t="s">
        <v>84</v>
      </c>
      <c r="C17" s="45" t="s">
        <v>85</v>
      </c>
      <c r="D17" s="44" t="s">
        <v>68</v>
      </c>
      <c r="E17" s="46">
        <f>IFERROR(VLOOKUP(D17,$I$3:$J$5,2,FALSE),0)</f>
        <v>4</v>
      </c>
      <c r="F17" s="47">
        <v>595</v>
      </c>
      <c r="G17" s="47">
        <v>285</v>
      </c>
      <c r="H17" s="47">
        <v>375</v>
      </c>
      <c r="I17" s="46" cm="1">
        <f t="array" ref="I17">_xlfn.SWITCH(D17,"C-Flute",(F17+G17)*2+15,"BC-Flute",(F17+G17)*2+11,0)</f>
        <v>1775</v>
      </c>
      <c r="J17" s="46" cm="1">
        <f t="array" ref="J17">_xlfn.SWITCH(D17,"C-Flute",(G17+H17)-10,"BC-Flute",(G17+H17)-16,0)</f>
        <v>650</v>
      </c>
      <c r="K17" s="48">
        <f>I17*J17*(1+10%)/1000000</f>
        <v>1.2691250000000001</v>
      </c>
      <c r="L17" s="49">
        <f>IFERROR(K17*IFERROR(VLOOKUP(D17,$I$3:$L$5,4,FALSE),"N/A"),0)</f>
        <v>1.437918625</v>
      </c>
      <c r="M17" s="50">
        <f>IFERROR(L17/$M$4,0)</f>
        <v>0</v>
      </c>
      <c r="N17" s="62"/>
    </row>
    <row r="18" spans="1:14">
      <c r="A18" s="43">
        <v>654321</v>
      </c>
      <c r="B18" s="43" t="s">
        <v>86</v>
      </c>
      <c r="C18" s="36" t="s">
        <v>85</v>
      </c>
      <c r="D18" s="43" t="s">
        <v>68</v>
      </c>
      <c r="E18" s="51">
        <f t="shared" ref="E18:E272" si="0">IFERROR(VLOOKUP(D18,$I$3:$J$5,2,FALSE),0)</f>
        <v>4</v>
      </c>
      <c r="F18" s="52">
        <v>495</v>
      </c>
      <c r="G18" s="52">
        <v>285</v>
      </c>
      <c r="H18" s="52">
        <v>375</v>
      </c>
      <c r="I18" s="51" cm="1">
        <f t="array" ref="I18">_xlfn.SWITCH(D18,"C-Flute",(F18+G18)*2+15,"BC-Flute",(F18+G18)*2+11,0)</f>
        <v>1575</v>
      </c>
      <c r="J18" s="51" cm="1">
        <f t="array" ref="J18">_xlfn.SWITCH(D18,"C-Flute",(G18+H18)-10,"BC-Flute",(G18+H18)-16,0)</f>
        <v>650</v>
      </c>
      <c r="K18" s="53">
        <f t="shared" ref="K18:K81" si="1">I18*J18*(1+10%)/1000000</f>
        <v>1.126125</v>
      </c>
      <c r="L18" s="54">
        <f t="shared" ref="L18:L81" si="2">IFERROR(K18*IFERROR(VLOOKUP(D18,$I$3:$L$5,4,FALSE),"N/A"),0)</f>
        <v>1.2758996250000001</v>
      </c>
      <c r="M18" s="55">
        <f t="shared" ref="M18:M81" si="3">IFERROR(L18/$M$4,0)</f>
        <v>0</v>
      </c>
      <c r="N18" s="63"/>
    </row>
    <row r="19" spans="1:14">
      <c r="A19" s="43"/>
      <c r="B19" s="43"/>
      <c r="C19" s="36" t="s">
        <v>85</v>
      </c>
      <c r="D19" s="43"/>
      <c r="E19" s="51">
        <f t="shared" si="0"/>
        <v>0</v>
      </c>
      <c r="F19" s="52"/>
      <c r="G19" s="52"/>
      <c r="H19" s="52"/>
      <c r="I19" s="51" cm="1">
        <f t="array" ref="I19">_xlfn.SWITCH(D19,"C-Flute",(F19+G19)*2+15,"BC-Flute",(F19+G19)*2+11,0)</f>
        <v>0</v>
      </c>
      <c r="J19" s="51" cm="1">
        <f t="array" ref="J19">_xlfn.SWITCH(D19,"C-Flute",(G19+H19)-10,"BC-Flute",(G19+H19)-16,0)</f>
        <v>0</v>
      </c>
      <c r="K19" s="53">
        <f t="shared" si="1"/>
        <v>0</v>
      </c>
      <c r="L19" s="54">
        <f t="shared" si="2"/>
        <v>0</v>
      </c>
      <c r="M19" s="55">
        <f t="shared" si="3"/>
        <v>0</v>
      </c>
      <c r="N19" s="63"/>
    </row>
    <row r="20" spans="1:14">
      <c r="A20" s="43"/>
      <c r="B20" s="43"/>
      <c r="C20" s="36" t="s">
        <v>85</v>
      </c>
      <c r="D20" s="43"/>
      <c r="E20" s="51">
        <f t="shared" si="0"/>
        <v>0</v>
      </c>
      <c r="F20" s="52"/>
      <c r="G20" s="52"/>
      <c r="H20" s="52"/>
      <c r="I20" s="51" cm="1">
        <f t="array" ref="I20">_xlfn.SWITCH(D20,"C-Flute",(F20+G20)*2+15,"BC-Flute",(F20+G20)*2+11,0)</f>
        <v>0</v>
      </c>
      <c r="J20" s="51" cm="1">
        <f t="array" ref="J20">_xlfn.SWITCH(D20,"C-Flute",(G20+H20)-10,"BC-Flute",(G20+H20)-16,0)</f>
        <v>0</v>
      </c>
      <c r="K20" s="53">
        <f t="shared" si="1"/>
        <v>0</v>
      </c>
      <c r="L20" s="54">
        <f t="shared" si="2"/>
        <v>0</v>
      </c>
      <c r="M20" s="55">
        <f t="shared" si="3"/>
        <v>0</v>
      </c>
      <c r="N20" s="63"/>
    </row>
    <row r="21" spans="1:14">
      <c r="A21" s="43"/>
      <c r="B21" s="43"/>
      <c r="C21" s="36" t="s">
        <v>85</v>
      </c>
      <c r="D21" s="43"/>
      <c r="E21" s="51">
        <f t="shared" si="0"/>
        <v>0</v>
      </c>
      <c r="F21" s="52"/>
      <c r="G21" s="52"/>
      <c r="H21" s="52"/>
      <c r="I21" s="51" cm="1">
        <f t="array" ref="I21">_xlfn.SWITCH(D21,"C-Flute",(F21+G21)*2+15,"BC-Flute",(F21+G21)*2+11,0)</f>
        <v>0</v>
      </c>
      <c r="J21" s="51" cm="1">
        <f t="array" ref="J21">_xlfn.SWITCH(D21,"C-Flute",(G21+H21)-10,"BC-Flute",(G21+H21)-16,0)</f>
        <v>0</v>
      </c>
      <c r="K21" s="53">
        <f t="shared" si="1"/>
        <v>0</v>
      </c>
      <c r="L21" s="54">
        <f t="shared" si="2"/>
        <v>0</v>
      </c>
      <c r="M21" s="55">
        <f t="shared" si="3"/>
        <v>0</v>
      </c>
      <c r="N21" s="63"/>
    </row>
    <row r="22" spans="1:14">
      <c r="A22" s="43"/>
      <c r="B22" s="43"/>
      <c r="C22" s="36" t="s">
        <v>85</v>
      </c>
      <c r="D22" s="43"/>
      <c r="E22" s="51">
        <f t="shared" si="0"/>
        <v>0</v>
      </c>
      <c r="F22" s="52"/>
      <c r="G22" s="52"/>
      <c r="H22" s="52"/>
      <c r="I22" s="51" cm="1">
        <f t="array" ref="I22">_xlfn.SWITCH(D22,"C-Flute",(F22+G22)*2+15,"BC-Flute",(F22+G22)*2+11,0)</f>
        <v>0</v>
      </c>
      <c r="J22" s="51" cm="1">
        <f t="array" ref="J22">_xlfn.SWITCH(D22,"C-Flute",(G22+H22)-10,"BC-Flute",(G22+H22)-16,0)</f>
        <v>0</v>
      </c>
      <c r="K22" s="53">
        <f t="shared" si="1"/>
        <v>0</v>
      </c>
      <c r="L22" s="54">
        <f t="shared" si="2"/>
        <v>0</v>
      </c>
      <c r="M22" s="55">
        <f t="shared" si="3"/>
        <v>0</v>
      </c>
      <c r="N22" s="63"/>
    </row>
    <row r="23" spans="1:14">
      <c r="A23" s="43"/>
      <c r="B23" s="43"/>
      <c r="C23" s="36" t="s">
        <v>85</v>
      </c>
      <c r="D23" s="43"/>
      <c r="E23" s="51">
        <f t="shared" si="0"/>
        <v>0</v>
      </c>
      <c r="F23" s="52"/>
      <c r="G23" s="52"/>
      <c r="H23" s="52"/>
      <c r="I23" s="51" cm="1">
        <f t="array" ref="I23">_xlfn.SWITCH(D23,"C-Flute",(F23+G23)*2+15,"BC-Flute",(F23+G23)*2+11,0)</f>
        <v>0</v>
      </c>
      <c r="J23" s="51" cm="1">
        <f t="array" ref="J23">_xlfn.SWITCH(D23,"C-Flute",(G23+H23)-10,"BC-Flute",(G23+H23)-16,0)</f>
        <v>0</v>
      </c>
      <c r="K23" s="53">
        <f t="shared" si="1"/>
        <v>0</v>
      </c>
      <c r="L23" s="54">
        <f t="shared" si="2"/>
        <v>0</v>
      </c>
      <c r="M23" s="55">
        <f t="shared" si="3"/>
        <v>0</v>
      </c>
      <c r="N23" s="63"/>
    </row>
    <row r="24" spans="1:14">
      <c r="A24" s="43"/>
      <c r="B24" s="43"/>
      <c r="C24" s="36" t="s">
        <v>85</v>
      </c>
      <c r="D24" s="43"/>
      <c r="E24" s="51">
        <f t="shared" si="0"/>
        <v>0</v>
      </c>
      <c r="F24" s="52"/>
      <c r="G24" s="52"/>
      <c r="H24" s="52"/>
      <c r="I24" s="51" cm="1">
        <f t="array" ref="I24">_xlfn.SWITCH(D24,"C-Flute",(F24+G24)*2+15,"BC-Flute",(F24+G24)*2+11,0)</f>
        <v>0</v>
      </c>
      <c r="J24" s="51" cm="1">
        <f t="array" ref="J24">_xlfn.SWITCH(D24,"C-Flute",(G24+H24)-10,"BC-Flute",(G24+H24)-16,0)</f>
        <v>0</v>
      </c>
      <c r="K24" s="53">
        <f t="shared" si="1"/>
        <v>0</v>
      </c>
      <c r="L24" s="54">
        <f t="shared" si="2"/>
        <v>0</v>
      </c>
      <c r="M24" s="55">
        <f t="shared" si="3"/>
        <v>0</v>
      </c>
      <c r="N24" s="63"/>
    </row>
    <row r="25" spans="1:14">
      <c r="A25" s="43"/>
      <c r="B25" s="43"/>
      <c r="C25" s="36" t="s">
        <v>85</v>
      </c>
      <c r="D25" s="43"/>
      <c r="E25" s="51">
        <f t="shared" si="0"/>
        <v>0</v>
      </c>
      <c r="F25" s="52"/>
      <c r="G25" s="52"/>
      <c r="H25" s="52"/>
      <c r="I25" s="51" cm="1">
        <f t="array" ref="I25">_xlfn.SWITCH(D25,"C-Flute",(F25+G25)*2+15,"BC-Flute",(F25+G25)*2+11,0)</f>
        <v>0</v>
      </c>
      <c r="J25" s="51" cm="1">
        <f t="array" ref="J25">_xlfn.SWITCH(D25,"C-Flute",(G25+H25)-10,"BC-Flute",(G25+H25)-16,0)</f>
        <v>0</v>
      </c>
      <c r="K25" s="53">
        <f t="shared" si="1"/>
        <v>0</v>
      </c>
      <c r="L25" s="54">
        <f t="shared" si="2"/>
        <v>0</v>
      </c>
      <c r="M25" s="55">
        <f t="shared" si="3"/>
        <v>0</v>
      </c>
      <c r="N25" s="63"/>
    </row>
    <row r="26" spans="1:14">
      <c r="A26" s="43"/>
      <c r="B26" s="43"/>
      <c r="C26" s="36" t="s">
        <v>85</v>
      </c>
      <c r="D26" s="43"/>
      <c r="E26" s="51">
        <f t="shared" si="0"/>
        <v>0</v>
      </c>
      <c r="F26" s="52"/>
      <c r="G26" s="52"/>
      <c r="H26" s="52"/>
      <c r="I26" s="51" cm="1">
        <f t="array" ref="I26">_xlfn.SWITCH(D26,"C-Flute",(F26+G26)*2+15,"BC-Flute",(F26+G26)*2+11,0)</f>
        <v>0</v>
      </c>
      <c r="J26" s="51" cm="1">
        <f t="array" ref="J26">_xlfn.SWITCH(D26,"C-Flute",(G26+H26)-10,"BC-Flute",(G26+H26)-16,0)</f>
        <v>0</v>
      </c>
      <c r="K26" s="53">
        <f t="shared" si="1"/>
        <v>0</v>
      </c>
      <c r="L26" s="54">
        <f t="shared" si="2"/>
        <v>0</v>
      </c>
      <c r="M26" s="55">
        <f t="shared" si="3"/>
        <v>0</v>
      </c>
      <c r="N26" s="63"/>
    </row>
    <row r="27" spans="1:14">
      <c r="A27" s="43"/>
      <c r="B27" s="43"/>
      <c r="C27" s="36" t="s">
        <v>85</v>
      </c>
      <c r="D27" s="43"/>
      <c r="E27" s="51">
        <f t="shared" si="0"/>
        <v>0</v>
      </c>
      <c r="F27" s="52"/>
      <c r="G27" s="52"/>
      <c r="H27" s="52"/>
      <c r="I27" s="51" cm="1">
        <f t="array" ref="I27">_xlfn.SWITCH(D27,"C-Flute",(F27+G27)*2+15,"BC-Flute",(F27+G27)*2+11,0)</f>
        <v>0</v>
      </c>
      <c r="J27" s="51" cm="1">
        <f t="array" ref="J27">_xlfn.SWITCH(D27,"C-Flute",(G27+H27)-10,"BC-Flute",(G27+H27)-16,0)</f>
        <v>0</v>
      </c>
      <c r="K27" s="53">
        <f t="shared" si="1"/>
        <v>0</v>
      </c>
      <c r="L27" s="54">
        <f t="shared" si="2"/>
        <v>0</v>
      </c>
      <c r="M27" s="55">
        <f t="shared" si="3"/>
        <v>0</v>
      </c>
      <c r="N27" s="63"/>
    </row>
    <row r="28" spans="1:14">
      <c r="A28" s="43"/>
      <c r="B28" s="43"/>
      <c r="C28" s="36" t="s">
        <v>85</v>
      </c>
      <c r="D28" s="43"/>
      <c r="E28" s="51">
        <f t="shared" si="0"/>
        <v>0</v>
      </c>
      <c r="F28" s="52"/>
      <c r="G28" s="52"/>
      <c r="H28" s="52"/>
      <c r="I28" s="51" cm="1">
        <f t="array" ref="I28">_xlfn.SWITCH(D28,"C-Flute",(F28+G28)*2+15,"BC-Flute",(F28+G28)*2+11,0)</f>
        <v>0</v>
      </c>
      <c r="J28" s="51" cm="1">
        <f t="array" ref="J28">_xlfn.SWITCH(D28,"C-Flute",(G28+H28)-10,"BC-Flute",(G28+H28)-16,0)</f>
        <v>0</v>
      </c>
      <c r="K28" s="53">
        <f t="shared" si="1"/>
        <v>0</v>
      </c>
      <c r="L28" s="54">
        <f t="shared" si="2"/>
        <v>0</v>
      </c>
      <c r="M28" s="55">
        <f t="shared" si="3"/>
        <v>0</v>
      </c>
      <c r="N28" s="63"/>
    </row>
    <row r="29" spans="1:14">
      <c r="A29" s="43"/>
      <c r="B29" s="43"/>
      <c r="C29" s="36" t="s">
        <v>85</v>
      </c>
      <c r="D29" s="43"/>
      <c r="E29" s="51">
        <f t="shared" si="0"/>
        <v>0</v>
      </c>
      <c r="F29" s="52"/>
      <c r="G29" s="52"/>
      <c r="H29" s="52"/>
      <c r="I29" s="51" cm="1">
        <f t="array" ref="I29">_xlfn.SWITCH(D29,"C-Flute",(F29+G29)*2+15,"BC-Flute",(F29+G29)*2+11,0)</f>
        <v>0</v>
      </c>
      <c r="J29" s="51" cm="1">
        <f t="array" ref="J29">_xlfn.SWITCH(D29,"C-Flute",(G29+H29)-10,"BC-Flute",(G29+H29)-16,0)</f>
        <v>0</v>
      </c>
      <c r="K29" s="53">
        <f t="shared" si="1"/>
        <v>0</v>
      </c>
      <c r="L29" s="54">
        <f t="shared" si="2"/>
        <v>0</v>
      </c>
      <c r="M29" s="55">
        <f t="shared" si="3"/>
        <v>0</v>
      </c>
      <c r="N29" s="63"/>
    </row>
    <row r="30" spans="1:14">
      <c r="A30" s="43"/>
      <c r="B30" s="43"/>
      <c r="C30" s="36" t="s">
        <v>85</v>
      </c>
      <c r="D30" s="43"/>
      <c r="E30" s="51">
        <f t="shared" si="0"/>
        <v>0</v>
      </c>
      <c r="F30" s="52"/>
      <c r="G30" s="52"/>
      <c r="H30" s="52"/>
      <c r="I30" s="51" cm="1">
        <f t="array" ref="I30">_xlfn.SWITCH(D30,"C-Flute",(F30+G30)*2+15,"BC-Flute",(F30+G30)*2+11,0)</f>
        <v>0</v>
      </c>
      <c r="J30" s="51" cm="1">
        <f t="array" ref="J30">_xlfn.SWITCH(D30,"C-Flute",(G30+H30)-10,"BC-Flute",(G30+H30)-16,0)</f>
        <v>0</v>
      </c>
      <c r="K30" s="53">
        <f t="shared" si="1"/>
        <v>0</v>
      </c>
      <c r="L30" s="54">
        <f t="shared" si="2"/>
        <v>0</v>
      </c>
      <c r="M30" s="55">
        <f t="shared" si="3"/>
        <v>0</v>
      </c>
      <c r="N30" s="63"/>
    </row>
    <row r="31" spans="1:14">
      <c r="A31" s="43"/>
      <c r="B31" s="43"/>
      <c r="C31" s="36" t="s">
        <v>85</v>
      </c>
      <c r="D31" s="43"/>
      <c r="E31" s="51">
        <f t="shared" si="0"/>
        <v>0</v>
      </c>
      <c r="F31" s="52"/>
      <c r="G31" s="52"/>
      <c r="H31" s="52"/>
      <c r="I31" s="51" cm="1">
        <f t="array" ref="I31">_xlfn.SWITCH(D31,"C-Flute",(F31+G31)*2+15,"BC-Flute",(F31+G31)*2+11,0)</f>
        <v>0</v>
      </c>
      <c r="J31" s="51" cm="1">
        <f t="array" ref="J31">_xlfn.SWITCH(D31,"C-Flute",(G31+H31)-10,"BC-Flute",(G31+H31)-16,0)</f>
        <v>0</v>
      </c>
      <c r="K31" s="53">
        <f t="shared" si="1"/>
        <v>0</v>
      </c>
      <c r="L31" s="54">
        <f t="shared" si="2"/>
        <v>0</v>
      </c>
      <c r="M31" s="55">
        <f t="shared" si="3"/>
        <v>0</v>
      </c>
      <c r="N31" s="63"/>
    </row>
    <row r="32" spans="1:14">
      <c r="A32" s="43"/>
      <c r="B32" s="43"/>
      <c r="C32" s="36" t="s">
        <v>85</v>
      </c>
      <c r="D32" s="43"/>
      <c r="E32" s="51">
        <f t="shared" si="0"/>
        <v>0</v>
      </c>
      <c r="F32" s="52"/>
      <c r="G32" s="52"/>
      <c r="H32" s="52"/>
      <c r="I32" s="51" cm="1">
        <f t="array" ref="I32">_xlfn.SWITCH(D32,"C-Flute",(F32+G32)*2+15,"BC-Flute",(F32+G32)*2+11,0)</f>
        <v>0</v>
      </c>
      <c r="J32" s="51" cm="1">
        <f t="array" ref="J32">_xlfn.SWITCH(D32,"C-Flute",(G32+H32)-10,"BC-Flute",(G32+H32)-16,0)</f>
        <v>0</v>
      </c>
      <c r="K32" s="53">
        <f t="shared" si="1"/>
        <v>0</v>
      </c>
      <c r="L32" s="54">
        <f t="shared" si="2"/>
        <v>0</v>
      </c>
      <c r="M32" s="55">
        <f t="shared" si="3"/>
        <v>0</v>
      </c>
      <c r="N32" s="63"/>
    </row>
    <row r="33" spans="1:14">
      <c r="A33" s="43"/>
      <c r="B33" s="43"/>
      <c r="C33" s="36" t="s">
        <v>85</v>
      </c>
      <c r="D33" s="43"/>
      <c r="E33" s="51">
        <f t="shared" si="0"/>
        <v>0</v>
      </c>
      <c r="F33" s="52"/>
      <c r="G33" s="52"/>
      <c r="H33" s="52"/>
      <c r="I33" s="51" cm="1">
        <f t="array" ref="I33">_xlfn.SWITCH(D33,"C-Flute",(F33+G33)*2+15,"BC-Flute",(F33+G33)*2+11,0)</f>
        <v>0</v>
      </c>
      <c r="J33" s="51" cm="1">
        <f t="array" ref="J33">_xlfn.SWITCH(D33,"C-Flute",(G33+H33)-10,"BC-Flute",(G33+H33)-16,0)</f>
        <v>0</v>
      </c>
      <c r="K33" s="53">
        <f t="shared" si="1"/>
        <v>0</v>
      </c>
      <c r="L33" s="54">
        <f t="shared" si="2"/>
        <v>0</v>
      </c>
      <c r="M33" s="55">
        <f t="shared" si="3"/>
        <v>0</v>
      </c>
      <c r="N33" s="63"/>
    </row>
    <row r="34" spans="1:14">
      <c r="A34" s="43"/>
      <c r="B34" s="43"/>
      <c r="C34" s="36" t="s">
        <v>85</v>
      </c>
      <c r="D34" s="43"/>
      <c r="E34" s="51">
        <f t="shared" si="0"/>
        <v>0</v>
      </c>
      <c r="F34" s="52"/>
      <c r="G34" s="52"/>
      <c r="H34" s="52"/>
      <c r="I34" s="51" cm="1">
        <f t="array" ref="I34">_xlfn.SWITCH(D34,"C-Flute",(F34+G34)*2+15,"BC-Flute",(F34+G34)*2+11,0)</f>
        <v>0</v>
      </c>
      <c r="J34" s="51" cm="1">
        <f t="array" ref="J34">_xlfn.SWITCH(D34,"C-Flute",(G34+H34)-10,"BC-Flute",(G34+H34)-16,0)</f>
        <v>0</v>
      </c>
      <c r="K34" s="53">
        <f t="shared" si="1"/>
        <v>0</v>
      </c>
      <c r="L34" s="54">
        <f t="shared" si="2"/>
        <v>0</v>
      </c>
      <c r="M34" s="55">
        <f t="shared" si="3"/>
        <v>0</v>
      </c>
      <c r="N34" s="63"/>
    </row>
    <row r="35" spans="1:14">
      <c r="A35" s="43"/>
      <c r="B35" s="43"/>
      <c r="C35" s="36" t="s">
        <v>85</v>
      </c>
      <c r="D35" s="43"/>
      <c r="E35" s="51">
        <f t="shared" si="0"/>
        <v>0</v>
      </c>
      <c r="F35" s="52"/>
      <c r="G35" s="52"/>
      <c r="H35" s="52"/>
      <c r="I35" s="51" cm="1">
        <f t="array" ref="I35">_xlfn.SWITCH(D35,"C-Flute",(F35+G35)*2+15,"BC-Flute",(F35+G35)*2+11,0)</f>
        <v>0</v>
      </c>
      <c r="J35" s="51" cm="1">
        <f t="array" ref="J35">_xlfn.SWITCH(D35,"C-Flute",(G35+H35)-10,"BC-Flute",(G35+H35)-16,0)</f>
        <v>0</v>
      </c>
      <c r="K35" s="53">
        <f t="shared" si="1"/>
        <v>0</v>
      </c>
      <c r="L35" s="54">
        <f t="shared" si="2"/>
        <v>0</v>
      </c>
      <c r="M35" s="55">
        <f t="shared" si="3"/>
        <v>0</v>
      </c>
      <c r="N35" s="63"/>
    </row>
    <row r="36" spans="1:14">
      <c r="A36" s="43"/>
      <c r="B36" s="43"/>
      <c r="C36" s="36" t="s">
        <v>85</v>
      </c>
      <c r="D36" s="43"/>
      <c r="E36" s="51">
        <f t="shared" si="0"/>
        <v>0</v>
      </c>
      <c r="F36" s="52"/>
      <c r="G36" s="52"/>
      <c r="H36" s="52"/>
      <c r="I36" s="51" cm="1">
        <f t="array" ref="I36">_xlfn.SWITCH(D36,"C-Flute",(F36+G36)*2+15,"BC-Flute",(F36+G36)*2+11,0)</f>
        <v>0</v>
      </c>
      <c r="J36" s="51" cm="1">
        <f t="array" ref="J36">_xlfn.SWITCH(D36,"C-Flute",(G36+H36)-10,"BC-Flute",(G36+H36)-16,0)</f>
        <v>0</v>
      </c>
      <c r="K36" s="53">
        <f t="shared" si="1"/>
        <v>0</v>
      </c>
      <c r="L36" s="54">
        <f t="shared" si="2"/>
        <v>0</v>
      </c>
      <c r="M36" s="55">
        <f t="shared" si="3"/>
        <v>0</v>
      </c>
      <c r="N36" s="63"/>
    </row>
    <row r="37" spans="1:14">
      <c r="A37" s="43"/>
      <c r="B37" s="43"/>
      <c r="C37" s="36" t="s">
        <v>85</v>
      </c>
      <c r="D37" s="43"/>
      <c r="E37" s="51">
        <f t="shared" si="0"/>
        <v>0</v>
      </c>
      <c r="F37" s="52"/>
      <c r="G37" s="52"/>
      <c r="H37" s="52"/>
      <c r="I37" s="51" cm="1">
        <f t="array" ref="I37">_xlfn.SWITCH(D37,"C-Flute",(F37+G37)*2+15,"BC-Flute",(F37+G37)*2+11,0)</f>
        <v>0</v>
      </c>
      <c r="J37" s="51" cm="1">
        <f t="array" ref="J37">_xlfn.SWITCH(D37,"C-Flute",(G37+H37)-10,"BC-Flute",(G37+H37)-16,0)</f>
        <v>0</v>
      </c>
      <c r="K37" s="53">
        <f t="shared" si="1"/>
        <v>0</v>
      </c>
      <c r="L37" s="54">
        <f t="shared" si="2"/>
        <v>0</v>
      </c>
      <c r="M37" s="55">
        <f t="shared" si="3"/>
        <v>0</v>
      </c>
      <c r="N37" s="63"/>
    </row>
    <row r="38" spans="1:14">
      <c r="A38" s="43"/>
      <c r="B38" s="43"/>
      <c r="C38" s="36" t="s">
        <v>85</v>
      </c>
      <c r="D38" s="43"/>
      <c r="E38" s="51">
        <f t="shared" si="0"/>
        <v>0</v>
      </c>
      <c r="F38" s="52"/>
      <c r="G38" s="52"/>
      <c r="H38" s="52"/>
      <c r="I38" s="51" cm="1">
        <f t="array" ref="I38">_xlfn.SWITCH(D38,"C-Flute",(F38+G38)*2+15,"BC-Flute",(F38+G38)*2+11,0)</f>
        <v>0</v>
      </c>
      <c r="J38" s="51" cm="1">
        <f t="array" ref="J38">_xlfn.SWITCH(D38,"C-Flute",(G38+H38)-10,"BC-Flute",(G38+H38)-16,0)</f>
        <v>0</v>
      </c>
      <c r="K38" s="53">
        <f t="shared" si="1"/>
        <v>0</v>
      </c>
      <c r="L38" s="54">
        <f t="shared" si="2"/>
        <v>0</v>
      </c>
      <c r="M38" s="55">
        <f t="shared" si="3"/>
        <v>0</v>
      </c>
      <c r="N38" s="63"/>
    </row>
    <row r="39" spans="1:14">
      <c r="A39" s="43"/>
      <c r="B39" s="43"/>
      <c r="C39" s="36" t="s">
        <v>85</v>
      </c>
      <c r="D39" s="43"/>
      <c r="E39" s="51">
        <f t="shared" si="0"/>
        <v>0</v>
      </c>
      <c r="F39" s="52"/>
      <c r="G39" s="52"/>
      <c r="H39" s="52"/>
      <c r="I39" s="51" cm="1">
        <f t="array" ref="I39">_xlfn.SWITCH(D39,"C-Flute",(F39+G39)*2+15,"BC-Flute",(F39+G39)*2+11,0)</f>
        <v>0</v>
      </c>
      <c r="J39" s="51" cm="1">
        <f t="array" ref="J39">_xlfn.SWITCH(D39,"C-Flute",(G39+H39)-10,"BC-Flute",(G39+H39)-16,0)</f>
        <v>0</v>
      </c>
      <c r="K39" s="53">
        <f t="shared" si="1"/>
        <v>0</v>
      </c>
      <c r="L39" s="54">
        <f t="shared" si="2"/>
        <v>0</v>
      </c>
      <c r="M39" s="55">
        <f t="shared" si="3"/>
        <v>0</v>
      </c>
      <c r="N39" s="63"/>
    </row>
    <row r="40" spans="1:14">
      <c r="A40" s="43"/>
      <c r="B40" s="43"/>
      <c r="C40" s="36" t="s">
        <v>85</v>
      </c>
      <c r="D40" s="43"/>
      <c r="E40" s="51">
        <f t="shared" si="0"/>
        <v>0</v>
      </c>
      <c r="F40" s="52"/>
      <c r="G40" s="52"/>
      <c r="H40" s="52"/>
      <c r="I40" s="51" cm="1">
        <f t="array" ref="I40">_xlfn.SWITCH(D40,"C-Flute",(F40+G40)*2+15,"BC-Flute",(F40+G40)*2+11,0)</f>
        <v>0</v>
      </c>
      <c r="J40" s="51" cm="1">
        <f t="array" ref="J40">_xlfn.SWITCH(D40,"C-Flute",(G40+H40)-10,"BC-Flute",(G40+H40)-16,0)</f>
        <v>0</v>
      </c>
      <c r="K40" s="53">
        <f t="shared" si="1"/>
        <v>0</v>
      </c>
      <c r="L40" s="54">
        <f t="shared" si="2"/>
        <v>0</v>
      </c>
      <c r="M40" s="55">
        <f t="shared" si="3"/>
        <v>0</v>
      </c>
      <c r="N40" s="63"/>
    </row>
    <row r="41" spans="1:14">
      <c r="A41" s="43"/>
      <c r="B41" s="43"/>
      <c r="C41" s="36" t="s">
        <v>85</v>
      </c>
      <c r="D41" s="43"/>
      <c r="E41" s="51">
        <f t="shared" si="0"/>
        <v>0</v>
      </c>
      <c r="F41" s="52"/>
      <c r="G41" s="52"/>
      <c r="H41" s="52"/>
      <c r="I41" s="51" cm="1">
        <f t="array" ref="I41">_xlfn.SWITCH(D41,"C-Flute",(F41+G41)*2+15,"BC-Flute",(F41+G41)*2+11,0)</f>
        <v>0</v>
      </c>
      <c r="J41" s="51" cm="1">
        <f t="array" ref="J41">_xlfn.SWITCH(D41,"C-Flute",(G41+H41)-10,"BC-Flute",(G41+H41)-16,0)</f>
        <v>0</v>
      </c>
      <c r="K41" s="53">
        <f t="shared" si="1"/>
        <v>0</v>
      </c>
      <c r="L41" s="54">
        <f t="shared" si="2"/>
        <v>0</v>
      </c>
      <c r="M41" s="55">
        <f t="shared" si="3"/>
        <v>0</v>
      </c>
      <c r="N41" s="63"/>
    </row>
    <row r="42" spans="1:14">
      <c r="A42" s="43"/>
      <c r="B42" s="43"/>
      <c r="C42" s="36" t="s">
        <v>85</v>
      </c>
      <c r="D42" s="43"/>
      <c r="E42" s="51">
        <f t="shared" si="0"/>
        <v>0</v>
      </c>
      <c r="F42" s="52"/>
      <c r="G42" s="52"/>
      <c r="H42" s="52"/>
      <c r="I42" s="51" cm="1">
        <f t="array" ref="I42">_xlfn.SWITCH(D42,"C-Flute",(F42+G42)*2+15,"BC-Flute",(F42+G42)*2+11,0)</f>
        <v>0</v>
      </c>
      <c r="J42" s="51" cm="1">
        <f t="array" ref="J42">_xlfn.SWITCH(D42,"C-Flute",(G42+H42)-10,"BC-Flute",(G42+H42)-16,0)</f>
        <v>0</v>
      </c>
      <c r="K42" s="53">
        <f t="shared" si="1"/>
        <v>0</v>
      </c>
      <c r="L42" s="54">
        <f t="shared" si="2"/>
        <v>0</v>
      </c>
      <c r="M42" s="55">
        <f t="shared" si="3"/>
        <v>0</v>
      </c>
      <c r="N42" s="63"/>
    </row>
    <row r="43" spans="1:14">
      <c r="A43" s="43"/>
      <c r="B43" s="43"/>
      <c r="C43" s="36" t="s">
        <v>85</v>
      </c>
      <c r="D43" s="43"/>
      <c r="E43" s="51">
        <f t="shared" si="0"/>
        <v>0</v>
      </c>
      <c r="F43" s="52"/>
      <c r="G43" s="52"/>
      <c r="H43" s="52"/>
      <c r="I43" s="51" cm="1">
        <f t="array" ref="I43">_xlfn.SWITCH(D43,"C-Flute",(F43+G43)*2+15,"BC-Flute",(F43+G43)*2+11,0)</f>
        <v>0</v>
      </c>
      <c r="J43" s="51" cm="1">
        <f t="array" ref="J43">_xlfn.SWITCH(D43,"C-Flute",(G43+H43)-10,"BC-Flute",(G43+H43)-16,0)</f>
        <v>0</v>
      </c>
      <c r="K43" s="53">
        <f t="shared" si="1"/>
        <v>0</v>
      </c>
      <c r="L43" s="54">
        <f t="shared" si="2"/>
        <v>0</v>
      </c>
      <c r="M43" s="55">
        <f t="shared" si="3"/>
        <v>0</v>
      </c>
      <c r="N43" s="63"/>
    </row>
    <row r="44" spans="1:14">
      <c r="A44" s="43"/>
      <c r="B44" s="43"/>
      <c r="C44" s="36" t="s">
        <v>85</v>
      </c>
      <c r="D44" s="43"/>
      <c r="E44" s="51">
        <f t="shared" si="0"/>
        <v>0</v>
      </c>
      <c r="F44" s="52"/>
      <c r="G44" s="52"/>
      <c r="H44" s="52"/>
      <c r="I44" s="51" cm="1">
        <f t="array" ref="I44">_xlfn.SWITCH(D44,"C-Flute",(F44+G44)*2+15,"BC-Flute",(F44+G44)*2+11,0)</f>
        <v>0</v>
      </c>
      <c r="J44" s="51" cm="1">
        <f t="array" ref="J44">_xlfn.SWITCH(D44,"C-Flute",(G44+H44)-10,"BC-Flute",(G44+H44)-16,0)</f>
        <v>0</v>
      </c>
      <c r="K44" s="53">
        <f t="shared" si="1"/>
        <v>0</v>
      </c>
      <c r="L44" s="54">
        <f t="shared" si="2"/>
        <v>0</v>
      </c>
      <c r="M44" s="55">
        <f t="shared" si="3"/>
        <v>0</v>
      </c>
      <c r="N44" s="63"/>
    </row>
    <row r="45" spans="1:14">
      <c r="A45" s="43"/>
      <c r="B45" s="43"/>
      <c r="C45" s="36" t="s">
        <v>85</v>
      </c>
      <c r="D45" s="43"/>
      <c r="E45" s="51">
        <f t="shared" si="0"/>
        <v>0</v>
      </c>
      <c r="F45" s="52"/>
      <c r="G45" s="52"/>
      <c r="H45" s="52"/>
      <c r="I45" s="51" cm="1">
        <f t="array" ref="I45">_xlfn.SWITCH(D45,"C-Flute",(F45+G45)*2+15,"BC-Flute",(F45+G45)*2+11,0)</f>
        <v>0</v>
      </c>
      <c r="J45" s="51" cm="1">
        <f t="array" ref="J45">_xlfn.SWITCH(D45,"C-Flute",(G45+H45)-10,"BC-Flute",(G45+H45)-16,0)</f>
        <v>0</v>
      </c>
      <c r="K45" s="53">
        <f t="shared" si="1"/>
        <v>0</v>
      </c>
      <c r="L45" s="54">
        <f t="shared" si="2"/>
        <v>0</v>
      </c>
      <c r="M45" s="55">
        <f t="shared" si="3"/>
        <v>0</v>
      </c>
      <c r="N45" s="63"/>
    </row>
    <row r="46" spans="1:14">
      <c r="A46" s="43"/>
      <c r="B46" s="43"/>
      <c r="C46" s="36" t="s">
        <v>85</v>
      </c>
      <c r="D46" s="43"/>
      <c r="E46" s="51">
        <f t="shared" si="0"/>
        <v>0</v>
      </c>
      <c r="F46" s="52"/>
      <c r="G46" s="52"/>
      <c r="H46" s="52"/>
      <c r="I46" s="51" cm="1">
        <f t="array" ref="I46">_xlfn.SWITCH(D46,"C-Flute",(F46+G46)*2+15,"BC-Flute",(F46+G46)*2+11,0)</f>
        <v>0</v>
      </c>
      <c r="J46" s="51" cm="1">
        <f t="array" ref="J46">_xlfn.SWITCH(D46,"C-Flute",(G46+H46)-10,"BC-Flute",(G46+H46)-16,0)</f>
        <v>0</v>
      </c>
      <c r="K46" s="53">
        <f t="shared" si="1"/>
        <v>0</v>
      </c>
      <c r="L46" s="54">
        <f t="shared" si="2"/>
        <v>0</v>
      </c>
      <c r="M46" s="55">
        <f t="shared" si="3"/>
        <v>0</v>
      </c>
      <c r="N46" s="63"/>
    </row>
    <row r="47" spans="1:14">
      <c r="A47" s="43"/>
      <c r="B47" s="43"/>
      <c r="C47" s="36" t="s">
        <v>85</v>
      </c>
      <c r="D47" s="43"/>
      <c r="E47" s="51">
        <f t="shared" si="0"/>
        <v>0</v>
      </c>
      <c r="F47" s="52"/>
      <c r="G47" s="52"/>
      <c r="H47" s="52"/>
      <c r="I47" s="51" cm="1">
        <f t="array" ref="I47">_xlfn.SWITCH(D47,"C-Flute",(F47+G47)*2+15,"BC-Flute",(F47+G47)*2+11,0)</f>
        <v>0</v>
      </c>
      <c r="J47" s="51" cm="1">
        <f t="array" ref="J47">_xlfn.SWITCH(D47,"C-Flute",(G47+H47)-10,"BC-Flute",(G47+H47)-16,0)</f>
        <v>0</v>
      </c>
      <c r="K47" s="53">
        <f t="shared" si="1"/>
        <v>0</v>
      </c>
      <c r="L47" s="54">
        <f t="shared" si="2"/>
        <v>0</v>
      </c>
      <c r="M47" s="55">
        <f t="shared" si="3"/>
        <v>0</v>
      </c>
      <c r="N47" s="63"/>
    </row>
    <row r="48" spans="1:14">
      <c r="A48" s="43"/>
      <c r="B48" s="43"/>
      <c r="C48" s="36" t="s">
        <v>85</v>
      </c>
      <c r="D48" s="43"/>
      <c r="E48" s="51">
        <f t="shared" si="0"/>
        <v>0</v>
      </c>
      <c r="F48" s="52"/>
      <c r="G48" s="52"/>
      <c r="H48" s="52"/>
      <c r="I48" s="51" cm="1">
        <f t="array" ref="I48">_xlfn.SWITCH(D48,"C-Flute",(F48+G48)*2+15,"BC-Flute",(F48+G48)*2+11,0)</f>
        <v>0</v>
      </c>
      <c r="J48" s="51" cm="1">
        <f t="array" ref="J48">_xlfn.SWITCH(D48,"C-Flute",(G48+H48)-10,"BC-Flute",(G48+H48)-16,0)</f>
        <v>0</v>
      </c>
      <c r="K48" s="53">
        <f t="shared" si="1"/>
        <v>0</v>
      </c>
      <c r="L48" s="54">
        <f t="shared" si="2"/>
        <v>0</v>
      </c>
      <c r="M48" s="55">
        <f t="shared" si="3"/>
        <v>0</v>
      </c>
      <c r="N48" s="63"/>
    </row>
    <row r="49" spans="1:14">
      <c r="A49" s="43"/>
      <c r="B49" s="43"/>
      <c r="C49" s="36" t="s">
        <v>85</v>
      </c>
      <c r="D49" s="43"/>
      <c r="E49" s="51">
        <f t="shared" si="0"/>
        <v>0</v>
      </c>
      <c r="F49" s="52"/>
      <c r="G49" s="52"/>
      <c r="H49" s="52"/>
      <c r="I49" s="51" cm="1">
        <f t="array" ref="I49">_xlfn.SWITCH(D49,"C-Flute",(F49+G49)*2+15,"BC-Flute",(F49+G49)*2+11,0)</f>
        <v>0</v>
      </c>
      <c r="J49" s="51" cm="1">
        <f t="array" ref="J49">_xlfn.SWITCH(D49,"C-Flute",(G49+H49)-10,"BC-Flute",(G49+H49)-16,0)</f>
        <v>0</v>
      </c>
      <c r="K49" s="53">
        <f t="shared" si="1"/>
        <v>0</v>
      </c>
      <c r="L49" s="54">
        <f t="shared" si="2"/>
        <v>0</v>
      </c>
      <c r="M49" s="55">
        <f t="shared" si="3"/>
        <v>0</v>
      </c>
      <c r="N49" s="63"/>
    </row>
    <row r="50" spans="1:14">
      <c r="A50" s="43"/>
      <c r="B50" s="43"/>
      <c r="C50" s="36" t="s">
        <v>85</v>
      </c>
      <c r="D50" s="43"/>
      <c r="E50" s="51">
        <f t="shared" si="0"/>
        <v>0</v>
      </c>
      <c r="F50" s="52"/>
      <c r="G50" s="52"/>
      <c r="H50" s="52"/>
      <c r="I50" s="51" cm="1">
        <f t="array" ref="I50">_xlfn.SWITCH(D50,"C-Flute",(F50+G50)*2+15,"BC-Flute",(F50+G50)*2+11,0)</f>
        <v>0</v>
      </c>
      <c r="J50" s="51" cm="1">
        <f t="array" ref="J50">_xlfn.SWITCH(D50,"C-Flute",(G50+H50)-10,"BC-Flute",(G50+H50)-16,0)</f>
        <v>0</v>
      </c>
      <c r="K50" s="53">
        <f t="shared" si="1"/>
        <v>0</v>
      </c>
      <c r="L50" s="54">
        <f t="shared" si="2"/>
        <v>0</v>
      </c>
      <c r="M50" s="55">
        <f t="shared" si="3"/>
        <v>0</v>
      </c>
      <c r="N50" s="63"/>
    </row>
    <row r="51" spans="1:14">
      <c r="A51" s="43"/>
      <c r="B51" s="43"/>
      <c r="C51" s="36" t="s">
        <v>85</v>
      </c>
      <c r="D51" s="43"/>
      <c r="E51" s="51">
        <f t="shared" si="0"/>
        <v>0</v>
      </c>
      <c r="F51" s="52"/>
      <c r="G51" s="52"/>
      <c r="H51" s="52"/>
      <c r="I51" s="51" cm="1">
        <f t="array" ref="I51">_xlfn.SWITCH(D51,"C-Flute",(F51+G51)*2+15,"BC-Flute",(F51+G51)*2+11,0)</f>
        <v>0</v>
      </c>
      <c r="J51" s="51" cm="1">
        <f t="array" ref="J51">_xlfn.SWITCH(D51,"C-Flute",(G51+H51)-10,"BC-Flute",(G51+H51)-16,0)</f>
        <v>0</v>
      </c>
      <c r="K51" s="53">
        <f t="shared" si="1"/>
        <v>0</v>
      </c>
      <c r="L51" s="54">
        <f t="shared" si="2"/>
        <v>0</v>
      </c>
      <c r="M51" s="55">
        <f t="shared" si="3"/>
        <v>0</v>
      </c>
      <c r="N51" s="63"/>
    </row>
    <row r="52" spans="1:14">
      <c r="A52" s="43"/>
      <c r="B52" s="43"/>
      <c r="C52" s="36" t="s">
        <v>85</v>
      </c>
      <c r="D52" s="43"/>
      <c r="E52" s="51">
        <f t="shared" si="0"/>
        <v>0</v>
      </c>
      <c r="F52" s="52"/>
      <c r="G52" s="52"/>
      <c r="H52" s="52"/>
      <c r="I52" s="51" cm="1">
        <f t="array" ref="I52">_xlfn.SWITCH(D52,"C-Flute",(F52+G52)*2+15,"BC-Flute",(F52+G52)*2+11,0)</f>
        <v>0</v>
      </c>
      <c r="J52" s="51" cm="1">
        <f t="array" ref="J52">_xlfn.SWITCH(D52,"C-Flute",(G52+H52)-10,"BC-Flute",(G52+H52)-16,0)</f>
        <v>0</v>
      </c>
      <c r="K52" s="53">
        <f t="shared" si="1"/>
        <v>0</v>
      </c>
      <c r="L52" s="54">
        <f t="shared" si="2"/>
        <v>0</v>
      </c>
      <c r="M52" s="55">
        <f t="shared" si="3"/>
        <v>0</v>
      </c>
      <c r="N52" s="63"/>
    </row>
    <row r="53" spans="1:14">
      <c r="A53" s="43"/>
      <c r="B53" s="43"/>
      <c r="C53" s="36" t="s">
        <v>85</v>
      </c>
      <c r="D53" s="43"/>
      <c r="E53" s="51">
        <f t="shared" si="0"/>
        <v>0</v>
      </c>
      <c r="F53" s="52"/>
      <c r="G53" s="52"/>
      <c r="H53" s="52"/>
      <c r="I53" s="51" cm="1">
        <f t="array" ref="I53">_xlfn.SWITCH(D53,"C-Flute",(F53+G53)*2+15,"BC-Flute",(F53+G53)*2+11,0)</f>
        <v>0</v>
      </c>
      <c r="J53" s="51" cm="1">
        <f t="array" ref="J53">_xlfn.SWITCH(D53,"C-Flute",(G53+H53)-10,"BC-Flute",(G53+H53)-16,0)</f>
        <v>0</v>
      </c>
      <c r="K53" s="53">
        <f t="shared" si="1"/>
        <v>0</v>
      </c>
      <c r="L53" s="54">
        <f t="shared" si="2"/>
        <v>0</v>
      </c>
      <c r="M53" s="55">
        <f t="shared" si="3"/>
        <v>0</v>
      </c>
      <c r="N53" s="63"/>
    </row>
    <row r="54" spans="1:14">
      <c r="A54" s="43"/>
      <c r="B54" s="43"/>
      <c r="C54" s="36" t="s">
        <v>85</v>
      </c>
      <c r="D54" s="43"/>
      <c r="E54" s="51">
        <f t="shared" si="0"/>
        <v>0</v>
      </c>
      <c r="F54" s="52"/>
      <c r="G54" s="52"/>
      <c r="H54" s="52"/>
      <c r="I54" s="51" cm="1">
        <f t="array" ref="I54">_xlfn.SWITCH(D54,"C-Flute",(F54+G54)*2+15,"BC-Flute",(F54+G54)*2+11,0)</f>
        <v>0</v>
      </c>
      <c r="J54" s="51" cm="1">
        <f t="array" ref="J54">_xlfn.SWITCH(D54,"C-Flute",(G54+H54)-10,"BC-Flute",(G54+H54)-16,0)</f>
        <v>0</v>
      </c>
      <c r="K54" s="53">
        <f t="shared" si="1"/>
        <v>0</v>
      </c>
      <c r="L54" s="54">
        <f t="shared" si="2"/>
        <v>0</v>
      </c>
      <c r="M54" s="55">
        <f t="shared" si="3"/>
        <v>0</v>
      </c>
      <c r="N54" s="63"/>
    </row>
    <row r="55" spans="1:14">
      <c r="A55" s="43"/>
      <c r="B55" s="43"/>
      <c r="C55" s="36" t="s">
        <v>85</v>
      </c>
      <c r="D55" s="43"/>
      <c r="E55" s="51">
        <f t="shared" si="0"/>
        <v>0</v>
      </c>
      <c r="F55" s="52"/>
      <c r="G55" s="52"/>
      <c r="H55" s="52"/>
      <c r="I55" s="51" cm="1">
        <f t="array" ref="I55">_xlfn.SWITCH(D55,"C-Flute",(F55+G55)*2+15,"BC-Flute",(F55+G55)*2+11,0)</f>
        <v>0</v>
      </c>
      <c r="J55" s="51" cm="1">
        <f t="array" ref="J55">_xlfn.SWITCH(D55,"C-Flute",(G55+H55)-10,"BC-Flute",(G55+H55)-16,0)</f>
        <v>0</v>
      </c>
      <c r="K55" s="53">
        <f t="shared" si="1"/>
        <v>0</v>
      </c>
      <c r="L55" s="54">
        <f t="shared" si="2"/>
        <v>0</v>
      </c>
      <c r="M55" s="55">
        <f t="shared" si="3"/>
        <v>0</v>
      </c>
      <c r="N55" s="63"/>
    </row>
    <row r="56" spans="1:14">
      <c r="A56" s="43"/>
      <c r="B56" s="43"/>
      <c r="C56" s="36" t="s">
        <v>85</v>
      </c>
      <c r="D56" s="43"/>
      <c r="E56" s="51">
        <f t="shared" si="0"/>
        <v>0</v>
      </c>
      <c r="F56" s="52"/>
      <c r="G56" s="52"/>
      <c r="H56" s="52"/>
      <c r="I56" s="51" cm="1">
        <f t="array" ref="I56">_xlfn.SWITCH(D56,"C-Flute",(F56+G56)*2+15,"BC-Flute",(F56+G56)*2+11,0)</f>
        <v>0</v>
      </c>
      <c r="J56" s="51" cm="1">
        <f t="array" ref="J56">_xlfn.SWITCH(D56,"C-Flute",(G56+H56)-10,"BC-Flute",(G56+H56)-16,0)</f>
        <v>0</v>
      </c>
      <c r="K56" s="53">
        <f t="shared" si="1"/>
        <v>0</v>
      </c>
      <c r="L56" s="54">
        <f t="shared" si="2"/>
        <v>0</v>
      </c>
      <c r="M56" s="55">
        <f t="shared" si="3"/>
        <v>0</v>
      </c>
      <c r="N56" s="63"/>
    </row>
    <row r="57" spans="1:14">
      <c r="A57" s="43"/>
      <c r="B57" s="43"/>
      <c r="C57" s="36" t="s">
        <v>85</v>
      </c>
      <c r="D57" s="43"/>
      <c r="E57" s="51">
        <f t="shared" si="0"/>
        <v>0</v>
      </c>
      <c r="F57" s="52"/>
      <c r="G57" s="52"/>
      <c r="H57" s="52"/>
      <c r="I57" s="51" cm="1">
        <f t="array" ref="I57">_xlfn.SWITCH(D57,"C-Flute",(F57+G57)*2+15,"BC-Flute",(F57+G57)*2+11,0)</f>
        <v>0</v>
      </c>
      <c r="J57" s="51" cm="1">
        <f t="array" ref="J57">_xlfn.SWITCH(D57,"C-Flute",(G57+H57)-10,"BC-Flute",(G57+H57)-16,0)</f>
        <v>0</v>
      </c>
      <c r="K57" s="53">
        <f t="shared" si="1"/>
        <v>0</v>
      </c>
      <c r="L57" s="54">
        <f t="shared" si="2"/>
        <v>0</v>
      </c>
      <c r="M57" s="55">
        <f t="shared" si="3"/>
        <v>0</v>
      </c>
      <c r="N57" s="63"/>
    </row>
    <row r="58" spans="1:14">
      <c r="A58" s="43"/>
      <c r="B58" s="43"/>
      <c r="C58" s="36" t="s">
        <v>85</v>
      </c>
      <c r="D58" s="43"/>
      <c r="E58" s="51">
        <f t="shared" si="0"/>
        <v>0</v>
      </c>
      <c r="F58" s="52"/>
      <c r="G58" s="52"/>
      <c r="H58" s="52"/>
      <c r="I58" s="51" cm="1">
        <f t="array" ref="I58">_xlfn.SWITCH(D58,"C-Flute",(F58+G58)*2+15,"BC-Flute",(F58+G58)*2+11,0)</f>
        <v>0</v>
      </c>
      <c r="J58" s="51" cm="1">
        <f t="array" ref="J58">_xlfn.SWITCH(D58,"C-Flute",(G58+H58)-10,"BC-Flute",(G58+H58)-16,0)</f>
        <v>0</v>
      </c>
      <c r="K58" s="53">
        <f t="shared" si="1"/>
        <v>0</v>
      </c>
      <c r="L58" s="54">
        <f t="shared" si="2"/>
        <v>0</v>
      </c>
      <c r="M58" s="55">
        <f t="shared" si="3"/>
        <v>0</v>
      </c>
      <c r="N58" s="63"/>
    </row>
    <row r="59" spans="1:14">
      <c r="A59" s="43"/>
      <c r="B59" s="43"/>
      <c r="C59" s="36" t="s">
        <v>85</v>
      </c>
      <c r="D59" s="43"/>
      <c r="E59" s="51">
        <f t="shared" si="0"/>
        <v>0</v>
      </c>
      <c r="F59" s="52"/>
      <c r="G59" s="52"/>
      <c r="H59" s="52"/>
      <c r="I59" s="51" cm="1">
        <f t="array" ref="I59">_xlfn.SWITCH(D59,"C-Flute",(F59+G59)*2+15,"BC-Flute",(F59+G59)*2+11,0)</f>
        <v>0</v>
      </c>
      <c r="J59" s="51" cm="1">
        <f t="array" ref="J59">_xlfn.SWITCH(D59,"C-Flute",(G59+H59)-10,"BC-Flute",(G59+H59)-16,0)</f>
        <v>0</v>
      </c>
      <c r="K59" s="53">
        <f t="shared" si="1"/>
        <v>0</v>
      </c>
      <c r="L59" s="54">
        <f t="shared" si="2"/>
        <v>0</v>
      </c>
      <c r="M59" s="55">
        <f t="shared" si="3"/>
        <v>0</v>
      </c>
      <c r="N59" s="63"/>
    </row>
    <row r="60" spans="1:14">
      <c r="A60" s="43"/>
      <c r="B60" s="43"/>
      <c r="C60" s="36" t="s">
        <v>85</v>
      </c>
      <c r="D60" s="43"/>
      <c r="E60" s="51">
        <f t="shared" si="0"/>
        <v>0</v>
      </c>
      <c r="F60" s="52"/>
      <c r="G60" s="52"/>
      <c r="H60" s="52"/>
      <c r="I60" s="51" cm="1">
        <f t="array" ref="I60">_xlfn.SWITCH(D60,"C-Flute",(F60+G60)*2+15,"BC-Flute",(F60+G60)*2+11,0)</f>
        <v>0</v>
      </c>
      <c r="J60" s="51" cm="1">
        <f t="array" ref="J60">_xlfn.SWITCH(D60,"C-Flute",(G60+H60)-10,"BC-Flute",(G60+H60)-16,0)</f>
        <v>0</v>
      </c>
      <c r="K60" s="53">
        <f t="shared" si="1"/>
        <v>0</v>
      </c>
      <c r="L60" s="54">
        <f t="shared" si="2"/>
        <v>0</v>
      </c>
      <c r="M60" s="55">
        <f t="shared" si="3"/>
        <v>0</v>
      </c>
      <c r="N60" s="63"/>
    </row>
    <row r="61" spans="1:14">
      <c r="A61" s="43"/>
      <c r="B61" s="43"/>
      <c r="C61" s="36" t="s">
        <v>85</v>
      </c>
      <c r="D61" s="43"/>
      <c r="E61" s="51">
        <f t="shared" si="0"/>
        <v>0</v>
      </c>
      <c r="F61" s="52"/>
      <c r="G61" s="52"/>
      <c r="H61" s="52"/>
      <c r="I61" s="51" cm="1">
        <f t="array" ref="I61">_xlfn.SWITCH(D61,"C-Flute",(F61+G61)*2+15,"BC-Flute",(F61+G61)*2+11,0)</f>
        <v>0</v>
      </c>
      <c r="J61" s="51" cm="1">
        <f t="array" ref="J61">_xlfn.SWITCH(D61,"C-Flute",(G61+H61)-10,"BC-Flute",(G61+H61)-16,0)</f>
        <v>0</v>
      </c>
      <c r="K61" s="53">
        <f t="shared" si="1"/>
        <v>0</v>
      </c>
      <c r="L61" s="54">
        <f t="shared" si="2"/>
        <v>0</v>
      </c>
      <c r="M61" s="55">
        <f t="shared" si="3"/>
        <v>0</v>
      </c>
      <c r="N61" s="63"/>
    </row>
    <row r="62" spans="1:14">
      <c r="A62" s="43"/>
      <c r="B62" s="43"/>
      <c r="C62" s="36" t="s">
        <v>85</v>
      </c>
      <c r="D62" s="43"/>
      <c r="E62" s="51">
        <f t="shared" si="0"/>
        <v>0</v>
      </c>
      <c r="F62" s="52"/>
      <c r="G62" s="52"/>
      <c r="H62" s="52"/>
      <c r="I62" s="51" cm="1">
        <f t="array" ref="I62">_xlfn.SWITCH(D62,"C-Flute",(F62+G62)*2+15,"BC-Flute",(F62+G62)*2+11,0)</f>
        <v>0</v>
      </c>
      <c r="J62" s="51" cm="1">
        <f t="array" ref="J62">_xlfn.SWITCH(D62,"C-Flute",(G62+H62)-10,"BC-Flute",(G62+H62)-16,0)</f>
        <v>0</v>
      </c>
      <c r="K62" s="53">
        <f t="shared" si="1"/>
        <v>0</v>
      </c>
      <c r="L62" s="54">
        <f t="shared" si="2"/>
        <v>0</v>
      </c>
      <c r="M62" s="55">
        <f t="shared" si="3"/>
        <v>0</v>
      </c>
      <c r="N62" s="63"/>
    </row>
    <row r="63" spans="1:14">
      <c r="A63" s="43"/>
      <c r="B63" s="43"/>
      <c r="C63" s="36" t="s">
        <v>85</v>
      </c>
      <c r="D63" s="43"/>
      <c r="E63" s="51">
        <f t="shared" si="0"/>
        <v>0</v>
      </c>
      <c r="F63" s="52"/>
      <c r="G63" s="52"/>
      <c r="H63" s="52"/>
      <c r="I63" s="51" cm="1">
        <f t="array" ref="I63">_xlfn.SWITCH(D63,"C-Flute",(F63+G63)*2+15,"BC-Flute",(F63+G63)*2+11,0)</f>
        <v>0</v>
      </c>
      <c r="J63" s="51" cm="1">
        <f t="array" ref="J63">_xlfn.SWITCH(D63,"C-Flute",(G63+H63)-10,"BC-Flute",(G63+H63)-16,0)</f>
        <v>0</v>
      </c>
      <c r="K63" s="53">
        <f t="shared" si="1"/>
        <v>0</v>
      </c>
      <c r="L63" s="54">
        <f t="shared" si="2"/>
        <v>0</v>
      </c>
      <c r="M63" s="55">
        <f t="shared" si="3"/>
        <v>0</v>
      </c>
      <c r="N63" s="63"/>
    </row>
    <row r="64" spans="1:14">
      <c r="A64" s="43"/>
      <c r="B64" s="43"/>
      <c r="C64" s="36" t="s">
        <v>85</v>
      </c>
      <c r="D64" s="43"/>
      <c r="E64" s="51">
        <f t="shared" si="0"/>
        <v>0</v>
      </c>
      <c r="F64" s="52"/>
      <c r="G64" s="52"/>
      <c r="H64" s="52"/>
      <c r="I64" s="51" cm="1">
        <f t="array" ref="I64">_xlfn.SWITCH(D64,"C-Flute",(F64+G64)*2+15,"BC-Flute",(F64+G64)*2+11,0)</f>
        <v>0</v>
      </c>
      <c r="J64" s="51" cm="1">
        <f t="array" ref="J64">_xlfn.SWITCH(D64,"C-Flute",(G64+H64)-10,"BC-Flute",(G64+H64)-16,0)</f>
        <v>0</v>
      </c>
      <c r="K64" s="53">
        <f t="shared" si="1"/>
        <v>0</v>
      </c>
      <c r="L64" s="54">
        <f t="shared" si="2"/>
        <v>0</v>
      </c>
      <c r="M64" s="55">
        <f t="shared" si="3"/>
        <v>0</v>
      </c>
      <c r="N64" s="63"/>
    </row>
    <row r="65" spans="1:14">
      <c r="A65" s="43"/>
      <c r="B65" s="43"/>
      <c r="C65" s="36" t="s">
        <v>85</v>
      </c>
      <c r="D65" s="43"/>
      <c r="E65" s="51">
        <f t="shared" si="0"/>
        <v>0</v>
      </c>
      <c r="F65" s="52"/>
      <c r="G65" s="52"/>
      <c r="H65" s="52"/>
      <c r="I65" s="51" cm="1">
        <f t="array" ref="I65">_xlfn.SWITCH(D65,"C-Flute",(F65+G65)*2+15,"BC-Flute",(F65+G65)*2+11,0)</f>
        <v>0</v>
      </c>
      <c r="J65" s="51" cm="1">
        <f t="array" ref="J65">_xlfn.SWITCH(D65,"C-Flute",(G65+H65)-10,"BC-Flute",(G65+H65)-16,0)</f>
        <v>0</v>
      </c>
      <c r="K65" s="53">
        <f t="shared" si="1"/>
        <v>0</v>
      </c>
      <c r="L65" s="54">
        <f t="shared" si="2"/>
        <v>0</v>
      </c>
      <c r="M65" s="55">
        <f t="shared" si="3"/>
        <v>0</v>
      </c>
      <c r="N65" s="63"/>
    </row>
    <row r="66" spans="1:14">
      <c r="A66" s="43"/>
      <c r="B66" s="43"/>
      <c r="C66" s="36" t="s">
        <v>85</v>
      </c>
      <c r="D66" s="43"/>
      <c r="E66" s="51">
        <f t="shared" si="0"/>
        <v>0</v>
      </c>
      <c r="F66" s="52"/>
      <c r="G66" s="52"/>
      <c r="H66" s="52"/>
      <c r="I66" s="51" cm="1">
        <f t="array" ref="I66">_xlfn.SWITCH(D66,"C-Flute",(F66+G66)*2+15,"BC-Flute",(F66+G66)*2+11,0)</f>
        <v>0</v>
      </c>
      <c r="J66" s="51" cm="1">
        <f t="array" ref="J66">_xlfn.SWITCH(D66,"C-Flute",(G66+H66)-10,"BC-Flute",(G66+H66)-16,0)</f>
        <v>0</v>
      </c>
      <c r="K66" s="53">
        <f t="shared" si="1"/>
        <v>0</v>
      </c>
      <c r="L66" s="54">
        <f t="shared" si="2"/>
        <v>0</v>
      </c>
      <c r="M66" s="55">
        <f t="shared" si="3"/>
        <v>0</v>
      </c>
      <c r="N66" s="63"/>
    </row>
    <row r="67" spans="1:14">
      <c r="A67" s="43"/>
      <c r="B67" s="43"/>
      <c r="C67" s="36" t="s">
        <v>85</v>
      </c>
      <c r="D67" s="43"/>
      <c r="E67" s="51">
        <f t="shared" si="0"/>
        <v>0</v>
      </c>
      <c r="F67" s="52"/>
      <c r="G67" s="52"/>
      <c r="H67" s="52"/>
      <c r="I67" s="51" cm="1">
        <f t="array" ref="I67">_xlfn.SWITCH(D67,"C-Flute",(F67+G67)*2+15,"BC-Flute",(F67+G67)*2+11,0)</f>
        <v>0</v>
      </c>
      <c r="J67" s="51" cm="1">
        <f t="array" ref="J67">_xlfn.SWITCH(D67,"C-Flute",(G67+H67)-10,"BC-Flute",(G67+H67)-16,0)</f>
        <v>0</v>
      </c>
      <c r="K67" s="53">
        <f t="shared" si="1"/>
        <v>0</v>
      </c>
      <c r="L67" s="54">
        <f t="shared" si="2"/>
        <v>0</v>
      </c>
      <c r="M67" s="55">
        <f t="shared" si="3"/>
        <v>0</v>
      </c>
      <c r="N67" s="63"/>
    </row>
    <row r="68" spans="1:14">
      <c r="A68" s="43"/>
      <c r="B68" s="43"/>
      <c r="C68" s="36" t="s">
        <v>85</v>
      </c>
      <c r="D68" s="43"/>
      <c r="E68" s="51">
        <f t="shared" si="0"/>
        <v>0</v>
      </c>
      <c r="F68" s="52"/>
      <c r="G68" s="52"/>
      <c r="H68" s="52"/>
      <c r="I68" s="51" cm="1">
        <f t="array" ref="I68">_xlfn.SWITCH(D68,"C-Flute",(F68+G68)*2+15,"BC-Flute",(F68+G68)*2+11,0)</f>
        <v>0</v>
      </c>
      <c r="J68" s="51" cm="1">
        <f t="array" ref="J68">_xlfn.SWITCH(D68,"C-Flute",(G68+H68)-10,"BC-Flute",(G68+H68)-16,0)</f>
        <v>0</v>
      </c>
      <c r="K68" s="53">
        <f t="shared" si="1"/>
        <v>0</v>
      </c>
      <c r="L68" s="54">
        <f t="shared" si="2"/>
        <v>0</v>
      </c>
      <c r="M68" s="55">
        <f t="shared" si="3"/>
        <v>0</v>
      </c>
      <c r="N68" s="63"/>
    </row>
    <row r="69" spans="1:14">
      <c r="A69" s="43"/>
      <c r="B69" s="43"/>
      <c r="C69" s="36" t="s">
        <v>85</v>
      </c>
      <c r="D69" s="43"/>
      <c r="E69" s="51">
        <f t="shared" si="0"/>
        <v>0</v>
      </c>
      <c r="F69" s="52"/>
      <c r="G69" s="52"/>
      <c r="H69" s="52"/>
      <c r="I69" s="51" cm="1">
        <f t="array" ref="I69">_xlfn.SWITCH(D69,"C-Flute",(F69+G69)*2+15,"BC-Flute",(F69+G69)*2+11,0)</f>
        <v>0</v>
      </c>
      <c r="J69" s="51" cm="1">
        <f t="array" ref="J69">_xlfn.SWITCH(D69,"C-Flute",(G69+H69)-10,"BC-Flute",(G69+H69)-16,0)</f>
        <v>0</v>
      </c>
      <c r="K69" s="53">
        <f t="shared" si="1"/>
        <v>0</v>
      </c>
      <c r="L69" s="54">
        <f t="shared" si="2"/>
        <v>0</v>
      </c>
      <c r="M69" s="55">
        <f t="shared" si="3"/>
        <v>0</v>
      </c>
      <c r="N69" s="63"/>
    </row>
    <row r="70" spans="1:14">
      <c r="A70" s="43"/>
      <c r="B70" s="43"/>
      <c r="C70" s="36" t="s">
        <v>85</v>
      </c>
      <c r="D70" s="43"/>
      <c r="E70" s="51">
        <f t="shared" si="0"/>
        <v>0</v>
      </c>
      <c r="F70" s="52"/>
      <c r="G70" s="52"/>
      <c r="H70" s="52"/>
      <c r="I70" s="51" cm="1">
        <f t="array" ref="I70">_xlfn.SWITCH(D70,"C-Flute",(F70+G70)*2+15,"BC-Flute",(F70+G70)*2+11,0)</f>
        <v>0</v>
      </c>
      <c r="J70" s="51" cm="1">
        <f t="array" ref="J70">_xlfn.SWITCH(D70,"C-Flute",(G70+H70)-10,"BC-Flute",(G70+H70)-16,0)</f>
        <v>0</v>
      </c>
      <c r="K70" s="53">
        <f t="shared" si="1"/>
        <v>0</v>
      </c>
      <c r="L70" s="54">
        <f t="shared" si="2"/>
        <v>0</v>
      </c>
      <c r="M70" s="55">
        <f t="shared" si="3"/>
        <v>0</v>
      </c>
      <c r="N70" s="63"/>
    </row>
    <row r="71" spans="1:14">
      <c r="A71" s="43"/>
      <c r="B71" s="43"/>
      <c r="C71" s="36" t="s">
        <v>85</v>
      </c>
      <c r="D71" s="43"/>
      <c r="E71" s="51">
        <f t="shared" si="0"/>
        <v>0</v>
      </c>
      <c r="F71" s="52"/>
      <c r="G71" s="52"/>
      <c r="H71" s="52"/>
      <c r="I71" s="51" cm="1">
        <f t="array" ref="I71">_xlfn.SWITCH(D71,"C-Flute",(F71+G71)*2+15,"BC-Flute",(F71+G71)*2+11,0)</f>
        <v>0</v>
      </c>
      <c r="J71" s="51" cm="1">
        <f t="array" ref="J71">_xlfn.SWITCH(D71,"C-Flute",(G71+H71)-10,"BC-Flute",(G71+H71)-16,0)</f>
        <v>0</v>
      </c>
      <c r="K71" s="53">
        <f t="shared" si="1"/>
        <v>0</v>
      </c>
      <c r="L71" s="54">
        <f t="shared" si="2"/>
        <v>0</v>
      </c>
      <c r="M71" s="55">
        <f t="shared" si="3"/>
        <v>0</v>
      </c>
      <c r="N71" s="63"/>
    </row>
    <row r="72" spans="1:14">
      <c r="A72" s="43"/>
      <c r="B72" s="43"/>
      <c r="C72" s="36" t="s">
        <v>85</v>
      </c>
      <c r="D72" s="43"/>
      <c r="E72" s="51">
        <f t="shared" si="0"/>
        <v>0</v>
      </c>
      <c r="F72" s="52"/>
      <c r="G72" s="52"/>
      <c r="H72" s="52"/>
      <c r="I72" s="51" cm="1">
        <f t="array" ref="I72">_xlfn.SWITCH(D72,"C-Flute",(F72+G72)*2+15,"BC-Flute",(F72+G72)*2+11,0)</f>
        <v>0</v>
      </c>
      <c r="J72" s="51" cm="1">
        <f t="array" ref="J72">_xlfn.SWITCH(D72,"C-Flute",(G72+H72)-10,"BC-Flute",(G72+H72)-16,0)</f>
        <v>0</v>
      </c>
      <c r="K72" s="53">
        <f t="shared" si="1"/>
        <v>0</v>
      </c>
      <c r="L72" s="54">
        <f t="shared" si="2"/>
        <v>0</v>
      </c>
      <c r="M72" s="55">
        <f t="shared" si="3"/>
        <v>0</v>
      </c>
      <c r="N72" s="63"/>
    </row>
    <row r="73" spans="1:14">
      <c r="A73" s="43"/>
      <c r="B73" s="43"/>
      <c r="C73" s="36" t="s">
        <v>85</v>
      </c>
      <c r="D73" s="43"/>
      <c r="E73" s="51">
        <f t="shared" si="0"/>
        <v>0</v>
      </c>
      <c r="F73" s="52"/>
      <c r="G73" s="52"/>
      <c r="H73" s="52"/>
      <c r="I73" s="51" cm="1">
        <f t="array" ref="I73">_xlfn.SWITCH(D73,"C-Flute",(F73+G73)*2+15,"BC-Flute",(F73+G73)*2+11,0)</f>
        <v>0</v>
      </c>
      <c r="J73" s="51" cm="1">
        <f t="array" ref="J73">_xlfn.SWITCH(D73,"C-Flute",(G73+H73)-10,"BC-Flute",(G73+H73)-16,0)</f>
        <v>0</v>
      </c>
      <c r="K73" s="53">
        <f t="shared" si="1"/>
        <v>0</v>
      </c>
      <c r="L73" s="54">
        <f t="shared" si="2"/>
        <v>0</v>
      </c>
      <c r="M73" s="55">
        <f t="shared" si="3"/>
        <v>0</v>
      </c>
      <c r="N73" s="63"/>
    </row>
    <row r="74" spans="1:14">
      <c r="A74" s="43"/>
      <c r="B74" s="43"/>
      <c r="C74" s="36" t="s">
        <v>85</v>
      </c>
      <c r="D74" s="43"/>
      <c r="E74" s="51">
        <f t="shared" si="0"/>
        <v>0</v>
      </c>
      <c r="F74" s="52"/>
      <c r="G74" s="52"/>
      <c r="H74" s="52"/>
      <c r="I74" s="51" cm="1">
        <f t="array" ref="I74">_xlfn.SWITCH(D74,"C-Flute",(F74+G74)*2+15,"BC-Flute",(F74+G74)*2+11,0)</f>
        <v>0</v>
      </c>
      <c r="J74" s="51" cm="1">
        <f t="array" ref="J74">_xlfn.SWITCH(D74,"C-Flute",(G74+H74)-10,"BC-Flute",(G74+H74)-16,0)</f>
        <v>0</v>
      </c>
      <c r="K74" s="53">
        <f t="shared" si="1"/>
        <v>0</v>
      </c>
      <c r="L74" s="54">
        <f t="shared" si="2"/>
        <v>0</v>
      </c>
      <c r="M74" s="55">
        <f t="shared" si="3"/>
        <v>0</v>
      </c>
      <c r="N74" s="63"/>
    </row>
    <row r="75" spans="1:14">
      <c r="A75" s="43"/>
      <c r="B75" s="43"/>
      <c r="C75" s="36" t="s">
        <v>85</v>
      </c>
      <c r="D75" s="43"/>
      <c r="E75" s="51">
        <f t="shared" si="0"/>
        <v>0</v>
      </c>
      <c r="F75" s="52"/>
      <c r="G75" s="52"/>
      <c r="H75" s="52"/>
      <c r="I75" s="51" cm="1">
        <f t="array" ref="I75">_xlfn.SWITCH(D75,"C-Flute",(F75+G75)*2+15,"BC-Flute",(F75+G75)*2+11,0)</f>
        <v>0</v>
      </c>
      <c r="J75" s="51" cm="1">
        <f t="array" ref="J75">_xlfn.SWITCH(D75,"C-Flute",(G75+H75)-10,"BC-Flute",(G75+H75)-16,0)</f>
        <v>0</v>
      </c>
      <c r="K75" s="53">
        <f t="shared" si="1"/>
        <v>0</v>
      </c>
      <c r="L75" s="54">
        <f t="shared" si="2"/>
        <v>0</v>
      </c>
      <c r="M75" s="55">
        <f t="shared" si="3"/>
        <v>0</v>
      </c>
      <c r="N75" s="63"/>
    </row>
    <row r="76" spans="1:14">
      <c r="A76" s="43"/>
      <c r="B76" s="43"/>
      <c r="C76" s="36" t="s">
        <v>85</v>
      </c>
      <c r="D76" s="43"/>
      <c r="E76" s="51">
        <f t="shared" si="0"/>
        <v>0</v>
      </c>
      <c r="F76" s="52"/>
      <c r="G76" s="52"/>
      <c r="H76" s="52"/>
      <c r="I76" s="51" cm="1">
        <f t="array" ref="I76">_xlfn.SWITCH(D76,"C-Flute",(F76+G76)*2+15,"BC-Flute",(F76+G76)*2+11,0)</f>
        <v>0</v>
      </c>
      <c r="J76" s="51" cm="1">
        <f t="array" ref="J76">_xlfn.SWITCH(D76,"C-Flute",(G76+H76)-10,"BC-Flute",(G76+H76)-16,0)</f>
        <v>0</v>
      </c>
      <c r="K76" s="53">
        <f t="shared" si="1"/>
        <v>0</v>
      </c>
      <c r="L76" s="54">
        <f t="shared" si="2"/>
        <v>0</v>
      </c>
      <c r="M76" s="55">
        <f t="shared" si="3"/>
        <v>0</v>
      </c>
      <c r="N76" s="63"/>
    </row>
    <row r="77" spans="1:14">
      <c r="A77" s="43"/>
      <c r="B77" s="43"/>
      <c r="C77" s="36" t="s">
        <v>85</v>
      </c>
      <c r="D77" s="43"/>
      <c r="E77" s="51">
        <f t="shared" si="0"/>
        <v>0</v>
      </c>
      <c r="F77" s="52"/>
      <c r="G77" s="52"/>
      <c r="H77" s="52"/>
      <c r="I77" s="51" cm="1">
        <f t="array" ref="I77">_xlfn.SWITCH(D77,"C-Flute",(F77+G77)*2+15,"BC-Flute",(F77+G77)*2+11,0)</f>
        <v>0</v>
      </c>
      <c r="J77" s="51" cm="1">
        <f t="array" ref="J77">_xlfn.SWITCH(D77,"C-Flute",(G77+H77)-10,"BC-Flute",(G77+H77)-16,0)</f>
        <v>0</v>
      </c>
      <c r="K77" s="53">
        <f t="shared" si="1"/>
        <v>0</v>
      </c>
      <c r="L77" s="54">
        <f t="shared" si="2"/>
        <v>0</v>
      </c>
      <c r="M77" s="55">
        <f t="shared" si="3"/>
        <v>0</v>
      </c>
      <c r="N77" s="63"/>
    </row>
    <row r="78" spans="1:14">
      <c r="A78" s="43"/>
      <c r="B78" s="43"/>
      <c r="C78" s="36" t="s">
        <v>85</v>
      </c>
      <c r="D78" s="43"/>
      <c r="E78" s="51">
        <f t="shared" si="0"/>
        <v>0</v>
      </c>
      <c r="F78" s="52"/>
      <c r="G78" s="52"/>
      <c r="H78" s="52"/>
      <c r="I78" s="51" cm="1">
        <f t="array" ref="I78">_xlfn.SWITCH(D78,"C-Flute",(F78+G78)*2+15,"BC-Flute",(F78+G78)*2+11,0)</f>
        <v>0</v>
      </c>
      <c r="J78" s="51" cm="1">
        <f t="array" ref="J78">_xlfn.SWITCH(D78,"C-Flute",(G78+H78)-10,"BC-Flute",(G78+H78)-16,0)</f>
        <v>0</v>
      </c>
      <c r="K78" s="53">
        <f t="shared" si="1"/>
        <v>0</v>
      </c>
      <c r="L78" s="54">
        <f t="shared" si="2"/>
        <v>0</v>
      </c>
      <c r="M78" s="55">
        <f t="shared" si="3"/>
        <v>0</v>
      </c>
      <c r="N78" s="63"/>
    </row>
    <row r="79" spans="1:14">
      <c r="A79" s="43"/>
      <c r="B79" s="43"/>
      <c r="C79" s="36" t="s">
        <v>85</v>
      </c>
      <c r="D79" s="43"/>
      <c r="E79" s="51">
        <f t="shared" si="0"/>
        <v>0</v>
      </c>
      <c r="F79" s="52"/>
      <c r="G79" s="52"/>
      <c r="H79" s="52"/>
      <c r="I79" s="51" cm="1">
        <f t="array" ref="I79">_xlfn.SWITCH(D79,"C-Flute",(F79+G79)*2+15,"BC-Flute",(F79+G79)*2+11,0)</f>
        <v>0</v>
      </c>
      <c r="J79" s="51" cm="1">
        <f t="array" ref="J79">_xlfn.SWITCH(D79,"C-Flute",(G79+H79)-10,"BC-Flute",(G79+H79)-16,0)</f>
        <v>0</v>
      </c>
      <c r="K79" s="53">
        <f t="shared" si="1"/>
        <v>0</v>
      </c>
      <c r="L79" s="54">
        <f t="shared" si="2"/>
        <v>0</v>
      </c>
      <c r="M79" s="55">
        <f t="shared" si="3"/>
        <v>0</v>
      </c>
      <c r="N79" s="63"/>
    </row>
    <row r="80" spans="1:14">
      <c r="A80" s="43"/>
      <c r="B80" s="43"/>
      <c r="C80" s="36" t="s">
        <v>85</v>
      </c>
      <c r="D80" s="43"/>
      <c r="E80" s="51">
        <f t="shared" si="0"/>
        <v>0</v>
      </c>
      <c r="F80" s="52"/>
      <c r="G80" s="52"/>
      <c r="H80" s="52"/>
      <c r="I80" s="51" cm="1">
        <f t="array" ref="I80">_xlfn.SWITCH(D80,"C-Flute",(F80+G80)*2+15,"BC-Flute",(F80+G80)*2+11,0)</f>
        <v>0</v>
      </c>
      <c r="J80" s="51" cm="1">
        <f t="array" ref="J80">_xlfn.SWITCH(D80,"C-Flute",(G80+H80)-10,"BC-Flute",(G80+H80)-16,0)</f>
        <v>0</v>
      </c>
      <c r="K80" s="53">
        <f t="shared" si="1"/>
        <v>0</v>
      </c>
      <c r="L80" s="54">
        <f t="shared" si="2"/>
        <v>0</v>
      </c>
      <c r="M80" s="55">
        <f t="shared" si="3"/>
        <v>0</v>
      </c>
      <c r="N80" s="63"/>
    </row>
    <row r="81" spans="1:14">
      <c r="A81" s="43"/>
      <c r="B81" s="43"/>
      <c r="C81" s="36" t="s">
        <v>85</v>
      </c>
      <c r="D81" s="43"/>
      <c r="E81" s="51">
        <f t="shared" si="0"/>
        <v>0</v>
      </c>
      <c r="F81" s="52"/>
      <c r="G81" s="52"/>
      <c r="H81" s="52"/>
      <c r="I81" s="51" cm="1">
        <f t="array" ref="I81">_xlfn.SWITCH(D81,"C-Flute",(F81+G81)*2+15,"BC-Flute",(F81+G81)*2+11,0)</f>
        <v>0</v>
      </c>
      <c r="J81" s="51" cm="1">
        <f t="array" ref="J81">_xlfn.SWITCH(D81,"C-Flute",(G81+H81)-10,"BC-Flute",(G81+H81)-16,0)</f>
        <v>0</v>
      </c>
      <c r="K81" s="53">
        <f t="shared" si="1"/>
        <v>0</v>
      </c>
      <c r="L81" s="54">
        <f t="shared" si="2"/>
        <v>0</v>
      </c>
      <c r="M81" s="55">
        <f t="shared" si="3"/>
        <v>0</v>
      </c>
      <c r="N81" s="63"/>
    </row>
    <row r="82" spans="1:14">
      <c r="A82" s="43"/>
      <c r="B82" s="43"/>
      <c r="C82" s="36" t="s">
        <v>85</v>
      </c>
      <c r="D82" s="43"/>
      <c r="E82" s="51">
        <f t="shared" si="0"/>
        <v>0</v>
      </c>
      <c r="F82" s="52"/>
      <c r="G82" s="52"/>
      <c r="H82" s="52"/>
      <c r="I82" s="51" cm="1">
        <f t="array" ref="I82">_xlfn.SWITCH(D82,"C-Flute",(F82+G82)*2+15,"BC-Flute",(F82+G82)*2+11,0)</f>
        <v>0</v>
      </c>
      <c r="J82" s="51" cm="1">
        <f t="array" ref="J82">_xlfn.SWITCH(D82,"C-Flute",(G82+H82)-10,"BC-Flute",(G82+H82)-16,0)</f>
        <v>0</v>
      </c>
      <c r="K82" s="53">
        <f t="shared" ref="K82:K145" si="4">I82*J82*(1+10%)/1000000</f>
        <v>0</v>
      </c>
      <c r="L82" s="54">
        <f t="shared" ref="L82:L145" si="5">IFERROR(K82*IFERROR(VLOOKUP(D82,$I$3:$L$5,4,FALSE),"N/A"),0)</f>
        <v>0</v>
      </c>
      <c r="M82" s="55">
        <f t="shared" ref="M82:M145" si="6">IFERROR(L82/$M$4,0)</f>
        <v>0</v>
      </c>
      <c r="N82" s="63"/>
    </row>
    <row r="83" spans="1:14">
      <c r="A83" s="43"/>
      <c r="B83" s="43"/>
      <c r="C83" s="36" t="s">
        <v>85</v>
      </c>
      <c r="D83" s="43"/>
      <c r="E83" s="51">
        <f t="shared" si="0"/>
        <v>0</v>
      </c>
      <c r="F83" s="52"/>
      <c r="G83" s="52"/>
      <c r="H83" s="52"/>
      <c r="I83" s="51" cm="1">
        <f t="array" ref="I83">_xlfn.SWITCH(D83,"C-Flute",(F83+G83)*2+15,"BC-Flute",(F83+G83)*2+11,0)</f>
        <v>0</v>
      </c>
      <c r="J83" s="51" cm="1">
        <f t="array" ref="J83">_xlfn.SWITCH(D83,"C-Flute",(G83+H83)-10,"BC-Flute",(G83+H83)-16,0)</f>
        <v>0</v>
      </c>
      <c r="K83" s="53">
        <f t="shared" si="4"/>
        <v>0</v>
      </c>
      <c r="L83" s="54">
        <f t="shared" si="5"/>
        <v>0</v>
      </c>
      <c r="M83" s="55">
        <f t="shared" si="6"/>
        <v>0</v>
      </c>
      <c r="N83" s="63"/>
    </row>
    <row r="84" spans="1:14">
      <c r="A84" s="43"/>
      <c r="B84" s="43"/>
      <c r="C84" s="36" t="s">
        <v>85</v>
      </c>
      <c r="D84" s="43"/>
      <c r="E84" s="51">
        <f t="shared" si="0"/>
        <v>0</v>
      </c>
      <c r="F84" s="52"/>
      <c r="G84" s="52"/>
      <c r="H84" s="52"/>
      <c r="I84" s="51" cm="1">
        <f t="array" ref="I84">_xlfn.SWITCH(D84,"C-Flute",(F84+G84)*2+15,"BC-Flute",(F84+G84)*2+11,0)</f>
        <v>0</v>
      </c>
      <c r="J84" s="51" cm="1">
        <f t="array" ref="J84">_xlfn.SWITCH(D84,"C-Flute",(G84+H84)-10,"BC-Flute",(G84+H84)-16,0)</f>
        <v>0</v>
      </c>
      <c r="K84" s="53">
        <f t="shared" si="4"/>
        <v>0</v>
      </c>
      <c r="L84" s="54">
        <f t="shared" si="5"/>
        <v>0</v>
      </c>
      <c r="M84" s="55">
        <f t="shared" si="6"/>
        <v>0</v>
      </c>
      <c r="N84" s="63"/>
    </row>
    <row r="85" spans="1:14">
      <c r="A85" s="43"/>
      <c r="B85" s="43"/>
      <c r="C85" s="36" t="s">
        <v>85</v>
      </c>
      <c r="D85" s="43"/>
      <c r="E85" s="51">
        <f t="shared" si="0"/>
        <v>0</v>
      </c>
      <c r="F85" s="52"/>
      <c r="G85" s="52"/>
      <c r="H85" s="52"/>
      <c r="I85" s="51" cm="1">
        <f t="array" ref="I85">_xlfn.SWITCH(D85,"C-Flute",(F85+G85)*2+15,"BC-Flute",(F85+G85)*2+11,0)</f>
        <v>0</v>
      </c>
      <c r="J85" s="51" cm="1">
        <f t="array" ref="J85">_xlfn.SWITCH(D85,"C-Flute",(G85+H85)-10,"BC-Flute",(G85+H85)-16,0)</f>
        <v>0</v>
      </c>
      <c r="K85" s="53">
        <f t="shared" si="4"/>
        <v>0</v>
      </c>
      <c r="L85" s="54">
        <f t="shared" si="5"/>
        <v>0</v>
      </c>
      <c r="M85" s="55">
        <f t="shared" si="6"/>
        <v>0</v>
      </c>
      <c r="N85" s="63"/>
    </row>
    <row r="86" spans="1:14">
      <c r="A86" s="43"/>
      <c r="B86" s="43"/>
      <c r="C86" s="36" t="s">
        <v>85</v>
      </c>
      <c r="D86" s="43"/>
      <c r="E86" s="51">
        <f t="shared" si="0"/>
        <v>0</v>
      </c>
      <c r="F86" s="52"/>
      <c r="G86" s="52"/>
      <c r="H86" s="52"/>
      <c r="I86" s="51" cm="1">
        <f t="array" ref="I86">_xlfn.SWITCH(D86,"C-Flute",(F86+G86)*2+15,"BC-Flute",(F86+G86)*2+11,0)</f>
        <v>0</v>
      </c>
      <c r="J86" s="51" cm="1">
        <f t="array" ref="J86">_xlfn.SWITCH(D86,"C-Flute",(G86+H86)-10,"BC-Flute",(G86+H86)-16,0)</f>
        <v>0</v>
      </c>
      <c r="K86" s="53">
        <f t="shared" si="4"/>
        <v>0</v>
      </c>
      <c r="L86" s="54">
        <f t="shared" si="5"/>
        <v>0</v>
      </c>
      <c r="M86" s="55">
        <f t="shared" si="6"/>
        <v>0</v>
      </c>
      <c r="N86" s="63"/>
    </row>
    <row r="87" spans="1:14">
      <c r="A87" s="43"/>
      <c r="B87" s="43"/>
      <c r="C87" s="36" t="s">
        <v>85</v>
      </c>
      <c r="D87" s="43"/>
      <c r="E87" s="51">
        <f t="shared" si="0"/>
        <v>0</v>
      </c>
      <c r="F87" s="52"/>
      <c r="G87" s="52"/>
      <c r="H87" s="52"/>
      <c r="I87" s="51" cm="1">
        <f t="array" ref="I87">_xlfn.SWITCH(D87,"C-Flute",(F87+G87)*2+15,"BC-Flute",(F87+G87)*2+11,0)</f>
        <v>0</v>
      </c>
      <c r="J87" s="51" cm="1">
        <f t="array" ref="J87">_xlfn.SWITCH(D87,"C-Flute",(G87+H87)-10,"BC-Flute",(G87+H87)-16,0)</f>
        <v>0</v>
      </c>
      <c r="K87" s="53">
        <f t="shared" si="4"/>
        <v>0</v>
      </c>
      <c r="L87" s="54">
        <f t="shared" si="5"/>
        <v>0</v>
      </c>
      <c r="M87" s="55">
        <f t="shared" si="6"/>
        <v>0</v>
      </c>
      <c r="N87" s="63"/>
    </row>
    <row r="88" spans="1:14">
      <c r="A88" s="43"/>
      <c r="B88" s="43"/>
      <c r="C88" s="36" t="s">
        <v>85</v>
      </c>
      <c r="D88" s="43"/>
      <c r="E88" s="51">
        <f t="shared" si="0"/>
        <v>0</v>
      </c>
      <c r="F88" s="52"/>
      <c r="G88" s="52"/>
      <c r="H88" s="52"/>
      <c r="I88" s="51" cm="1">
        <f t="array" ref="I88">_xlfn.SWITCH(D88,"C-Flute",(F88+G88)*2+15,"BC-Flute",(F88+G88)*2+11,0)</f>
        <v>0</v>
      </c>
      <c r="J88" s="51" cm="1">
        <f t="array" ref="J88">_xlfn.SWITCH(D88,"C-Flute",(G88+H88)-10,"BC-Flute",(G88+H88)-16,0)</f>
        <v>0</v>
      </c>
      <c r="K88" s="53">
        <f t="shared" si="4"/>
        <v>0</v>
      </c>
      <c r="L88" s="54">
        <f t="shared" si="5"/>
        <v>0</v>
      </c>
      <c r="M88" s="55">
        <f t="shared" si="6"/>
        <v>0</v>
      </c>
      <c r="N88" s="63"/>
    </row>
    <row r="89" spans="1:14">
      <c r="A89" s="43"/>
      <c r="B89" s="43"/>
      <c r="C89" s="36" t="s">
        <v>85</v>
      </c>
      <c r="D89" s="43"/>
      <c r="E89" s="51">
        <f t="shared" si="0"/>
        <v>0</v>
      </c>
      <c r="F89" s="52"/>
      <c r="G89" s="52"/>
      <c r="H89" s="52"/>
      <c r="I89" s="51" cm="1">
        <f t="array" ref="I89">_xlfn.SWITCH(D89,"C-Flute",(F89+G89)*2+15,"BC-Flute",(F89+G89)*2+11,0)</f>
        <v>0</v>
      </c>
      <c r="J89" s="51" cm="1">
        <f t="array" ref="J89">_xlfn.SWITCH(D89,"C-Flute",(G89+H89)-10,"BC-Flute",(G89+H89)-16,0)</f>
        <v>0</v>
      </c>
      <c r="K89" s="53">
        <f t="shared" si="4"/>
        <v>0</v>
      </c>
      <c r="L89" s="54">
        <f t="shared" si="5"/>
        <v>0</v>
      </c>
      <c r="M89" s="55">
        <f t="shared" si="6"/>
        <v>0</v>
      </c>
      <c r="N89" s="63"/>
    </row>
    <row r="90" spans="1:14">
      <c r="A90" s="43"/>
      <c r="B90" s="43"/>
      <c r="C90" s="36" t="s">
        <v>85</v>
      </c>
      <c r="D90" s="43"/>
      <c r="E90" s="51">
        <f t="shared" si="0"/>
        <v>0</v>
      </c>
      <c r="F90" s="52"/>
      <c r="G90" s="52"/>
      <c r="H90" s="52"/>
      <c r="I90" s="51" cm="1">
        <f t="array" ref="I90">_xlfn.SWITCH(D90,"C-Flute",(F90+G90)*2+15,"BC-Flute",(F90+G90)*2+11,0)</f>
        <v>0</v>
      </c>
      <c r="J90" s="51" cm="1">
        <f t="array" ref="J90">_xlfn.SWITCH(D90,"C-Flute",(G90+H90)-10,"BC-Flute",(G90+H90)-16,0)</f>
        <v>0</v>
      </c>
      <c r="K90" s="53">
        <f t="shared" si="4"/>
        <v>0</v>
      </c>
      <c r="L90" s="54">
        <f t="shared" si="5"/>
        <v>0</v>
      </c>
      <c r="M90" s="55">
        <f t="shared" si="6"/>
        <v>0</v>
      </c>
      <c r="N90" s="63"/>
    </row>
    <row r="91" spans="1:14">
      <c r="A91" s="43"/>
      <c r="B91" s="43"/>
      <c r="C91" s="36" t="s">
        <v>85</v>
      </c>
      <c r="D91" s="43"/>
      <c r="E91" s="51">
        <f t="shared" si="0"/>
        <v>0</v>
      </c>
      <c r="F91" s="52"/>
      <c r="G91" s="52"/>
      <c r="H91" s="52"/>
      <c r="I91" s="51" cm="1">
        <f t="array" ref="I91">_xlfn.SWITCH(D91,"C-Flute",(F91+G91)*2+15,"BC-Flute",(F91+G91)*2+11,0)</f>
        <v>0</v>
      </c>
      <c r="J91" s="51" cm="1">
        <f t="array" ref="J91">_xlfn.SWITCH(D91,"C-Flute",(G91+H91)-10,"BC-Flute",(G91+H91)-16,0)</f>
        <v>0</v>
      </c>
      <c r="K91" s="53">
        <f t="shared" si="4"/>
        <v>0</v>
      </c>
      <c r="L91" s="54">
        <f t="shared" si="5"/>
        <v>0</v>
      </c>
      <c r="M91" s="55">
        <f t="shared" si="6"/>
        <v>0</v>
      </c>
      <c r="N91" s="63"/>
    </row>
    <row r="92" spans="1:14">
      <c r="A92" s="43"/>
      <c r="B92" s="43"/>
      <c r="C92" s="36" t="s">
        <v>85</v>
      </c>
      <c r="D92" s="43"/>
      <c r="E92" s="51">
        <f t="shared" si="0"/>
        <v>0</v>
      </c>
      <c r="F92" s="52"/>
      <c r="G92" s="52"/>
      <c r="H92" s="52"/>
      <c r="I92" s="51" cm="1">
        <f t="array" ref="I92">_xlfn.SWITCH(D92,"C-Flute",(F92+G92)*2+15,"BC-Flute",(F92+G92)*2+11,0)</f>
        <v>0</v>
      </c>
      <c r="J92" s="51" cm="1">
        <f t="array" ref="J92">_xlfn.SWITCH(D92,"C-Flute",(G92+H92)-10,"BC-Flute",(G92+H92)-16,0)</f>
        <v>0</v>
      </c>
      <c r="K92" s="53">
        <f t="shared" si="4"/>
        <v>0</v>
      </c>
      <c r="L92" s="54">
        <f t="shared" si="5"/>
        <v>0</v>
      </c>
      <c r="M92" s="55">
        <f t="shared" si="6"/>
        <v>0</v>
      </c>
      <c r="N92" s="63"/>
    </row>
    <row r="93" spans="1:14">
      <c r="A93" s="43"/>
      <c r="B93" s="43"/>
      <c r="C93" s="36" t="s">
        <v>85</v>
      </c>
      <c r="D93" s="43"/>
      <c r="E93" s="51">
        <f t="shared" si="0"/>
        <v>0</v>
      </c>
      <c r="F93" s="52"/>
      <c r="G93" s="52"/>
      <c r="H93" s="52"/>
      <c r="I93" s="51" cm="1">
        <f t="array" ref="I93">_xlfn.SWITCH(D93,"C-Flute",(F93+G93)*2+15,"BC-Flute",(F93+G93)*2+11,0)</f>
        <v>0</v>
      </c>
      <c r="J93" s="51" cm="1">
        <f t="array" ref="J93">_xlfn.SWITCH(D93,"C-Flute",(G93+H93)-10,"BC-Flute",(G93+H93)-16,0)</f>
        <v>0</v>
      </c>
      <c r="K93" s="53">
        <f t="shared" si="4"/>
        <v>0</v>
      </c>
      <c r="L93" s="54">
        <f t="shared" si="5"/>
        <v>0</v>
      </c>
      <c r="M93" s="55">
        <f t="shared" si="6"/>
        <v>0</v>
      </c>
      <c r="N93" s="63"/>
    </row>
    <row r="94" spans="1:14">
      <c r="A94" s="43"/>
      <c r="B94" s="43"/>
      <c r="C94" s="36" t="s">
        <v>85</v>
      </c>
      <c r="D94" s="43"/>
      <c r="E94" s="51">
        <f t="shared" si="0"/>
        <v>0</v>
      </c>
      <c r="F94" s="52"/>
      <c r="G94" s="52"/>
      <c r="H94" s="52"/>
      <c r="I94" s="51" cm="1">
        <f t="array" ref="I94">_xlfn.SWITCH(D94,"C-Flute",(F94+G94)*2+15,"BC-Flute",(F94+G94)*2+11,0)</f>
        <v>0</v>
      </c>
      <c r="J94" s="51" cm="1">
        <f t="array" ref="J94">_xlfn.SWITCH(D94,"C-Flute",(G94+H94)-10,"BC-Flute",(G94+H94)-16,0)</f>
        <v>0</v>
      </c>
      <c r="K94" s="53">
        <f t="shared" si="4"/>
        <v>0</v>
      </c>
      <c r="L94" s="54">
        <f t="shared" si="5"/>
        <v>0</v>
      </c>
      <c r="M94" s="55">
        <f t="shared" si="6"/>
        <v>0</v>
      </c>
      <c r="N94" s="63"/>
    </row>
    <row r="95" spans="1:14">
      <c r="A95" s="43"/>
      <c r="B95" s="43"/>
      <c r="C95" s="36" t="s">
        <v>85</v>
      </c>
      <c r="D95" s="43"/>
      <c r="E95" s="51">
        <f t="shared" si="0"/>
        <v>0</v>
      </c>
      <c r="F95" s="52"/>
      <c r="G95" s="52"/>
      <c r="H95" s="52"/>
      <c r="I95" s="51" cm="1">
        <f t="array" ref="I95">_xlfn.SWITCH(D95,"C-Flute",(F95+G95)*2+15,"BC-Flute",(F95+G95)*2+11,0)</f>
        <v>0</v>
      </c>
      <c r="J95" s="51" cm="1">
        <f t="array" ref="J95">_xlfn.SWITCH(D95,"C-Flute",(G95+H95)-10,"BC-Flute",(G95+H95)-16,0)</f>
        <v>0</v>
      </c>
      <c r="K95" s="53">
        <f t="shared" si="4"/>
        <v>0</v>
      </c>
      <c r="L95" s="54">
        <f t="shared" si="5"/>
        <v>0</v>
      </c>
      <c r="M95" s="55">
        <f t="shared" si="6"/>
        <v>0</v>
      </c>
      <c r="N95" s="63"/>
    </row>
    <row r="96" spans="1:14">
      <c r="A96" s="43"/>
      <c r="B96" s="43"/>
      <c r="C96" s="36" t="s">
        <v>85</v>
      </c>
      <c r="D96" s="43"/>
      <c r="E96" s="51">
        <f t="shared" si="0"/>
        <v>0</v>
      </c>
      <c r="F96" s="52"/>
      <c r="G96" s="52"/>
      <c r="H96" s="52"/>
      <c r="I96" s="51" cm="1">
        <f t="array" ref="I96">_xlfn.SWITCH(D96,"C-Flute",(F96+G96)*2+15,"BC-Flute",(F96+G96)*2+11,0)</f>
        <v>0</v>
      </c>
      <c r="J96" s="51" cm="1">
        <f t="array" ref="J96">_xlfn.SWITCH(D96,"C-Flute",(G96+H96)-10,"BC-Flute",(G96+H96)-16,0)</f>
        <v>0</v>
      </c>
      <c r="K96" s="53">
        <f t="shared" si="4"/>
        <v>0</v>
      </c>
      <c r="L96" s="54">
        <f t="shared" si="5"/>
        <v>0</v>
      </c>
      <c r="M96" s="55">
        <f t="shared" si="6"/>
        <v>0</v>
      </c>
      <c r="N96" s="63"/>
    </row>
    <row r="97" spans="1:14">
      <c r="A97" s="43"/>
      <c r="B97" s="43"/>
      <c r="C97" s="36" t="s">
        <v>85</v>
      </c>
      <c r="D97" s="43"/>
      <c r="E97" s="51">
        <f t="shared" si="0"/>
        <v>0</v>
      </c>
      <c r="F97" s="52"/>
      <c r="G97" s="52"/>
      <c r="H97" s="52"/>
      <c r="I97" s="51" cm="1">
        <f t="array" ref="I97">_xlfn.SWITCH(D97,"C-Flute",(F97+G97)*2+15,"BC-Flute",(F97+G97)*2+11,0)</f>
        <v>0</v>
      </c>
      <c r="J97" s="51" cm="1">
        <f t="array" ref="J97">_xlfn.SWITCH(D97,"C-Flute",(G97+H97)-10,"BC-Flute",(G97+H97)-16,0)</f>
        <v>0</v>
      </c>
      <c r="K97" s="53">
        <f t="shared" si="4"/>
        <v>0</v>
      </c>
      <c r="L97" s="54">
        <f t="shared" si="5"/>
        <v>0</v>
      </c>
      <c r="M97" s="55">
        <f t="shared" si="6"/>
        <v>0</v>
      </c>
      <c r="N97" s="63"/>
    </row>
    <row r="98" spans="1:14">
      <c r="A98" s="43"/>
      <c r="B98" s="43"/>
      <c r="C98" s="36" t="s">
        <v>85</v>
      </c>
      <c r="D98" s="43"/>
      <c r="E98" s="51">
        <f t="shared" si="0"/>
        <v>0</v>
      </c>
      <c r="F98" s="52"/>
      <c r="G98" s="52"/>
      <c r="H98" s="52"/>
      <c r="I98" s="51" cm="1">
        <f t="array" ref="I98">_xlfn.SWITCH(D98,"C-Flute",(F98+G98)*2+15,"BC-Flute",(F98+G98)*2+11,0)</f>
        <v>0</v>
      </c>
      <c r="J98" s="51" cm="1">
        <f t="array" ref="J98">_xlfn.SWITCH(D98,"C-Flute",(G98+H98)-10,"BC-Flute",(G98+H98)-16,0)</f>
        <v>0</v>
      </c>
      <c r="K98" s="53">
        <f t="shared" si="4"/>
        <v>0</v>
      </c>
      <c r="L98" s="54">
        <f t="shared" si="5"/>
        <v>0</v>
      </c>
      <c r="M98" s="55">
        <f t="shared" si="6"/>
        <v>0</v>
      </c>
      <c r="N98" s="63"/>
    </row>
    <row r="99" spans="1:14">
      <c r="A99" s="43"/>
      <c r="B99" s="43"/>
      <c r="C99" s="36" t="s">
        <v>85</v>
      </c>
      <c r="D99" s="43"/>
      <c r="E99" s="51">
        <f t="shared" si="0"/>
        <v>0</v>
      </c>
      <c r="F99" s="52"/>
      <c r="G99" s="52"/>
      <c r="H99" s="52"/>
      <c r="I99" s="51" cm="1">
        <f t="array" ref="I99">_xlfn.SWITCH(D99,"C-Flute",(F99+G99)*2+15,"BC-Flute",(F99+G99)*2+11,0)</f>
        <v>0</v>
      </c>
      <c r="J99" s="51" cm="1">
        <f t="array" ref="J99">_xlfn.SWITCH(D99,"C-Flute",(G99+H99)-10,"BC-Flute",(G99+H99)-16,0)</f>
        <v>0</v>
      </c>
      <c r="K99" s="53">
        <f t="shared" si="4"/>
        <v>0</v>
      </c>
      <c r="L99" s="54">
        <f t="shared" si="5"/>
        <v>0</v>
      </c>
      <c r="M99" s="55">
        <f t="shared" si="6"/>
        <v>0</v>
      </c>
      <c r="N99" s="63"/>
    </row>
    <row r="100" spans="1:14">
      <c r="A100" s="43"/>
      <c r="B100" s="43"/>
      <c r="C100" s="36" t="s">
        <v>85</v>
      </c>
      <c r="D100" s="43"/>
      <c r="E100" s="51">
        <f t="shared" si="0"/>
        <v>0</v>
      </c>
      <c r="F100" s="52"/>
      <c r="G100" s="52"/>
      <c r="H100" s="52"/>
      <c r="I100" s="51" cm="1">
        <f t="array" ref="I100">_xlfn.SWITCH(D100,"C-Flute",(F100+G100)*2+15,"BC-Flute",(F100+G100)*2+11,0)</f>
        <v>0</v>
      </c>
      <c r="J100" s="51" cm="1">
        <f t="array" ref="J100">_xlfn.SWITCH(D100,"C-Flute",(G100+H100)-10,"BC-Flute",(G100+H100)-16,0)</f>
        <v>0</v>
      </c>
      <c r="K100" s="53">
        <f t="shared" si="4"/>
        <v>0</v>
      </c>
      <c r="L100" s="54">
        <f t="shared" si="5"/>
        <v>0</v>
      </c>
      <c r="M100" s="55">
        <f t="shared" si="6"/>
        <v>0</v>
      </c>
      <c r="N100" s="63"/>
    </row>
    <row r="101" spans="1:14">
      <c r="A101" s="43"/>
      <c r="B101" s="43"/>
      <c r="C101" s="36" t="s">
        <v>85</v>
      </c>
      <c r="D101" s="43"/>
      <c r="E101" s="51">
        <f t="shared" si="0"/>
        <v>0</v>
      </c>
      <c r="F101" s="52"/>
      <c r="G101" s="52"/>
      <c r="H101" s="52"/>
      <c r="I101" s="51" cm="1">
        <f t="array" ref="I101">_xlfn.SWITCH(D101,"C-Flute",(F101+G101)*2+15,"BC-Flute",(F101+G101)*2+11,0)</f>
        <v>0</v>
      </c>
      <c r="J101" s="51" cm="1">
        <f t="array" ref="J101">_xlfn.SWITCH(D101,"C-Flute",(G101+H101)-10,"BC-Flute",(G101+H101)-16,0)</f>
        <v>0</v>
      </c>
      <c r="K101" s="53">
        <f t="shared" si="4"/>
        <v>0</v>
      </c>
      <c r="L101" s="54">
        <f t="shared" si="5"/>
        <v>0</v>
      </c>
      <c r="M101" s="55">
        <f t="shared" si="6"/>
        <v>0</v>
      </c>
      <c r="N101" s="63"/>
    </row>
    <row r="102" spans="1:14">
      <c r="A102" s="43"/>
      <c r="B102" s="43"/>
      <c r="C102" s="36" t="s">
        <v>85</v>
      </c>
      <c r="D102" s="43"/>
      <c r="E102" s="51">
        <f t="shared" si="0"/>
        <v>0</v>
      </c>
      <c r="F102" s="52"/>
      <c r="G102" s="52"/>
      <c r="H102" s="52"/>
      <c r="I102" s="51" cm="1">
        <f t="array" ref="I102">_xlfn.SWITCH(D102,"C-Flute",(F102+G102)*2+15,"BC-Flute",(F102+G102)*2+11,0)</f>
        <v>0</v>
      </c>
      <c r="J102" s="51" cm="1">
        <f t="array" ref="J102">_xlfn.SWITCH(D102,"C-Flute",(G102+H102)-10,"BC-Flute",(G102+H102)-16,0)</f>
        <v>0</v>
      </c>
      <c r="K102" s="53">
        <f t="shared" si="4"/>
        <v>0</v>
      </c>
      <c r="L102" s="54">
        <f t="shared" si="5"/>
        <v>0</v>
      </c>
      <c r="M102" s="55">
        <f t="shared" si="6"/>
        <v>0</v>
      </c>
      <c r="N102" s="63"/>
    </row>
    <row r="103" spans="1:14">
      <c r="A103" s="43"/>
      <c r="B103" s="43"/>
      <c r="C103" s="36" t="s">
        <v>85</v>
      </c>
      <c r="D103" s="43"/>
      <c r="E103" s="51">
        <f t="shared" si="0"/>
        <v>0</v>
      </c>
      <c r="F103" s="52"/>
      <c r="G103" s="52"/>
      <c r="H103" s="52"/>
      <c r="I103" s="51" cm="1">
        <f t="array" ref="I103">_xlfn.SWITCH(D103,"C-Flute",(F103+G103)*2+15,"BC-Flute",(F103+G103)*2+11,0)</f>
        <v>0</v>
      </c>
      <c r="J103" s="51" cm="1">
        <f t="array" ref="J103">_xlfn.SWITCH(D103,"C-Flute",(G103+H103)-10,"BC-Flute",(G103+H103)-16,0)</f>
        <v>0</v>
      </c>
      <c r="K103" s="53">
        <f t="shared" si="4"/>
        <v>0</v>
      </c>
      <c r="L103" s="54">
        <f t="shared" si="5"/>
        <v>0</v>
      </c>
      <c r="M103" s="55">
        <f t="shared" si="6"/>
        <v>0</v>
      </c>
      <c r="N103" s="63"/>
    </row>
    <row r="104" spans="1:14">
      <c r="A104" s="43"/>
      <c r="B104" s="43"/>
      <c r="C104" s="36" t="s">
        <v>85</v>
      </c>
      <c r="D104" s="43"/>
      <c r="E104" s="51">
        <f t="shared" si="0"/>
        <v>0</v>
      </c>
      <c r="F104" s="52"/>
      <c r="G104" s="52"/>
      <c r="H104" s="52"/>
      <c r="I104" s="51" cm="1">
        <f t="array" ref="I104">_xlfn.SWITCH(D104,"C-Flute",(F104+G104)*2+15,"BC-Flute",(F104+G104)*2+11,0)</f>
        <v>0</v>
      </c>
      <c r="J104" s="51" cm="1">
        <f t="array" ref="J104">_xlfn.SWITCH(D104,"C-Flute",(G104+H104)-10,"BC-Flute",(G104+H104)-16,0)</f>
        <v>0</v>
      </c>
      <c r="K104" s="53">
        <f t="shared" si="4"/>
        <v>0</v>
      </c>
      <c r="L104" s="54">
        <f t="shared" si="5"/>
        <v>0</v>
      </c>
      <c r="M104" s="55">
        <f t="shared" si="6"/>
        <v>0</v>
      </c>
      <c r="N104" s="63"/>
    </row>
    <row r="105" spans="1:14">
      <c r="A105" s="43"/>
      <c r="B105" s="43"/>
      <c r="C105" s="36" t="s">
        <v>85</v>
      </c>
      <c r="D105" s="43"/>
      <c r="E105" s="51">
        <f t="shared" si="0"/>
        <v>0</v>
      </c>
      <c r="F105" s="52"/>
      <c r="G105" s="52"/>
      <c r="H105" s="52"/>
      <c r="I105" s="51" cm="1">
        <f t="array" ref="I105">_xlfn.SWITCH(D105,"C-Flute",(F105+G105)*2+15,"BC-Flute",(F105+G105)*2+11,0)</f>
        <v>0</v>
      </c>
      <c r="J105" s="51" cm="1">
        <f t="array" ref="J105">_xlfn.SWITCH(D105,"C-Flute",(G105+H105)-10,"BC-Flute",(G105+H105)-16,0)</f>
        <v>0</v>
      </c>
      <c r="K105" s="53">
        <f t="shared" si="4"/>
        <v>0</v>
      </c>
      <c r="L105" s="54">
        <f t="shared" si="5"/>
        <v>0</v>
      </c>
      <c r="M105" s="55">
        <f t="shared" si="6"/>
        <v>0</v>
      </c>
      <c r="N105" s="63"/>
    </row>
    <row r="106" spans="1:14">
      <c r="A106" s="43"/>
      <c r="B106" s="43"/>
      <c r="C106" s="36" t="s">
        <v>85</v>
      </c>
      <c r="D106" s="43"/>
      <c r="E106" s="51">
        <f t="shared" si="0"/>
        <v>0</v>
      </c>
      <c r="F106" s="52"/>
      <c r="G106" s="52"/>
      <c r="H106" s="52"/>
      <c r="I106" s="51" cm="1">
        <f t="array" ref="I106">_xlfn.SWITCH(D106,"C-Flute",(F106+G106)*2+15,"BC-Flute",(F106+G106)*2+11,0)</f>
        <v>0</v>
      </c>
      <c r="J106" s="51" cm="1">
        <f t="array" ref="J106">_xlfn.SWITCH(D106,"C-Flute",(G106+H106)-10,"BC-Flute",(G106+H106)-16,0)</f>
        <v>0</v>
      </c>
      <c r="K106" s="53">
        <f t="shared" si="4"/>
        <v>0</v>
      </c>
      <c r="L106" s="54">
        <f t="shared" si="5"/>
        <v>0</v>
      </c>
      <c r="M106" s="55">
        <f t="shared" si="6"/>
        <v>0</v>
      </c>
      <c r="N106" s="63"/>
    </row>
    <row r="107" spans="1:14">
      <c r="A107" s="43"/>
      <c r="B107" s="43"/>
      <c r="C107" s="36" t="s">
        <v>85</v>
      </c>
      <c r="D107" s="43"/>
      <c r="E107" s="51">
        <f t="shared" si="0"/>
        <v>0</v>
      </c>
      <c r="F107" s="52"/>
      <c r="G107" s="52"/>
      <c r="H107" s="52"/>
      <c r="I107" s="51" cm="1">
        <f t="array" ref="I107">_xlfn.SWITCH(D107,"C-Flute",(F107+G107)*2+15,"BC-Flute",(F107+G107)*2+11,0)</f>
        <v>0</v>
      </c>
      <c r="J107" s="51" cm="1">
        <f t="array" ref="J107">_xlfn.SWITCH(D107,"C-Flute",(G107+H107)-10,"BC-Flute",(G107+H107)-16,0)</f>
        <v>0</v>
      </c>
      <c r="K107" s="53">
        <f t="shared" si="4"/>
        <v>0</v>
      </c>
      <c r="L107" s="54">
        <f t="shared" si="5"/>
        <v>0</v>
      </c>
      <c r="M107" s="55">
        <f t="shared" si="6"/>
        <v>0</v>
      </c>
      <c r="N107" s="63"/>
    </row>
    <row r="108" spans="1:14">
      <c r="A108" s="43"/>
      <c r="B108" s="43"/>
      <c r="C108" s="36" t="s">
        <v>85</v>
      </c>
      <c r="D108" s="43"/>
      <c r="E108" s="51">
        <f t="shared" si="0"/>
        <v>0</v>
      </c>
      <c r="F108" s="52"/>
      <c r="G108" s="52"/>
      <c r="H108" s="52"/>
      <c r="I108" s="51" cm="1">
        <f t="array" ref="I108">_xlfn.SWITCH(D108,"C-Flute",(F108+G108)*2+15,"BC-Flute",(F108+G108)*2+11,0)</f>
        <v>0</v>
      </c>
      <c r="J108" s="51" cm="1">
        <f t="array" ref="J108">_xlfn.SWITCH(D108,"C-Flute",(G108+H108)-10,"BC-Flute",(G108+H108)-16,0)</f>
        <v>0</v>
      </c>
      <c r="K108" s="53">
        <f t="shared" si="4"/>
        <v>0</v>
      </c>
      <c r="L108" s="54">
        <f t="shared" si="5"/>
        <v>0</v>
      </c>
      <c r="M108" s="55">
        <f t="shared" si="6"/>
        <v>0</v>
      </c>
      <c r="N108" s="63"/>
    </row>
    <row r="109" spans="1:14">
      <c r="A109" s="43"/>
      <c r="B109" s="43"/>
      <c r="C109" s="36" t="s">
        <v>85</v>
      </c>
      <c r="D109" s="43"/>
      <c r="E109" s="51">
        <f t="shared" si="0"/>
        <v>0</v>
      </c>
      <c r="F109" s="52"/>
      <c r="G109" s="52"/>
      <c r="H109" s="52"/>
      <c r="I109" s="51" cm="1">
        <f t="array" ref="I109">_xlfn.SWITCH(D109,"C-Flute",(F109+G109)*2+15,"BC-Flute",(F109+G109)*2+11,0)</f>
        <v>0</v>
      </c>
      <c r="J109" s="51" cm="1">
        <f t="array" ref="J109">_xlfn.SWITCH(D109,"C-Flute",(G109+H109)-10,"BC-Flute",(G109+H109)-16,0)</f>
        <v>0</v>
      </c>
      <c r="K109" s="53">
        <f t="shared" si="4"/>
        <v>0</v>
      </c>
      <c r="L109" s="54">
        <f t="shared" si="5"/>
        <v>0</v>
      </c>
      <c r="M109" s="55">
        <f t="shared" si="6"/>
        <v>0</v>
      </c>
      <c r="N109" s="63"/>
    </row>
    <row r="110" spans="1:14">
      <c r="A110" s="43"/>
      <c r="B110" s="43"/>
      <c r="C110" s="36" t="s">
        <v>85</v>
      </c>
      <c r="D110" s="43"/>
      <c r="E110" s="51">
        <f t="shared" si="0"/>
        <v>0</v>
      </c>
      <c r="F110" s="52"/>
      <c r="G110" s="52"/>
      <c r="H110" s="52"/>
      <c r="I110" s="51" cm="1">
        <f t="array" ref="I110">_xlfn.SWITCH(D110,"C-Flute",(F110+G110)*2+15,"BC-Flute",(F110+G110)*2+11,0)</f>
        <v>0</v>
      </c>
      <c r="J110" s="51" cm="1">
        <f t="array" ref="J110">_xlfn.SWITCH(D110,"C-Flute",(G110+H110)-10,"BC-Flute",(G110+H110)-16,0)</f>
        <v>0</v>
      </c>
      <c r="K110" s="53">
        <f t="shared" si="4"/>
        <v>0</v>
      </c>
      <c r="L110" s="54">
        <f t="shared" si="5"/>
        <v>0</v>
      </c>
      <c r="M110" s="55">
        <f t="shared" si="6"/>
        <v>0</v>
      </c>
      <c r="N110" s="63"/>
    </row>
    <row r="111" spans="1:14">
      <c r="A111" s="43"/>
      <c r="B111" s="43"/>
      <c r="C111" s="36" t="s">
        <v>85</v>
      </c>
      <c r="D111" s="43"/>
      <c r="E111" s="51">
        <f t="shared" si="0"/>
        <v>0</v>
      </c>
      <c r="F111" s="52"/>
      <c r="G111" s="52"/>
      <c r="H111" s="52"/>
      <c r="I111" s="51" cm="1">
        <f t="array" ref="I111">_xlfn.SWITCH(D111,"C-Flute",(F111+G111)*2+15,"BC-Flute",(F111+G111)*2+11,0)</f>
        <v>0</v>
      </c>
      <c r="J111" s="51" cm="1">
        <f t="array" ref="J111">_xlfn.SWITCH(D111,"C-Flute",(G111+H111)-10,"BC-Flute",(G111+H111)-16,0)</f>
        <v>0</v>
      </c>
      <c r="K111" s="53">
        <f t="shared" si="4"/>
        <v>0</v>
      </c>
      <c r="L111" s="54">
        <f t="shared" si="5"/>
        <v>0</v>
      </c>
      <c r="M111" s="55">
        <f t="shared" si="6"/>
        <v>0</v>
      </c>
      <c r="N111" s="63"/>
    </row>
    <row r="112" spans="1:14">
      <c r="A112" s="43"/>
      <c r="B112" s="43"/>
      <c r="C112" s="36" t="s">
        <v>85</v>
      </c>
      <c r="D112" s="43"/>
      <c r="E112" s="51">
        <f t="shared" si="0"/>
        <v>0</v>
      </c>
      <c r="F112" s="52"/>
      <c r="G112" s="52"/>
      <c r="H112" s="52"/>
      <c r="I112" s="51" cm="1">
        <f t="array" ref="I112">_xlfn.SWITCH(D112,"C-Flute",(F112+G112)*2+15,"BC-Flute",(F112+G112)*2+11,0)</f>
        <v>0</v>
      </c>
      <c r="J112" s="51" cm="1">
        <f t="array" ref="J112">_xlfn.SWITCH(D112,"C-Flute",(G112+H112)-10,"BC-Flute",(G112+H112)-16,0)</f>
        <v>0</v>
      </c>
      <c r="K112" s="53">
        <f t="shared" si="4"/>
        <v>0</v>
      </c>
      <c r="L112" s="54">
        <f t="shared" si="5"/>
        <v>0</v>
      </c>
      <c r="M112" s="55">
        <f t="shared" si="6"/>
        <v>0</v>
      </c>
      <c r="N112" s="63"/>
    </row>
    <row r="113" spans="1:14">
      <c r="A113" s="43"/>
      <c r="B113" s="43"/>
      <c r="C113" s="36" t="s">
        <v>85</v>
      </c>
      <c r="D113" s="43"/>
      <c r="E113" s="51">
        <f t="shared" si="0"/>
        <v>0</v>
      </c>
      <c r="F113" s="52"/>
      <c r="G113" s="52"/>
      <c r="H113" s="52"/>
      <c r="I113" s="51" cm="1">
        <f t="array" ref="I113">_xlfn.SWITCH(D113,"C-Flute",(F113+G113)*2+15,"BC-Flute",(F113+G113)*2+11,0)</f>
        <v>0</v>
      </c>
      <c r="J113" s="51" cm="1">
        <f t="array" ref="J113">_xlfn.SWITCH(D113,"C-Flute",(G113+H113)-10,"BC-Flute",(G113+H113)-16,0)</f>
        <v>0</v>
      </c>
      <c r="K113" s="53">
        <f t="shared" si="4"/>
        <v>0</v>
      </c>
      <c r="L113" s="54">
        <f t="shared" si="5"/>
        <v>0</v>
      </c>
      <c r="M113" s="55">
        <f t="shared" si="6"/>
        <v>0</v>
      </c>
      <c r="N113" s="63"/>
    </row>
    <row r="114" spans="1:14">
      <c r="A114" s="43"/>
      <c r="B114" s="43"/>
      <c r="C114" s="36" t="s">
        <v>85</v>
      </c>
      <c r="D114" s="43"/>
      <c r="E114" s="51">
        <f t="shared" si="0"/>
        <v>0</v>
      </c>
      <c r="F114" s="52"/>
      <c r="G114" s="52"/>
      <c r="H114" s="52"/>
      <c r="I114" s="51" cm="1">
        <f t="array" ref="I114">_xlfn.SWITCH(D114,"C-Flute",(F114+G114)*2+15,"BC-Flute",(F114+G114)*2+11,0)</f>
        <v>0</v>
      </c>
      <c r="J114" s="51" cm="1">
        <f t="array" ref="J114">_xlfn.SWITCH(D114,"C-Flute",(G114+H114)-10,"BC-Flute",(G114+H114)-16,0)</f>
        <v>0</v>
      </c>
      <c r="K114" s="53">
        <f t="shared" si="4"/>
        <v>0</v>
      </c>
      <c r="L114" s="54">
        <f t="shared" si="5"/>
        <v>0</v>
      </c>
      <c r="M114" s="55">
        <f t="shared" si="6"/>
        <v>0</v>
      </c>
      <c r="N114" s="63"/>
    </row>
    <row r="115" spans="1:14">
      <c r="A115" s="43"/>
      <c r="B115" s="43"/>
      <c r="C115" s="36" t="s">
        <v>85</v>
      </c>
      <c r="D115" s="43"/>
      <c r="E115" s="51">
        <f t="shared" si="0"/>
        <v>0</v>
      </c>
      <c r="F115" s="52"/>
      <c r="G115" s="52"/>
      <c r="H115" s="52"/>
      <c r="I115" s="51" cm="1">
        <f t="array" ref="I115">_xlfn.SWITCH(D115,"C-Flute",(F115+G115)*2+15,"BC-Flute",(F115+G115)*2+11,0)</f>
        <v>0</v>
      </c>
      <c r="J115" s="51" cm="1">
        <f t="array" ref="J115">_xlfn.SWITCH(D115,"C-Flute",(G115+H115)-10,"BC-Flute",(G115+H115)-16,0)</f>
        <v>0</v>
      </c>
      <c r="K115" s="53">
        <f t="shared" si="4"/>
        <v>0</v>
      </c>
      <c r="L115" s="54">
        <f t="shared" si="5"/>
        <v>0</v>
      </c>
      <c r="M115" s="55">
        <f t="shared" si="6"/>
        <v>0</v>
      </c>
      <c r="N115" s="63"/>
    </row>
    <row r="116" spans="1:14">
      <c r="A116" s="43"/>
      <c r="B116" s="43"/>
      <c r="C116" s="36" t="s">
        <v>85</v>
      </c>
      <c r="D116" s="43"/>
      <c r="E116" s="51">
        <f t="shared" si="0"/>
        <v>0</v>
      </c>
      <c r="F116" s="52"/>
      <c r="G116" s="52"/>
      <c r="H116" s="52"/>
      <c r="I116" s="51" cm="1">
        <f t="array" ref="I116">_xlfn.SWITCH(D116,"C-Flute",(F116+G116)*2+15,"BC-Flute",(F116+G116)*2+11,0)</f>
        <v>0</v>
      </c>
      <c r="J116" s="51" cm="1">
        <f t="array" ref="J116">_xlfn.SWITCH(D116,"C-Flute",(G116+H116)-10,"BC-Flute",(G116+H116)-16,0)</f>
        <v>0</v>
      </c>
      <c r="K116" s="53">
        <f t="shared" si="4"/>
        <v>0</v>
      </c>
      <c r="L116" s="54">
        <f t="shared" si="5"/>
        <v>0</v>
      </c>
      <c r="M116" s="55">
        <f t="shared" si="6"/>
        <v>0</v>
      </c>
      <c r="N116" s="63"/>
    </row>
    <row r="117" spans="1:14">
      <c r="A117" s="43"/>
      <c r="B117" s="43"/>
      <c r="C117" s="36" t="s">
        <v>85</v>
      </c>
      <c r="D117" s="43"/>
      <c r="E117" s="51">
        <f t="shared" si="0"/>
        <v>0</v>
      </c>
      <c r="F117" s="52"/>
      <c r="G117" s="52"/>
      <c r="H117" s="52"/>
      <c r="I117" s="51" cm="1">
        <f t="array" ref="I117">_xlfn.SWITCH(D117,"C-Flute",(F117+G117)*2+15,"BC-Flute",(F117+G117)*2+11,0)</f>
        <v>0</v>
      </c>
      <c r="J117" s="51" cm="1">
        <f t="array" ref="J117">_xlfn.SWITCH(D117,"C-Flute",(G117+H117)-10,"BC-Flute",(G117+H117)-16,0)</f>
        <v>0</v>
      </c>
      <c r="K117" s="53">
        <f t="shared" si="4"/>
        <v>0</v>
      </c>
      <c r="L117" s="54">
        <f t="shared" si="5"/>
        <v>0</v>
      </c>
      <c r="M117" s="55">
        <f t="shared" si="6"/>
        <v>0</v>
      </c>
      <c r="N117" s="63"/>
    </row>
    <row r="118" spans="1:14">
      <c r="A118" s="43"/>
      <c r="B118" s="43"/>
      <c r="C118" s="36" t="s">
        <v>85</v>
      </c>
      <c r="D118" s="43"/>
      <c r="E118" s="51">
        <f t="shared" si="0"/>
        <v>0</v>
      </c>
      <c r="F118" s="52"/>
      <c r="G118" s="52"/>
      <c r="H118" s="52"/>
      <c r="I118" s="51" cm="1">
        <f t="array" ref="I118">_xlfn.SWITCH(D118,"C-Flute",(F118+G118)*2+15,"BC-Flute",(F118+G118)*2+11,0)</f>
        <v>0</v>
      </c>
      <c r="J118" s="51" cm="1">
        <f t="array" ref="J118">_xlfn.SWITCH(D118,"C-Flute",(G118+H118)-10,"BC-Flute",(G118+H118)-16,0)</f>
        <v>0</v>
      </c>
      <c r="K118" s="53">
        <f t="shared" si="4"/>
        <v>0</v>
      </c>
      <c r="L118" s="54">
        <f t="shared" si="5"/>
        <v>0</v>
      </c>
      <c r="M118" s="55">
        <f t="shared" si="6"/>
        <v>0</v>
      </c>
      <c r="N118" s="63"/>
    </row>
    <row r="119" spans="1:14">
      <c r="A119" s="43"/>
      <c r="B119" s="43"/>
      <c r="C119" s="36" t="s">
        <v>85</v>
      </c>
      <c r="D119" s="43"/>
      <c r="E119" s="51">
        <f t="shared" si="0"/>
        <v>0</v>
      </c>
      <c r="F119" s="52"/>
      <c r="G119" s="52"/>
      <c r="H119" s="52"/>
      <c r="I119" s="51" cm="1">
        <f t="array" ref="I119">_xlfn.SWITCH(D119,"C-Flute",(F119+G119)*2+15,"BC-Flute",(F119+G119)*2+11,0)</f>
        <v>0</v>
      </c>
      <c r="J119" s="51" cm="1">
        <f t="array" ref="J119">_xlfn.SWITCH(D119,"C-Flute",(G119+H119)-10,"BC-Flute",(G119+H119)-16,0)</f>
        <v>0</v>
      </c>
      <c r="K119" s="53">
        <f t="shared" si="4"/>
        <v>0</v>
      </c>
      <c r="L119" s="54">
        <f t="shared" si="5"/>
        <v>0</v>
      </c>
      <c r="M119" s="55">
        <f t="shared" si="6"/>
        <v>0</v>
      </c>
      <c r="N119" s="63"/>
    </row>
    <row r="120" spans="1:14">
      <c r="A120" s="43"/>
      <c r="B120" s="43"/>
      <c r="C120" s="36" t="s">
        <v>85</v>
      </c>
      <c r="D120" s="43"/>
      <c r="E120" s="51">
        <f t="shared" si="0"/>
        <v>0</v>
      </c>
      <c r="F120" s="52"/>
      <c r="G120" s="52"/>
      <c r="H120" s="52"/>
      <c r="I120" s="51" cm="1">
        <f t="array" ref="I120">_xlfn.SWITCH(D120,"C-Flute",(F120+G120)*2+15,"BC-Flute",(F120+G120)*2+11,0)</f>
        <v>0</v>
      </c>
      <c r="J120" s="51" cm="1">
        <f t="array" ref="J120">_xlfn.SWITCH(D120,"C-Flute",(G120+H120)-10,"BC-Flute",(G120+H120)-16,0)</f>
        <v>0</v>
      </c>
      <c r="K120" s="53">
        <f t="shared" si="4"/>
        <v>0</v>
      </c>
      <c r="L120" s="54">
        <f t="shared" si="5"/>
        <v>0</v>
      </c>
      <c r="M120" s="55">
        <f t="shared" si="6"/>
        <v>0</v>
      </c>
      <c r="N120" s="63"/>
    </row>
    <row r="121" spans="1:14">
      <c r="A121" s="43"/>
      <c r="B121" s="43"/>
      <c r="C121" s="36" t="s">
        <v>85</v>
      </c>
      <c r="D121" s="43"/>
      <c r="E121" s="51">
        <f t="shared" si="0"/>
        <v>0</v>
      </c>
      <c r="F121" s="52"/>
      <c r="G121" s="52"/>
      <c r="H121" s="52"/>
      <c r="I121" s="51" cm="1">
        <f t="array" ref="I121">_xlfn.SWITCH(D121,"C-Flute",(F121+G121)*2+15,"BC-Flute",(F121+G121)*2+11,0)</f>
        <v>0</v>
      </c>
      <c r="J121" s="51" cm="1">
        <f t="array" ref="J121">_xlfn.SWITCH(D121,"C-Flute",(G121+H121)-10,"BC-Flute",(G121+H121)-16,0)</f>
        <v>0</v>
      </c>
      <c r="K121" s="53">
        <f t="shared" si="4"/>
        <v>0</v>
      </c>
      <c r="L121" s="54">
        <f t="shared" si="5"/>
        <v>0</v>
      </c>
      <c r="M121" s="55">
        <f t="shared" si="6"/>
        <v>0</v>
      </c>
      <c r="N121" s="63"/>
    </row>
    <row r="122" spans="1:14">
      <c r="A122" s="43"/>
      <c r="B122" s="43"/>
      <c r="C122" s="36" t="s">
        <v>85</v>
      </c>
      <c r="D122" s="43"/>
      <c r="E122" s="51">
        <f t="shared" si="0"/>
        <v>0</v>
      </c>
      <c r="F122" s="52"/>
      <c r="G122" s="52"/>
      <c r="H122" s="52"/>
      <c r="I122" s="51" cm="1">
        <f t="array" ref="I122">_xlfn.SWITCH(D122,"C-Flute",(F122+G122)*2+15,"BC-Flute",(F122+G122)*2+11,0)</f>
        <v>0</v>
      </c>
      <c r="J122" s="51" cm="1">
        <f t="array" ref="J122">_xlfn.SWITCH(D122,"C-Flute",(G122+H122)-10,"BC-Flute",(G122+H122)-16,0)</f>
        <v>0</v>
      </c>
      <c r="K122" s="53">
        <f t="shared" si="4"/>
        <v>0</v>
      </c>
      <c r="L122" s="54">
        <f t="shared" si="5"/>
        <v>0</v>
      </c>
      <c r="M122" s="55">
        <f t="shared" si="6"/>
        <v>0</v>
      </c>
      <c r="N122" s="63"/>
    </row>
    <row r="123" spans="1:14">
      <c r="A123" s="43"/>
      <c r="B123" s="43"/>
      <c r="C123" s="36" t="s">
        <v>85</v>
      </c>
      <c r="D123" s="43"/>
      <c r="E123" s="51">
        <f t="shared" si="0"/>
        <v>0</v>
      </c>
      <c r="F123" s="52"/>
      <c r="G123" s="52"/>
      <c r="H123" s="52"/>
      <c r="I123" s="51" cm="1">
        <f t="array" ref="I123">_xlfn.SWITCH(D123,"C-Flute",(F123+G123)*2+15,"BC-Flute",(F123+G123)*2+11,0)</f>
        <v>0</v>
      </c>
      <c r="J123" s="51" cm="1">
        <f t="array" ref="J123">_xlfn.SWITCH(D123,"C-Flute",(G123+H123)-10,"BC-Flute",(G123+H123)-16,0)</f>
        <v>0</v>
      </c>
      <c r="K123" s="53">
        <f t="shared" si="4"/>
        <v>0</v>
      </c>
      <c r="L123" s="54">
        <f t="shared" si="5"/>
        <v>0</v>
      </c>
      <c r="M123" s="55">
        <f t="shared" si="6"/>
        <v>0</v>
      </c>
      <c r="N123" s="63"/>
    </row>
    <row r="124" spans="1:14">
      <c r="A124" s="43"/>
      <c r="B124" s="43"/>
      <c r="C124" s="36" t="s">
        <v>85</v>
      </c>
      <c r="D124" s="43"/>
      <c r="E124" s="51">
        <f t="shared" si="0"/>
        <v>0</v>
      </c>
      <c r="F124" s="52"/>
      <c r="G124" s="52"/>
      <c r="H124" s="52"/>
      <c r="I124" s="51" cm="1">
        <f t="array" ref="I124">_xlfn.SWITCH(D124,"C-Flute",(F124+G124)*2+15,"BC-Flute",(F124+G124)*2+11,0)</f>
        <v>0</v>
      </c>
      <c r="J124" s="51" cm="1">
        <f t="array" ref="J124">_xlfn.SWITCH(D124,"C-Flute",(G124+H124)-10,"BC-Flute",(G124+H124)-16,0)</f>
        <v>0</v>
      </c>
      <c r="K124" s="53">
        <f t="shared" si="4"/>
        <v>0</v>
      </c>
      <c r="L124" s="54">
        <f t="shared" si="5"/>
        <v>0</v>
      </c>
      <c r="M124" s="55">
        <f t="shared" si="6"/>
        <v>0</v>
      </c>
      <c r="N124" s="63"/>
    </row>
    <row r="125" spans="1:14">
      <c r="A125" s="43"/>
      <c r="B125" s="43"/>
      <c r="C125" s="36" t="s">
        <v>85</v>
      </c>
      <c r="D125" s="43"/>
      <c r="E125" s="51">
        <f t="shared" si="0"/>
        <v>0</v>
      </c>
      <c r="F125" s="52"/>
      <c r="G125" s="52"/>
      <c r="H125" s="52"/>
      <c r="I125" s="51" cm="1">
        <f t="array" ref="I125">_xlfn.SWITCH(D125,"C-Flute",(F125+G125)*2+15,"BC-Flute",(F125+G125)*2+11,0)</f>
        <v>0</v>
      </c>
      <c r="J125" s="51" cm="1">
        <f t="array" ref="J125">_xlfn.SWITCH(D125,"C-Flute",(G125+H125)-10,"BC-Flute",(G125+H125)-16,0)</f>
        <v>0</v>
      </c>
      <c r="K125" s="53">
        <f t="shared" si="4"/>
        <v>0</v>
      </c>
      <c r="L125" s="54">
        <f t="shared" si="5"/>
        <v>0</v>
      </c>
      <c r="M125" s="55">
        <f t="shared" si="6"/>
        <v>0</v>
      </c>
      <c r="N125" s="63"/>
    </row>
    <row r="126" spans="1:14">
      <c r="A126" s="43"/>
      <c r="B126" s="43"/>
      <c r="C126" s="36" t="s">
        <v>85</v>
      </c>
      <c r="D126" s="43"/>
      <c r="E126" s="51">
        <f t="shared" si="0"/>
        <v>0</v>
      </c>
      <c r="F126" s="52"/>
      <c r="G126" s="52"/>
      <c r="H126" s="52"/>
      <c r="I126" s="51" cm="1">
        <f t="array" ref="I126">_xlfn.SWITCH(D126,"C-Flute",(F126+G126)*2+15,"BC-Flute",(F126+G126)*2+11,0)</f>
        <v>0</v>
      </c>
      <c r="J126" s="51" cm="1">
        <f t="array" ref="J126">_xlfn.SWITCH(D126,"C-Flute",(G126+H126)-10,"BC-Flute",(G126+H126)-16,0)</f>
        <v>0</v>
      </c>
      <c r="K126" s="53">
        <f t="shared" si="4"/>
        <v>0</v>
      </c>
      <c r="L126" s="54">
        <f t="shared" si="5"/>
        <v>0</v>
      </c>
      <c r="M126" s="55">
        <f t="shared" si="6"/>
        <v>0</v>
      </c>
      <c r="N126" s="63"/>
    </row>
    <row r="127" spans="1:14">
      <c r="A127" s="43"/>
      <c r="B127" s="43"/>
      <c r="C127" s="36" t="s">
        <v>85</v>
      </c>
      <c r="D127" s="43"/>
      <c r="E127" s="51">
        <f t="shared" si="0"/>
        <v>0</v>
      </c>
      <c r="F127" s="52"/>
      <c r="G127" s="52"/>
      <c r="H127" s="52"/>
      <c r="I127" s="51" cm="1">
        <f t="array" ref="I127">_xlfn.SWITCH(D127,"C-Flute",(F127+G127)*2+15,"BC-Flute",(F127+G127)*2+11,0)</f>
        <v>0</v>
      </c>
      <c r="J127" s="51" cm="1">
        <f t="array" ref="J127">_xlfn.SWITCH(D127,"C-Flute",(G127+H127)-10,"BC-Flute",(G127+H127)-16,0)</f>
        <v>0</v>
      </c>
      <c r="K127" s="53">
        <f t="shared" si="4"/>
        <v>0</v>
      </c>
      <c r="L127" s="54">
        <f t="shared" si="5"/>
        <v>0</v>
      </c>
      <c r="M127" s="55">
        <f t="shared" si="6"/>
        <v>0</v>
      </c>
      <c r="N127" s="63"/>
    </row>
    <row r="128" spans="1:14">
      <c r="A128" s="43"/>
      <c r="B128" s="43"/>
      <c r="C128" s="36" t="s">
        <v>85</v>
      </c>
      <c r="D128" s="43"/>
      <c r="E128" s="51">
        <f t="shared" si="0"/>
        <v>0</v>
      </c>
      <c r="F128" s="52"/>
      <c r="G128" s="52"/>
      <c r="H128" s="52"/>
      <c r="I128" s="51" cm="1">
        <f t="array" ref="I128">_xlfn.SWITCH(D128,"C-Flute",(F128+G128)*2+15,"BC-Flute",(F128+G128)*2+11,0)</f>
        <v>0</v>
      </c>
      <c r="J128" s="51" cm="1">
        <f t="array" ref="J128">_xlfn.SWITCH(D128,"C-Flute",(G128+H128)-10,"BC-Flute",(G128+H128)-16,0)</f>
        <v>0</v>
      </c>
      <c r="K128" s="53">
        <f t="shared" si="4"/>
        <v>0</v>
      </c>
      <c r="L128" s="54">
        <f t="shared" si="5"/>
        <v>0</v>
      </c>
      <c r="M128" s="55">
        <f t="shared" si="6"/>
        <v>0</v>
      </c>
      <c r="N128" s="63"/>
    </row>
    <row r="129" spans="1:14">
      <c r="A129" s="43"/>
      <c r="B129" s="43"/>
      <c r="C129" s="36" t="s">
        <v>85</v>
      </c>
      <c r="D129" s="43"/>
      <c r="E129" s="51">
        <f t="shared" si="0"/>
        <v>0</v>
      </c>
      <c r="F129" s="52"/>
      <c r="G129" s="52"/>
      <c r="H129" s="52"/>
      <c r="I129" s="51" cm="1">
        <f t="array" ref="I129">_xlfn.SWITCH(D129,"C-Flute",(F129+G129)*2+15,"BC-Flute",(F129+G129)*2+11,0)</f>
        <v>0</v>
      </c>
      <c r="J129" s="51" cm="1">
        <f t="array" ref="J129">_xlfn.SWITCH(D129,"C-Flute",(G129+H129)-10,"BC-Flute",(G129+H129)-16,0)</f>
        <v>0</v>
      </c>
      <c r="K129" s="53">
        <f t="shared" si="4"/>
        <v>0</v>
      </c>
      <c r="L129" s="54">
        <f t="shared" si="5"/>
        <v>0</v>
      </c>
      <c r="M129" s="55">
        <f t="shared" si="6"/>
        <v>0</v>
      </c>
      <c r="N129" s="63"/>
    </row>
    <row r="130" spans="1:14">
      <c r="A130" s="43"/>
      <c r="B130" s="43"/>
      <c r="C130" s="36" t="s">
        <v>85</v>
      </c>
      <c r="D130" s="43"/>
      <c r="E130" s="51">
        <f t="shared" si="0"/>
        <v>0</v>
      </c>
      <c r="F130" s="52"/>
      <c r="G130" s="52"/>
      <c r="H130" s="52"/>
      <c r="I130" s="51" cm="1">
        <f t="array" ref="I130">_xlfn.SWITCH(D130,"C-Flute",(F130+G130)*2+15,"BC-Flute",(F130+G130)*2+11,0)</f>
        <v>0</v>
      </c>
      <c r="J130" s="51" cm="1">
        <f t="array" ref="J130">_xlfn.SWITCH(D130,"C-Flute",(G130+H130)-10,"BC-Flute",(G130+H130)-16,0)</f>
        <v>0</v>
      </c>
      <c r="K130" s="53">
        <f t="shared" si="4"/>
        <v>0</v>
      </c>
      <c r="L130" s="54">
        <f t="shared" si="5"/>
        <v>0</v>
      </c>
      <c r="M130" s="55">
        <f t="shared" si="6"/>
        <v>0</v>
      </c>
      <c r="N130" s="63"/>
    </row>
    <row r="131" spans="1:14">
      <c r="A131" s="43"/>
      <c r="B131" s="43"/>
      <c r="C131" s="36" t="s">
        <v>85</v>
      </c>
      <c r="D131" s="43"/>
      <c r="E131" s="51">
        <f t="shared" si="0"/>
        <v>0</v>
      </c>
      <c r="F131" s="52"/>
      <c r="G131" s="52"/>
      <c r="H131" s="52"/>
      <c r="I131" s="51" cm="1">
        <f t="array" ref="I131">_xlfn.SWITCH(D131,"C-Flute",(F131+G131)*2+15,"BC-Flute",(F131+G131)*2+11,0)</f>
        <v>0</v>
      </c>
      <c r="J131" s="51" cm="1">
        <f t="array" ref="J131">_xlfn.SWITCH(D131,"C-Flute",(G131+H131)-10,"BC-Flute",(G131+H131)-16,0)</f>
        <v>0</v>
      </c>
      <c r="K131" s="53">
        <f t="shared" si="4"/>
        <v>0</v>
      </c>
      <c r="L131" s="54">
        <f t="shared" si="5"/>
        <v>0</v>
      </c>
      <c r="M131" s="55">
        <f t="shared" si="6"/>
        <v>0</v>
      </c>
      <c r="N131" s="63"/>
    </row>
    <row r="132" spans="1:14">
      <c r="A132" s="43"/>
      <c r="B132" s="43"/>
      <c r="C132" s="36" t="s">
        <v>85</v>
      </c>
      <c r="D132" s="43"/>
      <c r="E132" s="51">
        <f t="shared" si="0"/>
        <v>0</v>
      </c>
      <c r="F132" s="52"/>
      <c r="G132" s="52"/>
      <c r="H132" s="52"/>
      <c r="I132" s="51" cm="1">
        <f t="array" ref="I132">_xlfn.SWITCH(D132,"C-Flute",(F132+G132)*2+15,"BC-Flute",(F132+G132)*2+11,0)</f>
        <v>0</v>
      </c>
      <c r="J132" s="51" cm="1">
        <f t="array" ref="J132">_xlfn.SWITCH(D132,"C-Flute",(G132+H132)-10,"BC-Flute",(G132+H132)-16,0)</f>
        <v>0</v>
      </c>
      <c r="K132" s="53">
        <f t="shared" si="4"/>
        <v>0</v>
      </c>
      <c r="L132" s="54">
        <f t="shared" si="5"/>
        <v>0</v>
      </c>
      <c r="M132" s="55">
        <f t="shared" si="6"/>
        <v>0</v>
      </c>
      <c r="N132" s="63"/>
    </row>
    <row r="133" spans="1:14">
      <c r="A133" s="43"/>
      <c r="B133" s="43"/>
      <c r="C133" s="36" t="s">
        <v>85</v>
      </c>
      <c r="D133" s="43"/>
      <c r="E133" s="51">
        <f t="shared" si="0"/>
        <v>0</v>
      </c>
      <c r="F133" s="52"/>
      <c r="G133" s="52"/>
      <c r="H133" s="52"/>
      <c r="I133" s="51" cm="1">
        <f t="array" ref="I133">_xlfn.SWITCH(D133,"C-Flute",(F133+G133)*2+15,"BC-Flute",(F133+G133)*2+11,0)</f>
        <v>0</v>
      </c>
      <c r="J133" s="51" cm="1">
        <f t="array" ref="J133">_xlfn.SWITCH(D133,"C-Flute",(G133+H133)-10,"BC-Flute",(G133+H133)-16,0)</f>
        <v>0</v>
      </c>
      <c r="K133" s="53">
        <f t="shared" si="4"/>
        <v>0</v>
      </c>
      <c r="L133" s="54">
        <f t="shared" si="5"/>
        <v>0</v>
      </c>
      <c r="M133" s="55">
        <f t="shared" si="6"/>
        <v>0</v>
      </c>
      <c r="N133" s="63"/>
    </row>
    <row r="134" spans="1:14">
      <c r="A134" s="43"/>
      <c r="B134" s="43"/>
      <c r="C134" s="36" t="s">
        <v>85</v>
      </c>
      <c r="D134" s="43"/>
      <c r="E134" s="51">
        <f t="shared" si="0"/>
        <v>0</v>
      </c>
      <c r="F134" s="52"/>
      <c r="G134" s="52"/>
      <c r="H134" s="52"/>
      <c r="I134" s="51" cm="1">
        <f t="array" ref="I134">_xlfn.SWITCH(D134,"C-Flute",(F134+G134)*2+15,"BC-Flute",(F134+G134)*2+11,0)</f>
        <v>0</v>
      </c>
      <c r="J134" s="51" cm="1">
        <f t="array" ref="J134">_xlfn.SWITCH(D134,"C-Flute",(G134+H134)-10,"BC-Flute",(G134+H134)-16,0)</f>
        <v>0</v>
      </c>
      <c r="K134" s="53">
        <f t="shared" si="4"/>
        <v>0</v>
      </c>
      <c r="L134" s="54">
        <f t="shared" si="5"/>
        <v>0</v>
      </c>
      <c r="M134" s="55">
        <f t="shared" si="6"/>
        <v>0</v>
      </c>
      <c r="N134" s="63"/>
    </row>
    <row r="135" spans="1:14">
      <c r="A135" s="43"/>
      <c r="B135" s="43"/>
      <c r="C135" s="36" t="s">
        <v>85</v>
      </c>
      <c r="D135" s="43"/>
      <c r="E135" s="51">
        <f t="shared" si="0"/>
        <v>0</v>
      </c>
      <c r="F135" s="52"/>
      <c r="G135" s="52"/>
      <c r="H135" s="52"/>
      <c r="I135" s="51" cm="1">
        <f t="array" ref="I135">_xlfn.SWITCH(D135,"C-Flute",(F135+G135)*2+15,"BC-Flute",(F135+G135)*2+11,0)</f>
        <v>0</v>
      </c>
      <c r="J135" s="51" cm="1">
        <f t="array" ref="J135">_xlfn.SWITCH(D135,"C-Flute",(G135+H135)-10,"BC-Flute",(G135+H135)-16,0)</f>
        <v>0</v>
      </c>
      <c r="K135" s="53">
        <f t="shared" si="4"/>
        <v>0</v>
      </c>
      <c r="L135" s="54">
        <f t="shared" si="5"/>
        <v>0</v>
      </c>
      <c r="M135" s="55">
        <f t="shared" si="6"/>
        <v>0</v>
      </c>
      <c r="N135" s="63"/>
    </row>
    <row r="136" spans="1:14">
      <c r="A136" s="43"/>
      <c r="B136" s="43"/>
      <c r="C136" s="36" t="s">
        <v>85</v>
      </c>
      <c r="D136" s="43"/>
      <c r="E136" s="51">
        <f t="shared" si="0"/>
        <v>0</v>
      </c>
      <c r="F136" s="52"/>
      <c r="G136" s="52"/>
      <c r="H136" s="52"/>
      <c r="I136" s="51" cm="1">
        <f t="array" ref="I136">_xlfn.SWITCH(D136,"C-Flute",(F136+G136)*2+15,"BC-Flute",(F136+G136)*2+11,0)</f>
        <v>0</v>
      </c>
      <c r="J136" s="51" cm="1">
        <f t="array" ref="J136">_xlfn.SWITCH(D136,"C-Flute",(G136+H136)-10,"BC-Flute",(G136+H136)-16,0)</f>
        <v>0</v>
      </c>
      <c r="K136" s="53">
        <f t="shared" si="4"/>
        <v>0</v>
      </c>
      <c r="L136" s="54">
        <f t="shared" si="5"/>
        <v>0</v>
      </c>
      <c r="M136" s="55">
        <f t="shared" si="6"/>
        <v>0</v>
      </c>
      <c r="N136" s="63"/>
    </row>
    <row r="137" spans="1:14">
      <c r="A137" s="43"/>
      <c r="B137" s="43"/>
      <c r="C137" s="36" t="s">
        <v>85</v>
      </c>
      <c r="D137" s="43"/>
      <c r="E137" s="51">
        <f t="shared" si="0"/>
        <v>0</v>
      </c>
      <c r="F137" s="52"/>
      <c r="G137" s="52"/>
      <c r="H137" s="52"/>
      <c r="I137" s="51" cm="1">
        <f t="array" ref="I137">_xlfn.SWITCH(D137,"C-Flute",(F137+G137)*2+15,"BC-Flute",(F137+G137)*2+11,0)</f>
        <v>0</v>
      </c>
      <c r="J137" s="51" cm="1">
        <f t="array" ref="J137">_xlfn.SWITCH(D137,"C-Flute",(G137+H137)-10,"BC-Flute",(G137+H137)-16,0)</f>
        <v>0</v>
      </c>
      <c r="K137" s="53">
        <f t="shared" si="4"/>
        <v>0</v>
      </c>
      <c r="L137" s="54">
        <f t="shared" si="5"/>
        <v>0</v>
      </c>
      <c r="M137" s="55">
        <f t="shared" si="6"/>
        <v>0</v>
      </c>
      <c r="N137" s="63"/>
    </row>
    <row r="138" spans="1:14">
      <c r="A138" s="43"/>
      <c r="B138" s="43"/>
      <c r="C138" s="36" t="s">
        <v>85</v>
      </c>
      <c r="D138" s="43"/>
      <c r="E138" s="51">
        <f t="shared" si="0"/>
        <v>0</v>
      </c>
      <c r="F138" s="52"/>
      <c r="G138" s="52"/>
      <c r="H138" s="52"/>
      <c r="I138" s="51" cm="1">
        <f t="array" ref="I138">_xlfn.SWITCH(D138,"C-Flute",(F138+G138)*2+15,"BC-Flute",(F138+G138)*2+11,0)</f>
        <v>0</v>
      </c>
      <c r="J138" s="51" cm="1">
        <f t="array" ref="J138">_xlfn.SWITCH(D138,"C-Flute",(G138+H138)-10,"BC-Flute",(G138+H138)-16,0)</f>
        <v>0</v>
      </c>
      <c r="K138" s="53">
        <f t="shared" si="4"/>
        <v>0</v>
      </c>
      <c r="L138" s="54">
        <f t="shared" si="5"/>
        <v>0</v>
      </c>
      <c r="M138" s="55">
        <f t="shared" si="6"/>
        <v>0</v>
      </c>
      <c r="N138" s="63"/>
    </row>
    <row r="139" spans="1:14">
      <c r="A139" s="43"/>
      <c r="B139" s="43"/>
      <c r="C139" s="36" t="s">
        <v>85</v>
      </c>
      <c r="D139" s="43"/>
      <c r="E139" s="51">
        <f t="shared" si="0"/>
        <v>0</v>
      </c>
      <c r="F139" s="52"/>
      <c r="G139" s="52"/>
      <c r="H139" s="52"/>
      <c r="I139" s="51" cm="1">
        <f t="array" ref="I139">_xlfn.SWITCH(D139,"C-Flute",(F139+G139)*2+15,"BC-Flute",(F139+G139)*2+11,0)</f>
        <v>0</v>
      </c>
      <c r="J139" s="51" cm="1">
        <f t="array" ref="J139">_xlfn.SWITCH(D139,"C-Flute",(G139+H139)-10,"BC-Flute",(G139+H139)-16,0)</f>
        <v>0</v>
      </c>
      <c r="K139" s="53">
        <f t="shared" si="4"/>
        <v>0</v>
      </c>
      <c r="L139" s="54">
        <f t="shared" si="5"/>
        <v>0</v>
      </c>
      <c r="M139" s="55">
        <f t="shared" si="6"/>
        <v>0</v>
      </c>
      <c r="N139" s="63"/>
    </row>
    <row r="140" spans="1:14">
      <c r="A140" s="43"/>
      <c r="B140" s="43"/>
      <c r="C140" s="36" t="s">
        <v>85</v>
      </c>
      <c r="D140" s="43"/>
      <c r="E140" s="51">
        <f t="shared" si="0"/>
        <v>0</v>
      </c>
      <c r="F140" s="52"/>
      <c r="G140" s="52"/>
      <c r="H140" s="52"/>
      <c r="I140" s="51" cm="1">
        <f t="array" ref="I140">_xlfn.SWITCH(D140,"C-Flute",(F140+G140)*2+15,"BC-Flute",(F140+G140)*2+11,0)</f>
        <v>0</v>
      </c>
      <c r="J140" s="51" cm="1">
        <f t="array" ref="J140">_xlfn.SWITCH(D140,"C-Flute",(G140+H140)-10,"BC-Flute",(G140+H140)-16,0)</f>
        <v>0</v>
      </c>
      <c r="K140" s="53">
        <f t="shared" si="4"/>
        <v>0</v>
      </c>
      <c r="L140" s="54">
        <f t="shared" si="5"/>
        <v>0</v>
      </c>
      <c r="M140" s="55">
        <f t="shared" si="6"/>
        <v>0</v>
      </c>
      <c r="N140" s="63"/>
    </row>
    <row r="141" spans="1:14">
      <c r="A141" s="43"/>
      <c r="B141" s="43"/>
      <c r="C141" s="36" t="s">
        <v>85</v>
      </c>
      <c r="D141" s="43"/>
      <c r="E141" s="51">
        <f t="shared" si="0"/>
        <v>0</v>
      </c>
      <c r="F141" s="52"/>
      <c r="G141" s="52"/>
      <c r="H141" s="52"/>
      <c r="I141" s="51" cm="1">
        <f t="array" ref="I141">_xlfn.SWITCH(D141,"C-Flute",(F141+G141)*2+15,"BC-Flute",(F141+G141)*2+11,0)</f>
        <v>0</v>
      </c>
      <c r="J141" s="51" cm="1">
        <f t="array" ref="J141">_xlfn.SWITCH(D141,"C-Flute",(G141+H141)-10,"BC-Flute",(G141+H141)-16,0)</f>
        <v>0</v>
      </c>
      <c r="K141" s="53">
        <f t="shared" si="4"/>
        <v>0</v>
      </c>
      <c r="L141" s="54">
        <f t="shared" si="5"/>
        <v>0</v>
      </c>
      <c r="M141" s="55">
        <f t="shared" si="6"/>
        <v>0</v>
      </c>
      <c r="N141" s="63"/>
    </row>
    <row r="142" spans="1:14">
      <c r="A142" s="43"/>
      <c r="B142" s="43"/>
      <c r="C142" s="36" t="s">
        <v>85</v>
      </c>
      <c r="D142" s="43"/>
      <c r="E142" s="51">
        <f t="shared" si="0"/>
        <v>0</v>
      </c>
      <c r="F142" s="52"/>
      <c r="G142" s="52"/>
      <c r="H142" s="52"/>
      <c r="I142" s="51" cm="1">
        <f t="array" ref="I142">_xlfn.SWITCH(D142,"C-Flute",(F142+G142)*2+15,"BC-Flute",(F142+G142)*2+11,0)</f>
        <v>0</v>
      </c>
      <c r="J142" s="51" cm="1">
        <f t="array" ref="J142">_xlfn.SWITCH(D142,"C-Flute",(G142+H142)-10,"BC-Flute",(G142+H142)-16,0)</f>
        <v>0</v>
      </c>
      <c r="K142" s="53">
        <f t="shared" si="4"/>
        <v>0</v>
      </c>
      <c r="L142" s="54">
        <f t="shared" si="5"/>
        <v>0</v>
      </c>
      <c r="M142" s="55">
        <f t="shared" si="6"/>
        <v>0</v>
      </c>
      <c r="N142" s="63"/>
    </row>
    <row r="143" spans="1:14">
      <c r="A143" s="43"/>
      <c r="B143" s="43"/>
      <c r="C143" s="36" t="s">
        <v>85</v>
      </c>
      <c r="D143" s="43"/>
      <c r="E143" s="51">
        <f t="shared" si="0"/>
        <v>0</v>
      </c>
      <c r="F143" s="52"/>
      <c r="G143" s="52"/>
      <c r="H143" s="52"/>
      <c r="I143" s="51" cm="1">
        <f t="array" ref="I143">_xlfn.SWITCH(D143,"C-Flute",(F143+G143)*2+15,"BC-Flute",(F143+G143)*2+11,0)</f>
        <v>0</v>
      </c>
      <c r="J143" s="51" cm="1">
        <f t="array" ref="J143">_xlfn.SWITCH(D143,"C-Flute",(G143+H143)-10,"BC-Flute",(G143+H143)-16,0)</f>
        <v>0</v>
      </c>
      <c r="K143" s="53">
        <f t="shared" si="4"/>
        <v>0</v>
      </c>
      <c r="L143" s="54">
        <f t="shared" si="5"/>
        <v>0</v>
      </c>
      <c r="M143" s="55">
        <f t="shared" si="6"/>
        <v>0</v>
      </c>
      <c r="N143" s="63"/>
    </row>
    <row r="144" spans="1:14">
      <c r="A144" s="43"/>
      <c r="B144" s="43"/>
      <c r="C144" s="36" t="s">
        <v>85</v>
      </c>
      <c r="D144" s="43"/>
      <c r="E144" s="51">
        <f t="shared" si="0"/>
        <v>0</v>
      </c>
      <c r="F144" s="52"/>
      <c r="G144" s="52"/>
      <c r="H144" s="52"/>
      <c r="I144" s="51" cm="1">
        <f t="array" ref="I144">_xlfn.SWITCH(D144,"C-Flute",(F144+G144)*2+15,"BC-Flute",(F144+G144)*2+11,0)</f>
        <v>0</v>
      </c>
      <c r="J144" s="51" cm="1">
        <f t="array" ref="J144">_xlfn.SWITCH(D144,"C-Flute",(G144+H144)-10,"BC-Flute",(G144+H144)-16,0)</f>
        <v>0</v>
      </c>
      <c r="K144" s="53">
        <f t="shared" si="4"/>
        <v>0</v>
      </c>
      <c r="L144" s="54">
        <f t="shared" si="5"/>
        <v>0</v>
      </c>
      <c r="M144" s="55">
        <f t="shared" si="6"/>
        <v>0</v>
      </c>
      <c r="N144" s="63"/>
    </row>
    <row r="145" spans="1:14">
      <c r="A145" s="43"/>
      <c r="B145" s="43"/>
      <c r="C145" s="36" t="s">
        <v>85</v>
      </c>
      <c r="D145" s="43"/>
      <c r="E145" s="51">
        <f t="shared" si="0"/>
        <v>0</v>
      </c>
      <c r="F145" s="52"/>
      <c r="G145" s="52"/>
      <c r="H145" s="52"/>
      <c r="I145" s="51" cm="1">
        <f t="array" ref="I145">_xlfn.SWITCH(D145,"C-Flute",(F145+G145)*2+15,"BC-Flute",(F145+G145)*2+11,0)</f>
        <v>0</v>
      </c>
      <c r="J145" s="51" cm="1">
        <f t="array" ref="J145">_xlfn.SWITCH(D145,"C-Flute",(G145+H145)-10,"BC-Flute",(G145+H145)-16,0)</f>
        <v>0</v>
      </c>
      <c r="K145" s="53">
        <f t="shared" si="4"/>
        <v>0</v>
      </c>
      <c r="L145" s="54">
        <f t="shared" si="5"/>
        <v>0</v>
      </c>
      <c r="M145" s="55">
        <f t="shared" si="6"/>
        <v>0</v>
      </c>
      <c r="N145" s="63"/>
    </row>
    <row r="146" spans="1:14">
      <c r="A146" s="43"/>
      <c r="B146" s="43"/>
      <c r="C146" s="36" t="s">
        <v>85</v>
      </c>
      <c r="D146" s="43"/>
      <c r="E146" s="51">
        <f t="shared" si="0"/>
        <v>0</v>
      </c>
      <c r="F146" s="52"/>
      <c r="G146" s="52"/>
      <c r="H146" s="52"/>
      <c r="I146" s="51" cm="1">
        <f t="array" ref="I146">_xlfn.SWITCH(D146,"C-Flute",(F146+G146)*2+15,"BC-Flute",(F146+G146)*2+11,0)</f>
        <v>0</v>
      </c>
      <c r="J146" s="51" cm="1">
        <f t="array" ref="J146">_xlfn.SWITCH(D146,"C-Flute",(G146+H146)-10,"BC-Flute",(G146+H146)-16,0)</f>
        <v>0</v>
      </c>
      <c r="K146" s="53">
        <f t="shared" ref="K146:K209" si="7">I146*J146*(1+10%)/1000000</f>
        <v>0</v>
      </c>
      <c r="L146" s="54">
        <f t="shared" ref="L146:L209" si="8">IFERROR(K146*IFERROR(VLOOKUP(D146,$I$3:$L$5,4,FALSE),"N/A"),0)</f>
        <v>0</v>
      </c>
      <c r="M146" s="55">
        <f t="shared" ref="M146:M209" si="9">IFERROR(L146/$M$4,0)</f>
        <v>0</v>
      </c>
      <c r="N146" s="63"/>
    </row>
    <row r="147" spans="1:14">
      <c r="A147" s="43"/>
      <c r="B147" s="43"/>
      <c r="C147" s="36" t="s">
        <v>85</v>
      </c>
      <c r="D147" s="43"/>
      <c r="E147" s="51">
        <f t="shared" si="0"/>
        <v>0</v>
      </c>
      <c r="F147" s="52"/>
      <c r="G147" s="52"/>
      <c r="H147" s="52"/>
      <c r="I147" s="51" cm="1">
        <f t="array" ref="I147">_xlfn.SWITCH(D147,"C-Flute",(F147+G147)*2+15,"BC-Flute",(F147+G147)*2+11,0)</f>
        <v>0</v>
      </c>
      <c r="J147" s="51" cm="1">
        <f t="array" ref="J147">_xlfn.SWITCH(D147,"C-Flute",(G147+H147)-10,"BC-Flute",(G147+H147)-16,0)</f>
        <v>0</v>
      </c>
      <c r="K147" s="53">
        <f t="shared" si="7"/>
        <v>0</v>
      </c>
      <c r="L147" s="54">
        <f t="shared" si="8"/>
        <v>0</v>
      </c>
      <c r="M147" s="55">
        <f t="shared" si="9"/>
        <v>0</v>
      </c>
      <c r="N147" s="63"/>
    </row>
    <row r="148" spans="1:14">
      <c r="A148" s="43"/>
      <c r="B148" s="43"/>
      <c r="C148" s="36" t="s">
        <v>85</v>
      </c>
      <c r="D148" s="43"/>
      <c r="E148" s="51">
        <f t="shared" si="0"/>
        <v>0</v>
      </c>
      <c r="F148" s="52"/>
      <c r="G148" s="52"/>
      <c r="H148" s="52"/>
      <c r="I148" s="51" cm="1">
        <f t="array" ref="I148">_xlfn.SWITCH(D148,"C-Flute",(F148+G148)*2+15,"BC-Flute",(F148+G148)*2+11,0)</f>
        <v>0</v>
      </c>
      <c r="J148" s="51" cm="1">
        <f t="array" ref="J148">_xlfn.SWITCH(D148,"C-Flute",(G148+H148)-10,"BC-Flute",(G148+H148)-16,0)</f>
        <v>0</v>
      </c>
      <c r="K148" s="53">
        <f t="shared" si="7"/>
        <v>0</v>
      </c>
      <c r="L148" s="54">
        <f t="shared" si="8"/>
        <v>0</v>
      </c>
      <c r="M148" s="55">
        <f t="shared" si="9"/>
        <v>0</v>
      </c>
      <c r="N148" s="63"/>
    </row>
    <row r="149" spans="1:14">
      <c r="A149" s="43"/>
      <c r="B149" s="43"/>
      <c r="C149" s="36" t="s">
        <v>85</v>
      </c>
      <c r="D149" s="43"/>
      <c r="E149" s="51">
        <f t="shared" si="0"/>
        <v>0</v>
      </c>
      <c r="F149" s="52"/>
      <c r="G149" s="52"/>
      <c r="H149" s="52"/>
      <c r="I149" s="51" cm="1">
        <f t="array" ref="I149">_xlfn.SWITCH(D149,"C-Flute",(F149+G149)*2+15,"BC-Flute",(F149+G149)*2+11,0)</f>
        <v>0</v>
      </c>
      <c r="J149" s="51" cm="1">
        <f t="array" ref="J149">_xlfn.SWITCH(D149,"C-Flute",(G149+H149)-10,"BC-Flute",(G149+H149)-16,0)</f>
        <v>0</v>
      </c>
      <c r="K149" s="53">
        <f t="shared" si="7"/>
        <v>0</v>
      </c>
      <c r="L149" s="54">
        <f t="shared" si="8"/>
        <v>0</v>
      </c>
      <c r="M149" s="55">
        <f t="shared" si="9"/>
        <v>0</v>
      </c>
      <c r="N149" s="63"/>
    </row>
    <row r="150" spans="1:14">
      <c r="A150" s="43"/>
      <c r="B150" s="43"/>
      <c r="C150" s="36" t="s">
        <v>85</v>
      </c>
      <c r="D150" s="43"/>
      <c r="E150" s="51">
        <f t="shared" si="0"/>
        <v>0</v>
      </c>
      <c r="F150" s="52"/>
      <c r="G150" s="52"/>
      <c r="H150" s="52"/>
      <c r="I150" s="51" cm="1">
        <f t="array" ref="I150">_xlfn.SWITCH(D150,"C-Flute",(F150+G150)*2+15,"BC-Flute",(F150+G150)*2+11,0)</f>
        <v>0</v>
      </c>
      <c r="J150" s="51" cm="1">
        <f t="array" ref="J150">_xlfn.SWITCH(D150,"C-Flute",(G150+H150)-10,"BC-Flute",(G150+H150)-16,0)</f>
        <v>0</v>
      </c>
      <c r="K150" s="53">
        <f t="shared" si="7"/>
        <v>0</v>
      </c>
      <c r="L150" s="54">
        <f t="shared" si="8"/>
        <v>0</v>
      </c>
      <c r="M150" s="55">
        <f t="shared" si="9"/>
        <v>0</v>
      </c>
      <c r="N150" s="63"/>
    </row>
    <row r="151" spans="1:14">
      <c r="A151" s="43"/>
      <c r="B151" s="43"/>
      <c r="C151" s="36" t="s">
        <v>85</v>
      </c>
      <c r="D151" s="43"/>
      <c r="E151" s="51">
        <f t="shared" si="0"/>
        <v>0</v>
      </c>
      <c r="F151" s="52"/>
      <c r="G151" s="52"/>
      <c r="H151" s="52"/>
      <c r="I151" s="51" cm="1">
        <f t="array" ref="I151">_xlfn.SWITCH(D151,"C-Flute",(F151+G151)*2+15,"BC-Flute",(F151+G151)*2+11,0)</f>
        <v>0</v>
      </c>
      <c r="J151" s="51" cm="1">
        <f t="array" ref="J151">_xlfn.SWITCH(D151,"C-Flute",(G151+H151)-10,"BC-Flute",(G151+H151)-16,0)</f>
        <v>0</v>
      </c>
      <c r="K151" s="53">
        <f t="shared" si="7"/>
        <v>0</v>
      </c>
      <c r="L151" s="54">
        <f t="shared" si="8"/>
        <v>0</v>
      </c>
      <c r="M151" s="55">
        <f t="shared" si="9"/>
        <v>0</v>
      </c>
      <c r="N151" s="63"/>
    </row>
    <row r="152" spans="1:14">
      <c r="A152" s="43"/>
      <c r="B152" s="43"/>
      <c r="C152" s="36" t="s">
        <v>85</v>
      </c>
      <c r="D152" s="43"/>
      <c r="E152" s="51">
        <f t="shared" si="0"/>
        <v>0</v>
      </c>
      <c r="F152" s="52"/>
      <c r="G152" s="52"/>
      <c r="H152" s="52"/>
      <c r="I152" s="51" cm="1">
        <f t="array" ref="I152">_xlfn.SWITCH(D152,"C-Flute",(F152+G152)*2+15,"BC-Flute",(F152+G152)*2+11,0)</f>
        <v>0</v>
      </c>
      <c r="J152" s="51" cm="1">
        <f t="array" ref="J152">_xlfn.SWITCH(D152,"C-Flute",(G152+H152)-10,"BC-Flute",(G152+H152)-16,0)</f>
        <v>0</v>
      </c>
      <c r="K152" s="53">
        <f t="shared" si="7"/>
        <v>0</v>
      </c>
      <c r="L152" s="54">
        <f t="shared" si="8"/>
        <v>0</v>
      </c>
      <c r="M152" s="55">
        <f t="shared" si="9"/>
        <v>0</v>
      </c>
      <c r="N152" s="63"/>
    </row>
    <row r="153" spans="1:14">
      <c r="A153" s="43"/>
      <c r="B153" s="43"/>
      <c r="C153" s="36" t="s">
        <v>85</v>
      </c>
      <c r="D153" s="43"/>
      <c r="E153" s="51">
        <f t="shared" si="0"/>
        <v>0</v>
      </c>
      <c r="F153" s="52"/>
      <c r="G153" s="52"/>
      <c r="H153" s="52"/>
      <c r="I153" s="51" cm="1">
        <f t="array" ref="I153">_xlfn.SWITCH(D153,"C-Flute",(F153+G153)*2+15,"BC-Flute",(F153+G153)*2+11,0)</f>
        <v>0</v>
      </c>
      <c r="J153" s="51" cm="1">
        <f t="array" ref="J153">_xlfn.SWITCH(D153,"C-Flute",(G153+H153)-10,"BC-Flute",(G153+H153)-16,0)</f>
        <v>0</v>
      </c>
      <c r="K153" s="53">
        <f t="shared" si="7"/>
        <v>0</v>
      </c>
      <c r="L153" s="54">
        <f t="shared" si="8"/>
        <v>0</v>
      </c>
      <c r="M153" s="55">
        <f t="shared" si="9"/>
        <v>0</v>
      </c>
      <c r="N153" s="63"/>
    </row>
    <row r="154" spans="1:14">
      <c r="A154" s="43"/>
      <c r="B154" s="43"/>
      <c r="C154" s="36" t="s">
        <v>85</v>
      </c>
      <c r="D154" s="43"/>
      <c r="E154" s="51">
        <f t="shared" si="0"/>
        <v>0</v>
      </c>
      <c r="F154" s="52"/>
      <c r="G154" s="52"/>
      <c r="H154" s="52"/>
      <c r="I154" s="51" cm="1">
        <f t="array" ref="I154">_xlfn.SWITCH(D154,"C-Flute",(F154+G154)*2+15,"BC-Flute",(F154+G154)*2+11,0)</f>
        <v>0</v>
      </c>
      <c r="J154" s="51" cm="1">
        <f t="array" ref="J154">_xlfn.SWITCH(D154,"C-Flute",(G154+H154)-10,"BC-Flute",(G154+H154)-16,0)</f>
        <v>0</v>
      </c>
      <c r="K154" s="53">
        <f t="shared" si="7"/>
        <v>0</v>
      </c>
      <c r="L154" s="54">
        <f t="shared" si="8"/>
        <v>0</v>
      </c>
      <c r="M154" s="55">
        <f t="shared" si="9"/>
        <v>0</v>
      </c>
      <c r="N154" s="63"/>
    </row>
    <row r="155" spans="1:14">
      <c r="A155" s="43"/>
      <c r="B155" s="43"/>
      <c r="C155" s="36" t="s">
        <v>85</v>
      </c>
      <c r="D155" s="43"/>
      <c r="E155" s="51">
        <f t="shared" si="0"/>
        <v>0</v>
      </c>
      <c r="F155" s="52"/>
      <c r="G155" s="52"/>
      <c r="H155" s="52"/>
      <c r="I155" s="51" cm="1">
        <f t="array" ref="I155">_xlfn.SWITCH(D155,"C-Flute",(F155+G155)*2+15,"BC-Flute",(F155+G155)*2+11,0)</f>
        <v>0</v>
      </c>
      <c r="J155" s="51" cm="1">
        <f t="array" ref="J155">_xlfn.SWITCH(D155,"C-Flute",(G155+H155)-10,"BC-Flute",(G155+H155)-16,0)</f>
        <v>0</v>
      </c>
      <c r="K155" s="53">
        <f t="shared" si="7"/>
        <v>0</v>
      </c>
      <c r="L155" s="54">
        <f t="shared" si="8"/>
        <v>0</v>
      </c>
      <c r="M155" s="55">
        <f t="shared" si="9"/>
        <v>0</v>
      </c>
      <c r="N155" s="63"/>
    </row>
    <row r="156" spans="1:14">
      <c r="A156" s="43"/>
      <c r="B156" s="43"/>
      <c r="C156" s="36" t="s">
        <v>85</v>
      </c>
      <c r="D156" s="43"/>
      <c r="E156" s="51">
        <f t="shared" si="0"/>
        <v>0</v>
      </c>
      <c r="F156" s="52"/>
      <c r="G156" s="52"/>
      <c r="H156" s="52"/>
      <c r="I156" s="51" cm="1">
        <f t="array" ref="I156">_xlfn.SWITCH(D156,"C-Flute",(F156+G156)*2+15,"BC-Flute",(F156+G156)*2+11,0)</f>
        <v>0</v>
      </c>
      <c r="J156" s="51" cm="1">
        <f t="array" ref="J156">_xlfn.SWITCH(D156,"C-Flute",(G156+H156)-10,"BC-Flute",(G156+H156)-16,0)</f>
        <v>0</v>
      </c>
      <c r="K156" s="53">
        <f t="shared" si="7"/>
        <v>0</v>
      </c>
      <c r="L156" s="54">
        <f t="shared" si="8"/>
        <v>0</v>
      </c>
      <c r="M156" s="55">
        <f t="shared" si="9"/>
        <v>0</v>
      </c>
      <c r="N156" s="63"/>
    </row>
    <row r="157" spans="1:14">
      <c r="A157" s="43"/>
      <c r="B157" s="43"/>
      <c r="C157" s="36" t="s">
        <v>85</v>
      </c>
      <c r="D157" s="43"/>
      <c r="E157" s="51">
        <f t="shared" si="0"/>
        <v>0</v>
      </c>
      <c r="F157" s="52"/>
      <c r="G157" s="52"/>
      <c r="H157" s="52"/>
      <c r="I157" s="51" cm="1">
        <f t="array" ref="I157">_xlfn.SWITCH(D157,"C-Flute",(F157+G157)*2+15,"BC-Flute",(F157+G157)*2+11,0)</f>
        <v>0</v>
      </c>
      <c r="J157" s="51" cm="1">
        <f t="array" ref="J157">_xlfn.SWITCH(D157,"C-Flute",(G157+H157)-10,"BC-Flute",(G157+H157)-16,0)</f>
        <v>0</v>
      </c>
      <c r="K157" s="53">
        <f t="shared" si="7"/>
        <v>0</v>
      </c>
      <c r="L157" s="54">
        <f t="shared" si="8"/>
        <v>0</v>
      </c>
      <c r="M157" s="55">
        <f t="shared" si="9"/>
        <v>0</v>
      </c>
      <c r="N157" s="63"/>
    </row>
    <row r="158" spans="1:14">
      <c r="A158" s="43"/>
      <c r="B158" s="43"/>
      <c r="C158" s="36" t="s">
        <v>85</v>
      </c>
      <c r="D158" s="43"/>
      <c r="E158" s="51">
        <f t="shared" si="0"/>
        <v>0</v>
      </c>
      <c r="F158" s="52"/>
      <c r="G158" s="52"/>
      <c r="H158" s="52"/>
      <c r="I158" s="51" cm="1">
        <f t="array" ref="I158">_xlfn.SWITCH(D158,"C-Flute",(F158+G158)*2+15,"BC-Flute",(F158+G158)*2+11,0)</f>
        <v>0</v>
      </c>
      <c r="J158" s="51" cm="1">
        <f t="array" ref="J158">_xlfn.SWITCH(D158,"C-Flute",(G158+H158)-10,"BC-Flute",(G158+H158)-16,0)</f>
        <v>0</v>
      </c>
      <c r="K158" s="53">
        <f t="shared" si="7"/>
        <v>0</v>
      </c>
      <c r="L158" s="54">
        <f t="shared" si="8"/>
        <v>0</v>
      </c>
      <c r="M158" s="55">
        <f t="shared" si="9"/>
        <v>0</v>
      </c>
      <c r="N158" s="63"/>
    </row>
    <row r="159" spans="1:14">
      <c r="A159" s="43"/>
      <c r="B159" s="43"/>
      <c r="C159" s="36" t="s">
        <v>85</v>
      </c>
      <c r="D159" s="43"/>
      <c r="E159" s="51">
        <f t="shared" si="0"/>
        <v>0</v>
      </c>
      <c r="F159" s="52"/>
      <c r="G159" s="52"/>
      <c r="H159" s="52"/>
      <c r="I159" s="51" cm="1">
        <f t="array" ref="I159">_xlfn.SWITCH(D159,"C-Flute",(F159+G159)*2+15,"BC-Flute",(F159+G159)*2+11,0)</f>
        <v>0</v>
      </c>
      <c r="J159" s="51" cm="1">
        <f t="array" ref="J159">_xlfn.SWITCH(D159,"C-Flute",(G159+H159)-10,"BC-Flute",(G159+H159)-16,0)</f>
        <v>0</v>
      </c>
      <c r="K159" s="53">
        <f t="shared" si="7"/>
        <v>0</v>
      </c>
      <c r="L159" s="54">
        <f t="shared" si="8"/>
        <v>0</v>
      </c>
      <c r="M159" s="55">
        <f t="shared" si="9"/>
        <v>0</v>
      </c>
      <c r="N159" s="63"/>
    </row>
    <row r="160" spans="1:14">
      <c r="A160" s="43"/>
      <c r="B160" s="43"/>
      <c r="C160" s="36" t="s">
        <v>85</v>
      </c>
      <c r="D160" s="43"/>
      <c r="E160" s="51">
        <f t="shared" si="0"/>
        <v>0</v>
      </c>
      <c r="F160" s="52"/>
      <c r="G160" s="52"/>
      <c r="H160" s="52"/>
      <c r="I160" s="51" cm="1">
        <f t="array" ref="I160">_xlfn.SWITCH(D160,"C-Flute",(F160+G160)*2+15,"BC-Flute",(F160+G160)*2+11,0)</f>
        <v>0</v>
      </c>
      <c r="J160" s="51" cm="1">
        <f t="array" ref="J160">_xlfn.SWITCH(D160,"C-Flute",(G160+H160)-10,"BC-Flute",(G160+H160)-16,0)</f>
        <v>0</v>
      </c>
      <c r="K160" s="53">
        <f t="shared" si="7"/>
        <v>0</v>
      </c>
      <c r="L160" s="54">
        <f t="shared" si="8"/>
        <v>0</v>
      </c>
      <c r="M160" s="55">
        <f t="shared" si="9"/>
        <v>0</v>
      </c>
      <c r="N160" s="63"/>
    </row>
    <row r="161" spans="1:14">
      <c r="A161" s="43"/>
      <c r="B161" s="43"/>
      <c r="C161" s="36" t="s">
        <v>85</v>
      </c>
      <c r="D161" s="43"/>
      <c r="E161" s="51">
        <f t="shared" si="0"/>
        <v>0</v>
      </c>
      <c r="F161" s="52"/>
      <c r="G161" s="52"/>
      <c r="H161" s="52"/>
      <c r="I161" s="51" cm="1">
        <f t="array" ref="I161">_xlfn.SWITCH(D161,"C-Flute",(F161+G161)*2+15,"BC-Flute",(F161+G161)*2+11,0)</f>
        <v>0</v>
      </c>
      <c r="J161" s="51" cm="1">
        <f t="array" ref="J161">_xlfn.SWITCH(D161,"C-Flute",(G161+H161)-10,"BC-Flute",(G161+H161)-16,0)</f>
        <v>0</v>
      </c>
      <c r="K161" s="53">
        <f t="shared" si="7"/>
        <v>0</v>
      </c>
      <c r="L161" s="54">
        <f t="shared" si="8"/>
        <v>0</v>
      </c>
      <c r="M161" s="55">
        <f t="shared" si="9"/>
        <v>0</v>
      </c>
      <c r="N161" s="63"/>
    </row>
    <row r="162" spans="1:14">
      <c r="A162" s="43"/>
      <c r="B162" s="43"/>
      <c r="C162" s="36" t="s">
        <v>85</v>
      </c>
      <c r="D162" s="43"/>
      <c r="E162" s="51">
        <f t="shared" si="0"/>
        <v>0</v>
      </c>
      <c r="F162" s="52"/>
      <c r="G162" s="52"/>
      <c r="H162" s="52"/>
      <c r="I162" s="51" cm="1">
        <f t="array" ref="I162">_xlfn.SWITCH(D162,"C-Flute",(F162+G162)*2+15,"BC-Flute",(F162+G162)*2+11,0)</f>
        <v>0</v>
      </c>
      <c r="J162" s="51" cm="1">
        <f t="array" ref="J162">_xlfn.SWITCH(D162,"C-Flute",(G162+H162)-10,"BC-Flute",(G162+H162)-16,0)</f>
        <v>0</v>
      </c>
      <c r="K162" s="53">
        <f t="shared" si="7"/>
        <v>0</v>
      </c>
      <c r="L162" s="54">
        <f t="shared" si="8"/>
        <v>0</v>
      </c>
      <c r="M162" s="55">
        <f t="shared" si="9"/>
        <v>0</v>
      </c>
      <c r="N162" s="63"/>
    </row>
    <row r="163" spans="1:14">
      <c r="A163" s="43"/>
      <c r="B163" s="43"/>
      <c r="C163" s="36" t="s">
        <v>85</v>
      </c>
      <c r="D163" s="43"/>
      <c r="E163" s="51">
        <f t="shared" si="0"/>
        <v>0</v>
      </c>
      <c r="F163" s="52"/>
      <c r="G163" s="52"/>
      <c r="H163" s="52"/>
      <c r="I163" s="51" cm="1">
        <f t="array" ref="I163">_xlfn.SWITCH(D163,"C-Flute",(F163+G163)*2+15,"BC-Flute",(F163+G163)*2+11,0)</f>
        <v>0</v>
      </c>
      <c r="J163" s="51" cm="1">
        <f t="array" ref="J163">_xlfn.SWITCH(D163,"C-Flute",(G163+H163)-10,"BC-Flute",(G163+H163)-16,0)</f>
        <v>0</v>
      </c>
      <c r="K163" s="53">
        <f t="shared" si="7"/>
        <v>0</v>
      </c>
      <c r="L163" s="54">
        <f t="shared" si="8"/>
        <v>0</v>
      </c>
      <c r="M163" s="55">
        <f t="shared" si="9"/>
        <v>0</v>
      </c>
      <c r="N163" s="63"/>
    </row>
    <row r="164" spans="1:14">
      <c r="A164" s="43"/>
      <c r="B164" s="43"/>
      <c r="C164" s="36" t="s">
        <v>85</v>
      </c>
      <c r="D164" s="43"/>
      <c r="E164" s="51">
        <f t="shared" si="0"/>
        <v>0</v>
      </c>
      <c r="F164" s="52"/>
      <c r="G164" s="52"/>
      <c r="H164" s="52"/>
      <c r="I164" s="51" cm="1">
        <f t="array" ref="I164">_xlfn.SWITCH(D164,"C-Flute",(F164+G164)*2+15,"BC-Flute",(F164+G164)*2+11,0)</f>
        <v>0</v>
      </c>
      <c r="J164" s="51" cm="1">
        <f t="array" ref="J164">_xlfn.SWITCH(D164,"C-Flute",(G164+H164)-10,"BC-Flute",(G164+H164)-16,0)</f>
        <v>0</v>
      </c>
      <c r="K164" s="53">
        <f t="shared" si="7"/>
        <v>0</v>
      </c>
      <c r="L164" s="54">
        <f t="shared" si="8"/>
        <v>0</v>
      </c>
      <c r="M164" s="55">
        <f t="shared" si="9"/>
        <v>0</v>
      </c>
      <c r="N164" s="63"/>
    </row>
    <row r="165" spans="1:14">
      <c r="A165" s="43"/>
      <c r="B165" s="43"/>
      <c r="C165" s="36" t="s">
        <v>85</v>
      </c>
      <c r="D165" s="43"/>
      <c r="E165" s="51">
        <f t="shared" si="0"/>
        <v>0</v>
      </c>
      <c r="F165" s="52"/>
      <c r="G165" s="52"/>
      <c r="H165" s="52"/>
      <c r="I165" s="51" cm="1">
        <f t="array" ref="I165">_xlfn.SWITCH(D165,"C-Flute",(F165+G165)*2+15,"BC-Flute",(F165+G165)*2+11,0)</f>
        <v>0</v>
      </c>
      <c r="J165" s="51" cm="1">
        <f t="array" ref="J165">_xlfn.SWITCH(D165,"C-Flute",(G165+H165)-10,"BC-Flute",(G165+H165)-16,0)</f>
        <v>0</v>
      </c>
      <c r="K165" s="53">
        <f t="shared" si="7"/>
        <v>0</v>
      </c>
      <c r="L165" s="54">
        <f t="shared" si="8"/>
        <v>0</v>
      </c>
      <c r="M165" s="55">
        <f t="shared" si="9"/>
        <v>0</v>
      </c>
      <c r="N165" s="63"/>
    </row>
    <row r="166" spans="1:14">
      <c r="A166" s="43"/>
      <c r="B166" s="43"/>
      <c r="C166" s="36" t="s">
        <v>85</v>
      </c>
      <c r="D166" s="43"/>
      <c r="E166" s="51">
        <f t="shared" si="0"/>
        <v>0</v>
      </c>
      <c r="F166" s="52"/>
      <c r="G166" s="52"/>
      <c r="H166" s="52"/>
      <c r="I166" s="51" cm="1">
        <f t="array" ref="I166">_xlfn.SWITCH(D166,"C-Flute",(F166+G166)*2+15,"BC-Flute",(F166+G166)*2+11,0)</f>
        <v>0</v>
      </c>
      <c r="J166" s="51" cm="1">
        <f t="array" ref="J166">_xlfn.SWITCH(D166,"C-Flute",(G166+H166)-10,"BC-Flute",(G166+H166)-16,0)</f>
        <v>0</v>
      </c>
      <c r="K166" s="53">
        <f t="shared" si="7"/>
        <v>0</v>
      </c>
      <c r="L166" s="54">
        <f t="shared" si="8"/>
        <v>0</v>
      </c>
      <c r="M166" s="55">
        <f t="shared" si="9"/>
        <v>0</v>
      </c>
      <c r="N166" s="63"/>
    </row>
    <row r="167" spans="1:14">
      <c r="A167" s="43"/>
      <c r="B167" s="43"/>
      <c r="C167" s="36" t="s">
        <v>85</v>
      </c>
      <c r="D167" s="43"/>
      <c r="E167" s="51">
        <f t="shared" si="0"/>
        <v>0</v>
      </c>
      <c r="F167" s="52"/>
      <c r="G167" s="52"/>
      <c r="H167" s="52"/>
      <c r="I167" s="51" cm="1">
        <f t="array" ref="I167">_xlfn.SWITCH(D167,"C-Flute",(F167+G167)*2+15,"BC-Flute",(F167+G167)*2+11,0)</f>
        <v>0</v>
      </c>
      <c r="J167" s="51" cm="1">
        <f t="array" ref="J167">_xlfn.SWITCH(D167,"C-Flute",(G167+H167)-10,"BC-Flute",(G167+H167)-16,0)</f>
        <v>0</v>
      </c>
      <c r="K167" s="53">
        <f t="shared" si="7"/>
        <v>0</v>
      </c>
      <c r="L167" s="54">
        <f t="shared" si="8"/>
        <v>0</v>
      </c>
      <c r="M167" s="55">
        <f t="shared" si="9"/>
        <v>0</v>
      </c>
      <c r="N167" s="63"/>
    </row>
    <row r="168" spans="1:14">
      <c r="A168" s="43"/>
      <c r="B168" s="43"/>
      <c r="C168" s="36" t="s">
        <v>85</v>
      </c>
      <c r="D168" s="43"/>
      <c r="E168" s="51">
        <f t="shared" si="0"/>
        <v>0</v>
      </c>
      <c r="F168" s="52"/>
      <c r="G168" s="52"/>
      <c r="H168" s="52"/>
      <c r="I168" s="51" cm="1">
        <f t="array" ref="I168">_xlfn.SWITCH(D168,"C-Flute",(F168+G168)*2+15,"BC-Flute",(F168+G168)*2+11,0)</f>
        <v>0</v>
      </c>
      <c r="J168" s="51" cm="1">
        <f t="array" ref="J168">_xlfn.SWITCH(D168,"C-Flute",(G168+H168)-10,"BC-Flute",(G168+H168)-16,0)</f>
        <v>0</v>
      </c>
      <c r="K168" s="53">
        <f t="shared" si="7"/>
        <v>0</v>
      </c>
      <c r="L168" s="54">
        <f t="shared" si="8"/>
        <v>0</v>
      </c>
      <c r="M168" s="55">
        <f t="shared" si="9"/>
        <v>0</v>
      </c>
      <c r="N168" s="63"/>
    </row>
    <row r="169" spans="1:14">
      <c r="A169" s="43"/>
      <c r="B169" s="43"/>
      <c r="C169" s="36" t="s">
        <v>85</v>
      </c>
      <c r="D169" s="43"/>
      <c r="E169" s="51">
        <f t="shared" si="0"/>
        <v>0</v>
      </c>
      <c r="F169" s="52"/>
      <c r="G169" s="52"/>
      <c r="H169" s="52"/>
      <c r="I169" s="51" cm="1">
        <f t="array" ref="I169">_xlfn.SWITCH(D169,"C-Flute",(F169+G169)*2+15,"BC-Flute",(F169+G169)*2+11,0)</f>
        <v>0</v>
      </c>
      <c r="J169" s="51" cm="1">
        <f t="array" ref="J169">_xlfn.SWITCH(D169,"C-Flute",(G169+H169)-10,"BC-Flute",(G169+H169)-16,0)</f>
        <v>0</v>
      </c>
      <c r="K169" s="53">
        <f t="shared" si="7"/>
        <v>0</v>
      </c>
      <c r="L169" s="54">
        <f t="shared" si="8"/>
        <v>0</v>
      </c>
      <c r="M169" s="55">
        <f t="shared" si="9"/>
        <v>0</v>
      </c>
      <c r="N169" s="63"/>
    </row>
    <row r="170" spans="1:14">
      <c r="A170" s="43"/>
      <c r="B170" s="43"/>
      <c r="C170" s="36" t="s">
        <v>85</v>
      </c>
      <c r="D170" s="43"/>
      <c r="E170" s="51">
        <f t="shared" si="0"/>
        <v>0</v>
      </c>
      <c r="F170" s="52"/>
      <c r="G170" s="52"/>
      <c r="H170" s="52"/>
      <c r="I170" s="51" cm="1">
        <f t="array" ref="I170">_xlfn.SWITCH(D170,"C-Flute",(F170+G170)*2+15,"BC-Flute",(F170+G170)*2+11,0)</f>
        <v>0</v>
      </c>
      <c r="J170" s="51" cm="1">
        <f t="array" ref="J170">_xlfn.SWITCH(D170,"C-Flute",(G170+H170)-10,"BC-Flute",(G170+H170)-16,0)</f>
        <v>0</v>
      </c>
      <c r="K170" s="53">
        <f t="shared" si="7"/>
        <v>0</v>
      </c>
      <c r="L170" s="54">
        <f t="shared" si="8"/>
        <v>0</v>
      </c>
      <c r="M170" s="55">
        <f t="shared" si="9"/>
        <v>0</v>
      </c>
      <c r="N170" s="63"/>
    </row>
    <row r="171" spans="1:14">
      <c r="A171" s="43"/>
      <c r="B171" s="43"/>
      <c r="C171" s="36" t="s">
        <v>85</v>
      </c>
      <c r="D171" s="43"/>
      <c r="E171" s="51">
        <f t="shared" si="0"/>
        <v>0</v>
      </c>
      <c r="F171" s="52"/>
      <c r="G171" s="52"/>
      <c r="H171" s="52"/>
      <c r="I171" s="51" cm="1">
        <f t="array" ref="I171">_xlfn.SWITCH(D171,"C-Flute",(F171+G171)*2+15,"BC-Flute",(F171+G171)*2+11,0)</f>
        <v>0</v>
      </c>
      <c r="J171" s="51" cm="1">
        <f t="array" ref="J171">_xlfn.SWITCH(D171,"C-Flute",(G171+H171)-10,"BC-Flute",(G171+H171)-16,0)</f>
        <v>0</v>
      </c>
      <c r="K171" s="53">
        <f t="shared" si="7"/>
        <v>0</v>
      </c>
      <c r="L171" s="54">
        <f t="shared" si="8"/>
        <v>0</v>
      </c>
      <c r="M171" s="55">
        <f t="shared" si="9"/>
        <v>0</v>
      </c>
      <c r="N171" s="63"/>
    </row>
    <row r="172" spans="1:14">
      <c r="A172" s="43"/>
      <c r="B172" s="43"/>
      <c r="C172" s="36" t="s">
        <v>85</v>
      </c>
      <c r="D172" s="43"/>
      <c r="E172" s="51">
        <f t="shared" si="0"/>
        <v>0</v>
      </c>
      <c r="F172" s="52"/>
      <c r="G172" s="52"/>
      <c r="H172" s="52"/>
      <c r="I172" s="51" cm="1">
        <f t="array" ref="I172">_xlfn.SWITCH(D172,"C-Flute",(F172+G172)*2+15,"BC-Flute",(F172+G172)*2+11,0)</f>
        <v>0</v>
      </c>
      <c r="J172" s="51" cm="1">
        <f t="array" ref="J172">_xlfn.SWITCH(D172,"C-Flute",(G172+H172)-10,"BC-Flute",(G172+H172)-16,0)</f>
        <v>0</v>
      </c>
      <c r="K172" s="53">
        <f t="shared" si="7"/>
        <v>0</v>
      </c>
      <c r="L172" s="54">
        <f t="shared" si="8"/>
        <v>0</v>
      </c>
      <c r="M172" s="55">
        <f t="shared" si="9"/>
        <v>0</v>
      </c>
      <c r="N172" s="63"/>
    </row>
    <row r="173" spans="1:14">
      <c r="A173" s="43"/>
      <c r="B173" s="43"/>
      <c r="C173" s="36" t="s">
        <v>85</v>
      </c>
      <c r="D173" s="43"/>
      <c r="E173" s="51">
        <f t="shared" si="0"/>
        <v>0</v>
      </c>
      <c r="F173" s="52"/>
      <c r="G173" s="52"/>
      <c r="H173" s="52"/>
      <c r="I173" s="51" cm="1">
        <f t="array" ref="I173">_xlfn.SWITCH(D173,"C-Flute",(F173+G173)*2+15,"BC-Flute",(F173+G173)*2+11,0)</f>
        <v>0</v>
      </c>
      <c r="J173" s="51" cm="1">
        <f t="array" ref="J173">_xlfn.SWITCH(D173,"C-Flute",(G173+H173)-10,"BC-Flute",(G173+H173)-16,0)</f>
        <v>0</v>
      </c>
      <c r="K173" s="53">
        <f t="shared" si="7"/>
        <v>0</v>
      </c>
      <c r="L173" s="54">
        <f t="shared" si="8"/>
        <v>0</v>
      </c>
      <c r="M173" s="55">
        <f t="shared" si="9"/>
        <v>0</v>
      </c>
      <c r="N173" s="63"/>
    </row>
    <row r="174" spans="1:14">
      <c r="A174" s="43"/>
      <c r="B174" s="43"/>
      <c r="C174" s="36" t="s">
        <v>85</v>
      </c>
      <c r="D174" s="43"/>
      <c r="E174" s="51">
        <f t="shared" si="0"/>
        <v>0</v>
      </c>
      <c r="F174" s="52"/>
      <c r="G174" s="52"/>
      <c r="H174" s="52"/>
      <c r="I174" s="51" cm="1">
        <f t="array" ref="I174">_xlfn.SWITCH(D174,"C-Flute",(F174+G174)*2+15,"BC-Flute",(F174+G174)*2+11,0)</f>
        <v>0</v>
      </c>
      <c r="J174" s="51" cm="1">
        <f t="array" ref="J174">_xlfn.SWITCH(D174,"C-Flute",(G174+H174)-10,"BC-Flute",(G174+H174)-16,0)</f>
        <v>0</v>
      </c>
      <c r="K174" s="53">
        <f t="shared" si="7"/>
        <v>0</v>
      </c>
      <c r="L174" s="54">
        <f t="shared" si="8"/>
        <v>0</v>
      </c>
      <c r="M174" s="55">
        <f t="shared" si="9"/>
        <v>0</v>
      </c>
      <c r="N174" s="63"/>
    </row>
    <row r="175" spans="1:14">
      <c r="A175" s="43"/>
      <c r="B175" s="43"/>
      <c r="C175" s="36" t="s">
        <v>85</v>
      </c>
      <c r="D175" s="43"/>
      <c r="E175" s="51">
        <f t="shared" si="0"/>
        <v>0</v>
      </c>
      <c r="F175" s="52"/>
      <c r="G175" s="52"/>
      <c r="H175" s="52"/>
      <c r="I175" s="51" cm="1">
        <f t="array" ref="I175">_xlfn.SWITCH(D175,"C-Flute",(F175+G175)*2+15,"BC-Flute",(F175+G175)*2+11,0)</f>
        <v>0</v>
      </c>
      <c r="J175" s="51" cm="1">
        <f t="array" ref="J175">_xlfn.SWITCH(D175,"C-Flute",(G175+H175)-10,"BC-Flute",(G175+H175)-16,0)</f>
        <v>0</v>
      </c>
      <c r="K175" s="53">
        <f t="shared" si="7"/>
        <v>0</v>
      </c>
      <c r="L175" s="54">
        <f t="shared" si="8"/>
        <v>0</v>
      </c>
      <c r="M175" s="55">
        <f t="shared" si="9"/>
        <v>0</v>
      </c>
      <c r="N175" s="63"/>
    </row>
    <row r="176" spans="1:14">
      <c r="A176" s="43"/>
      <c r="B176" s="43"/>
      <c r="C176" s="36" t="s">
        <v>85</v>
      </c>
      <c r="D176" s="43"/>
      <c r="E176" s="51">
        <f t="shared" si="0"/>
        <v>0</v>
      </c>
      <c r="F176" s="52"/>
      <c r="G176" s="52"/>
      <c r="H176" s="52"/>
      <c r="I176" s="51" cm="1">
        <f t="array" ref="I176">_xlfn.SWITCH(D176,"C-Flute",(F176+G176)*2+15,"BC-Flute",(F176+G176)*2+11,0)</f>
        <v>0</v>
      </c>
      <c r="J176" s="51" cm="1">
        <f t="array" ref="J176">_xlfn.SWITCH(D176,"C-Flute",(G176+H176)-10,"BC-Flute",(G176+H176)-16,0)</f>
        <v>0</v>
      </c>
      <c r="K176" s="53">
        <f t="shared" si="7"/>
        <v>0</v>
      </c>
      <c r="L176" s="54">
        <f t="shared" si="8"/>
        <v>0</v>
      </c>
      <c r="M176" s="55">
        <f t="shared" si="9"/>
        <v>0</v>
      </c>
      <c r="N176" s="63"/>
    </row>
    <row r="177" spans="1:14">
      <c r="A177" s="43"/>
      <c r="B177" s="43"/>
      <c r="C177" s="36" t="s">
        <v>85</v>
      </c>
      <c r="D177" s="43"/>
      <c r="E177" s="51">
        <f t="shared" si="0"/>
        <v>0</v>
      </c>
      <c r="F177" s="52"/>
      <c r="G177" s="52"/>
      <c r="H177" s="52"/>
      <c r="I177" s="51" cm="1">
        <f t="array" ref="I177">_xlfn.SWITCH(D177,"C-Flute",(F177+G177)*2+15,"BC-Flute",(F177+G177)*2+11,0)</f>
        <v>0</v>
      </c>
      <c r="J177" s="51" cm="1">
        <f t="array" ref="J177">_xlfn.SWITCH(D177,"C-Flute",(G177+H177)-10,"BC-Flute",(G177+H177)-16,0)</f>
        <v>0</v>
      </c>
      <c r="K177" s="53">
        <f t="shared" si="7"/>
        <v>0</v>
      </c>
      <c r="L177" s="54">
        <f t="shared" si="8"/>
        <v>0</v>
      </c>
      <c r="M177" s="55">
        <f t="shared" si="9"/>
        <v>0</v>
      </c>
      <c r="N177" s="63"/>
    </row>
    <row r="178" spans="1:14">
      <c r="A178" s="43"/>
      <c r="B178" s="43"/>
      <c r="C178" s="36" t="s">
        <v>85</v>
      </c>
      <c r="D178" s="43"/>
      <c r="E178" s="51">
        <f t="shared" si="0"/>
        <v>0</v>
      </c>
      <c r="F178" s="52"/>
      <c r="G178" s="52"/>
      <c r="H178" s="52"/>
      <c r="I178" s="51" cm="1">
        <f t="array" ref="I178">_xlfn.SWITCH(D178,"C-Flute",(F178+G178)*2+15,"BC-Flute",(F178+G178)*2+11,0)</f>
        <v>0</v>
      </c>
      <c r="J178" s="51" cm="1">
        <f t="array" ref="J178">_xlfn.SWITCH(D178,"C-Flute",(G178+H178)-10,"BC-Flute",(G178+H178)-16,0)</f>
        <v>0</v>
      </c>
      <c r="K178" s="53">
        <f t="shared" si="7"/>
        <v>0</v>
      </c>
      <c r="L178" s="54">
        <f t="shared" si="8"/>
        <v>0</v>
      </c>
      <c r="M178" s="55">
        <f t="shared" si="9"/>
        <v>0</v>
      </c>
      <c r="N178" s="63"/>
    </row>
    <row r="179" spans="1:14">
      <c r="A179" s="43"/>
      <c r="B179" s="43"/>
      <c r="C179" s="36" t="s">
        <v>85</v>
      </c>
      <c r="D179" s="43"/>
      <c r="E179" s="51">
        <f t="shared" si="0"/>
        <v>0</v>
      </c>
      <c r="F179" s="52"/>
      <c r="G179" s="52"/>
      <c r="H179" s="52"/>
      <c r="I179" s="51" cm="1">
        <f t="array" ref="I179">_xlfn.SWITCH(D179,"C-Flute",(F179+G179)*2+15,"BC-Flute",(F179+G179)*2+11,0)</f>
        <v>0</v>
      </c>
      <c r="J179" s="51" cm="1">
        <f t="array" ref="J179">_xlfn.SWITCH(D179,"C-Flute",(G179+H179)-10,"BC-Flute",(G179+H179)-16,0)</f>
        <v>0</v>
      </c>
      <c r="K179" s="53">
        <f t="shared" si="7"/>
        <v>0</v>
      </c>
      <c r="L179" s="54">
        <f t="shared" si="8"/>
        <v>0</v>
      </c>
      <c r="M179" s="55">
        <f t="shared" si="9"/>
        <v>0</v>
      </c>
      <c r="N179" s="63"/>
    </row>
    <row r="180" spans="1:14">
      <c r="A180" s="43"/>
      <c r="B180" s="43"/>
      <c r="C180" s="36" t="s">
        <v>85</v>
      </c>
      <c r="D180" s="43"/>
      <c r="E180" s="51">
        <f t="shared" si="0"/>
        <v>0</v>
      </c>
      <c r="F180" s="52"/>
      <c r="G180" s="52"/>
      <c r="H180" s="52"/>
      <c r="I180" s="51" cm="1">
        <f t="array" ref="I180">_xlfn.SWITCH(D180,"C-Flute",(F180+G180)*2+15,"BC-Flute",(F180+G180)*2+11,0)</f>
        <v>0</v>
      </c>
      <c r="J180" s="51" cm="1">
        <f t="array" ref="J180">_xlfn.SWITCH(D180,"C-Flute",(G180+H180)-10,"BC-Flute",(G180+H180)-16,0)</f>
        <v>0</v>
      </c>
      <c r="K180" s="53">
        <f t="shared" si="7"/>
        <v>0</v>
      </c>
      <c r="L180" s="54">
        <f t="shared" si="8"/>
        <v>0</v>
      </c>
      <c r="M180" s="55">
        <f t="shared" si="9"/>
        <v>0</v>
      </c>
      <c r="N180" s="63"/>
    </row>
    <row r="181" spans="1:14">
      <c r="A181" s="43"/>
      <c r="B181" s="43"/>
      <c r="C181" s="36" t="s">
        <v>85</v>
      </c>
      <c r="D181" s="43"/>
      <c r="E181" s="51">
        <f t="shared" si="0"/>
        <v>0</v>
      </c>
      <c r="F181" s="52"/>
      <c r="G181" s="52"/>
      <c r="H181" s="52"/>
      <c r="I181" s="51" cm="1">
        <f t="array" ref="I181">_xlfn.SWITCH(D181,"C-Flute",(F181+G181)*2+15,"BC-Flute",(F181+G181)*2+11,0)</f>
        <v>0</v>
      </c>
      <c r="J181" s="51" cm="1">
        <f t="array" ref="J181">_xlfn.SWITCH(D181,"C-Flute",(G181+H181)-10,"BC-Flute",(G181+H181)-16,0)</f>
        <v>0</v>
      </c>
      <c r="K181" s="53">
        <f t="shared" si="7"/>
        <v>0</v>
      </c>
      <c r="L181" s="54">
        <f t="shared" si="8"/>
        <v>0</v>
      </c>
      <c r="M181" s="55">
        <f t="shared" si="9"/>
        <v>0</v>
      </c>
      <c r="N181" s="63"/>
    </row>
    <row r="182" spans="1:14">
      <c r="A182" s="43"/>
      <c r="B182" s="43"/>
      <c r="C182" s="36" t="s">
        <v>85</v>
      </c>
      <c r="D182" s="43"/>
      <c r="E182" s="51">
        <f t="shared" si="0"/>
        <v>0</v>
      </c>
      <c r="F182" s="52"/>
      <c r="G182" s="52"/>
      <c r="H182" s="52"/>
      <c r="I182" s="51" cm="1">
        <f t="array" ref="I182">_xlfn.SWITCH(D182,"C-Flute",(F182+G182)*2+15,"BC-Flute",(F182+G182)*2+11,0)</f>
        <v>0</v>
      </c>
      <c r="J182" s="51" cm="1">
        <f t="array" ref="J182">_xlfn.SWITCH(D182,"C-Flute",(G182+H182)-10,"BC-Flute",(G182+H182)-16,0)</f>
        <v>0</v>
      </c>
      <c r="K182" s="53">
        <f t="shared" si="7"/>
        <v>0</v>
      </c>
      <c r="L182" s="54">
        <f t="shared" si="8"/>
        <v>0</v>
      </c>
      <c r="M182" s="55">
        <f t="shared" si="9"/>
        <v>0</v>
      </c>
      <c r="N182" s="63"/>
    </row>
    <row r="183" spans="1:14">
      <c r="A183" s="43"/>
      <c r="B183" s="43"/>
      <c r="C183" s="36" t="s">
        <v>85</v>
      </c>
      <c r="D183" s="43"/>
      <c r="E183" s="51">
        <f t="shared" si="0"/>
        <v>0</v>
      </c>
      <c r="F183" s="52"/>
      <c r="G183" s="52"/>
      <c r="H183" s="52"/>
      <c r="I183" s="51" cm="1">
        <f t="array" ref="I183">_xlfn.SWITCH(D183,"C-Flute",(F183+G183)*2+15,"BC-Flute",(F183+G183)*2+11,0)</f>
        <v>0</v>
      </c>
      <c r="J183" s="51" cm="1">
        <f t="array" ref="J183">_xlfn.SWITCH(D183,"C-Flute",(G183+H183)-10,"BC-Flute",(G183+H183)-16,0)</f>
        <v>0</v>
      </c>
      <c r="K183" s="53">
        <f t="shared" si="7"/>
        <v>0</v>
      </c>
      <c r="L183" s="54">
        <f t="shared" si="8"/>
        <v>0</v>
      </c>
      <c r="M183" s="55">
        <f t="shared" si="9"/>
        <v>0</v>
      </c>
      <c r="N183" s="63"/>
    </row>
    <row r="184" spans="1:14">
      <c r="A184" s="43"/>
      <c r="B184" s="43"/>
      <c r="C184" s="36" t="s">
        <v>85</v>
      </c>
      <c r="D184" s="43"/>
      <c r="E184" s="51">
        <f t="shared" si="0"/>
        <v>0</v>
      </c>
      <c r="F184" s="52"/>
      <c r="G184" s="52"/>
      <c r="H184" s="52"/>
      <c r="I184" s="51" cm="1">
        <f t="array" ref="I184">_xlfn.SWITCH(D184,"C-Flute",(F184+G184)*2+15,"BC-Flute",(F184+G184)*2+11,0)</f>
        <v>0</v>
      </c>
      <c r="J184" s="51" cm="1">
        <f t="array" ref="J184">_xlfn.SWITCH(D184,"C-Flute",(G184+H184)-10,"BC-Flute",(G184+H184)-16,0)</f>
        <v>0</v>
      </c>
      <c r="K184" s="53">
        <f t="shared" si="7"/>
        <v>0</v>
      </c>
      <c r="L184" s="54">
        <f t="shared" si="8"/>
        <v>0</v>
      </c>
      <c r="M184" s="55">
        <f t="shared" si="9"/>
        <v>0</v>
      </c>
      <c r="N184" s="63"/>
    </row>
    <row r="185" spans="1:14">
      <c r="A185" s="43"/>
      <c r="B185" s="43"/>
      <c r="C185" s="36" t="s">
        <v>85</v>
      </c>
      <c r="D185" s="43"/>
      <c r="E185" s="51">
        <f t="shared" si="0"/>
        <v>0</v>
      </c>
      <c r="F185" s="52"/>
      <c r="G185" s="52"/>
      <c r="H185" s="52"/>
      <c r="I185" s="51" cm="1">
        <f t="array" ref="I185">_xlfn.SWITCH(D185,"C-Flute",(F185+G185)*2+15,"BC-Flute",(F185+G185)*2+11,0)</f>
        <v>0</v>
      </c>
      <c r="J185" s="51" cm="1">
        <f t="array" ref="J185">_xlfn.SWITCH(D185,"C-Flute",(G185+H185)-10,"BC-Flute",(G185+H185)-16,0)</f>
        <v>0</v>
      </c>
      <c r="K185" s="53">
        <f t="shared" si="7"/>
        <v>0</v>
      </c>
      <c r="L185" s="54">
        <f t="shared" si="8"/>
        <v>0</v>
      </c>
      <c r="M185" s="55">
        <f t="shared" si="9"/>
        <v>0</v>
      </c>
      <c r="N185" s="63"/>
    </row>
    <row r="186" spans="1:14">
      <c r="A186" s="43"/>
      <c r="B186" s="43"/>
      <c r="C186" s="36" t="s">
        <v>85</v>
      </c>
      <c r="D186" s="43"/>
      <c r="E186" s="51">
        <f t="shared" si="0"/>
        <v>0</v>
      </c>
      <c r="F186" s="52"/>
      <c r="G186" s="52"/>
      <c r="H186" s="52"/>
      <c r="I186" s="51" cm="1">
        <f t="array" ref="I186">_xlfn.SWITCH(D186,"C-Flute",(F186+G186)*2+15,"BC-Flute",(F186+G186)*2+11,0)</f>
        <v>0</v>
      </c>
      <c r="J186" s="51" cm="1">
        <f t="array" ref="J186">_xlfn.SWITCH(D186,"C-Flute",(G186+H186)-10,"BC-Flute",(G186+H186)-16,0)</f>
        <v>0</v>
      </c>
      <c r="K186" s="53">
        <f t="shared" si="7"/>
        <v>0</v>
      </c>
      <c r="L186" s="54">
        <f t="shared" si="8"/>
        <v>0</v>
      </c>
      <c r="M186" s="55">
        <f t="shared" si="9"/>
        <v>0</v>
      </c>
      <c r="N186" s="63"/>
    </row>
    <row r="187" spans="1:14">
      <c r="A187" s="43"/>
      <c r="B187" s="43"/>
      <c r="C187" s="36" t="s">
        <v>85</v>
      </c>
      <c r="D187" s="43"/>
      <c r="E187" s="51">
        <f t="shared" si="0"/>
        <v>0</v>
      </c>
      <c r="F187" s="52"/>
      <c r="G187" s="52"/>
      <c r="H187" s="52"/>
      <c r="I187" s="51" cm="1">
        <f t="array" ref="I187">_xlfn.SWITCH(D187,"C-Flute",(F187+G187)*2+15,"BC-Flute",(F187+G187)*2+11,0)</f>
        <v>0</v>
      </c>
      <c r="J187" s="51" cm="1">
        <f t="array" ref="J187">_xlfn.SWITCH(D187,"C-Flute",(G187+H187)-10,"BC-Flute",(G187+H187)-16,0)</f>
        <v>0</v>
      </c>
      <c r="K187" s="53">
        <f t="shared" si="7"/>
        <v>0</v>
      </c>
      <c r="L187" s="54">
        <f t="shared" si="8"/>
        <v>0</v>
      </c>
      <c r="M187" s="55">
        <f t="shared" si="9"/>
        <v>0</v>
      </c>
      <c r="N187" s="63"/>
    </row>
    <row r="188" spans="1:14">
      <c r="A188" s="43"/>
      <c r="B188" s="43"/>
      <c r="C188" s="36" t="s">
        <v>85</v>
      </c>
      <c r="D188" s="43"/>
      <c r="E188" s="51">
        <f t="shared" si="0"/>
        <v>0</v>
      </c>
      <c r="F188" s="52"/>
      <c r="G188" s="52"/>
      <c r="H188" s="52"/>
      <c r="I188" s="51" cm="1">
        <f t="array" ref="I188">_xlfn.SWITCH(D188,"C-Flute",(F188+G188)*2+15,"BC-Flute",(F188+G188)*2+11,0)</f>
        <v>0</v>
      </c>
      <c r="J188" s="51" cm="1">
        <f t="array" ref="J188">_xlfn.SWITCH(D188,"C-Flute",(G188+H188)-10,"BC-Flute",(G188+H188)-16,0)</f>
        <v>0</v>
      </c>
      <c r="K188" s="53">
        <f t="shared" si="7"/>
        <v>0</v>
      </c>
      <c r="L188" s="54">
        <f t="shared" si="8"/>
        <v>0</v>
      </c>
      <c r="M188" s="55">
        <f t="shared" si="9"/>
        <v>0</v>
      </c>
      <c r="N188" s="63"/>
    </row>
    <row r="189" spans="1:14">
      <c r="A189" s="43"/>
      <c r="B189" s="43"/>
      <c r="C189" s="36" t="s">
        <v>85</v>
      </c>
      <c r="D189" s="43"/>
      <c r="E189" s="51">
        <f t="shared" si="0"/>
        <v>0</v>
      </c>
      <c r="F189" s="52"/>
      <c r="G189" s="52"/>
      <c r="H189" s="52"/>
      <c r="I189" s="51" cm="1">
        <f t="array" ref="I189">_xlfn.SWITCH(D189,"C-Flute",(F189+G189)*2+15,"BC-Flute",(F189+G189)*2+11,0)</f>
        <v>0</v>
      </c>
      <c r="J189" s="51" cm="1">
        <f t="array" ref="J189">_xlfn.SWITCH(D189,"C-Flute",(G189+H189)-10,"BC-Flute",(G189+H189)-16,0)</f>
        <v>0</v>
      </c>
      <c r="K189" s="53">
        <f t="shared" si="7"/>
        <v>0</v>
      </c>
      <c r="L189" s="54">
        <f t="shared" si="8"/>
        <v>0</v>
      </c>
      <c r="M189" s="55">
        <f t="shared" si="9"/>
        <v>0</v>
      </c>
      <c r="N189" s="63"/>
    </row>
    <row r="190" spans="1:14">
      <c r="A190" s="43"/>
      <c r="B190" s="43"/>
      <c r="C190" s="36" t="s">
        <v>85</v>
      </c>
      <c r="D190" s="43"/>
      <c r="E190" s="51">
        <f t="shared" si="0"/>
        <v>0</v>
      </c>
      <c r="F190" s="52"/>
      <c r="G190" s="52"/>
      <c r="H190" s="52"/>
      <c r="I190" s="51" cm="1">
        <f t="array" ref="I190">_xlfn.SWITCH(D190,"C-Flute",(F190+G190)*2+15,"BC-Flute",(F190+G190)*2+11,0)</f>
        <v>0</v>
      </c>
      <c r="J190" s="51" cm="1">
        <f t="array" ref="J190">_xlfn.SWITCH(D190,"C-Flute",(G190+H190)-10,"BC-Flute",(G190+H190)-16,0)</f>
        <v>0</v>
      </c>
      <c r="K190" s="53">
        <f t="shared" si="7"/>
        <v>0</v>
      </c>
      <c r="L190" s="54">
        <f t="shared" si="8"/>
        <v>0</v>
      </c>
      <c r="M190" s="55">
        <f t="shared" si="9"/>
        <v>0</v>
      </c>
      <c r="N190" s="63"/>
    </row>
    <row r="191" spans="1:14">
      <c r="A191" s="43"/>
      <c r="B191" s="43"/>
      <c r="C191" s="36" t="s">
        <v>85</v>
      </c>
      <c r="D191" s="43"/>
      <c r="E191" s="51">
        <f t="shared" si="0"/>
        <v>0</v>
      </c>
      <c r="F191" s="52"/>
      <c r="G191" s="52"/>
      <c r="H191" s="52"/>
      <c r="I191" s="51" cm="1">
        <f t="array" ref="I191">_xlfn.SWITCH(D191,"C-Flute",(F191+G191)*2+15,"BC-Flute",(F191+G191)*2+11,0)</f>
        <v>0</v>
      </c>
      <c r="J191" s="51" cm="1">
        <f t="array" ref="J191">_xlfn.SWITCH(D191,"C-Flute",(G191+H191)-10,"BC-Flute",(G191+H191)-16,0)</f>
        <v>0</v>
      </c>
      <c r="K191" s="53">
        <f t="shared" si="7"/>
        <v>0</v>
      </c>
      <c r="L191" s="54">
        <f t="shared" si="8"/>
        <v>0</v>
      </c>
      <c r="M191" s="55">
        <f t="shared" si="9"/>
        <v>0</v>
      </c>
      <c r="N191" s="63"/>
    </row>
    <row r="192" spans="1:14">
      <c r="A192" s="43"/>
      <c r="B192" s="43"/>
      <c r="C192" s="36" t="s">
        <v>85</v>
      </c>
      <c r="D192" s="43"/>
      <c r="E192" s="51">
        <f t="shared" si="0"/>
        <v>0</v>
      </c>
      <c r="F192" s="52"/>
      <c r="G192" s="52"/>
      <c r="H192" s="52"/>
      <c r="I192" s="51" cm="1">
        <f t="array" ref="I192">_xlfn.SWITCH(D192,"C-Flute",(F192+G192)*2+15,"BC-Flute",(F192+G192)*2+11,0)</f>
        <v>0</v>
      </c>
      <c r="J192" s="51" cm="1">
        <f t="array" ref="J192">_xlfn.SWITCH(D192,"C-Flute",(G192+H192)-10,"BC-Flute",(G192+H192)-16,0)</f>
        <v>0</v>
      </c>
      <c r="K192" s="53">
        <f t="shared" si="7"/>
        <v>0</v>
      </c>
      <c r="L192" s="54">
        <f t="shared" si="8"/>
        <v>0</v>
      </c>
      <c r="M192" s="55">
        <f t="shared" si="9"/>
        <v>0</v>
      </c>
      <c r="N192" s="63"/>
    </row>
    <row r="193" spans="1:14">
      <c r="A193" s="43"/>
      <c r="B193" s="43"/>
      <c r="C193" s="36" t="s">
        <v>85</v>
      </c>
      <c r="D193" s="43"/>
      <c r="E193" s="51">
        <f t="shared" si="0"/>
        <v>0</v>
      </c>
      <c r="F193" s="52"/>
      <c r="G193" s="52"/>
      <c r="H193" s="52"/>
      <c r="I193" s="51" cm="1">
        <f t="array" ref="I193">_xlfn.SWITCH(D193,"C-Flute",(F193+G193)*2+15,"BC-Flute",(F193+G193)*2+11,0)</f>
        <v>0</v>
      </c>
      <c r="J193" s="51" cm="1">
        <f t="array" ref="J193">_xlfn.SWITCH(D193,"C-Flute",(G193+H193)-10,"BC-Flute",(G193+H193)-16,0)</f>
        <v>0</v>
      </c>
      <c r="K193" s="53">
        <f t="shared" si="7"/>
        <v>0</v>
      </c>
      <c r="L193" s="54">
        <f t="shared" si="8"/>
        <v>0</v>
      </c>
      <c r="M193" s="55">
        <f t="shared" si="9"/>
        <v>0</v>
      </c>
      <c r="N193" s="63"/>
    </row>
    <row r="194" spans="1:14">
      <c r="A194" s="43"/>
      <c r="B194" s="43"/>
      <c r="C194" s="36" t="s">
        <v>85</v>
      </c>
      <c r="D194" s="43"/>
      <c r="E194" s="51">
        <f t="shared" si="0"/>
        <v>0</v>
      </c>
      <c r="F194" s="52"/>
      <c r="G194" s="52"/>
      <c r="H194" s="52"/>
      <c r="I194" s="51" cm="1">
        <f t="array" ref="I194">_xlfn.SWITCH(D194,"C-Flute",(F194+G194)*2+15,"BC-Flute",(F194+G194)*2+11,0)</f>
        <v>0</v>
      </c>
      <c r="J194" s="51" cm="1">
        <f t="array" ref="J194">_xlfn.SWITCH(D194,"C-Flute",(G194+H194)-10,"BC-Flute",(G194+H194)-16,0)</f>
        <v>0</v>
      </c>
      <c r="K194" s="53">
        <f t="shared" si="7"/>
        <v>0</v>
      </c>
      <c r="L194" s="54">
        <f t="shared" si="8"/>
        <v>0</v>
      </c>
      <c r="M194" s="55">
        <f t="shared" si="9"/>
        <v>0</v>
      </c>
      <c r="N194" s="63"/>
    </row>
    <row r="195" spans="1:14">
      <c r="A195" s="43"/>
      <c r="B195" s="43"/>
      <c r="C195" s="36" t="s">
        <v>85</v>
      </c>
      <c r="D195" s="43"/>
      <c r="E195" s="51">
        <f t="shared" si="0"/>
        <v>0</v>
      </c>
      <c r="F195" s="52"/>
      <c r="G195" s="52"/>
      <c r="H195" s="52"/>
      <c r="I195" s="51" cm="1">
        <f t="array" ref="I195">_xlfn.SWITCH(D195,"C-Flute",(F195+G195)*2+15,"BC-Flute",(F195+G195)*2+11,0)</f>
        <v>0</v>
      </c>
      <c r="J195" s="51" cm="1">
        <f t="array" ref="J195">_xlfn.SWITCH(D195,"C-Flute",(G195+H195)-10,"BC-Flute",(G195+H195)-16,0)</f>
        <v>0</v>
      </c>
      <c r="K195" s="53">
        <f t="shared" si="7"/>
        <v>0</v>
      </c>
      <c r="L195" s="54">
        <f t="shared" si="8"/>
        <v>0</v>
      </c>
      <c r="M195" s="55">
        <f t="shared" si="9"/>
        <v>0</v>
      </c>
      <c r="N195" s="63"/>
    </row>
    <row r="196" spans="1:14">
      <c r="A196" s="43"/>
      <c r="B196" s="43"/>
      <c r="C196" s="36" t="s">
        <v>85</v>
      </c>
      <c r="D196" s="43"/>
      <c r="E196" s="51">
        <f t="shared" si="0"/>
        <v>0</v>
      </c>
      <c r="F196" s="52"/>
      <c r="G196" s="52"/>
      <c r="H196" s="52"/>
      <c r="I196" s="51" cm="1">
        <f t="array" ref="I196">_xlfn.SWITCH(D196,"C-Flute",(F196+G196)*2+15,"BC-Flute",(F196+G196)*2+11,0)</f>
        <v>0</v>
      </c>
      <c r="J196" s="51" cm="1">
        <f t="array" ref="J196">_xlfn.SWITCH(D196,"C-Flute",(G196+H196)-10,"BC-Flute",(G196+H196)-16,0)</f>
        <v>0</v>
      </c>
      <c r="K196" s="53">
        <f t="shared" si="7"/>
        <v>0</v>
      </c>
      <c r="L196" s="54">
        <f t="shared" si="8"/>
        <v>0</v>
      </c>
      <c r="M196" s="55">
        <f t="shared" si="9"/>
        <v>0</v>
      </c>
      <c r="N196" s="63"/>
    </row>
    <row r="197" spans="1:14">
      <c r="A197" s="43"/>
      <c r="B197" s="43"/>
      <c r="C197" s="36" t="s">
        <v>85</v>
      </c>
      <c r="D197" s="43"/>
      <c r="E197" s="51">
        <f t="shared" si="0"/>
        <v>0</v>
      </c>
      <c r="F197" s="52"/>
      <c r="G197" s="52"/>
      <c r="H197" s="52"/>
      <c r="I197" s="51" cm="1">
        <f t="array" ref="I197">_xlfn.SWITCH(D197,"C-Flute",(F197+G197)*2+15,"BC-Flute",(F197+G197)*2+11,0)</f>
        <v>0</v>
      </c>
      <c r="J197" s="51" cm="1">
        <f t="array" ref="J197">_xlfn.SWITCH(D197,"C-Flute",(G197+H197)-10,"BC-Flute",(G197+H197)-16,0)</f>
        <v>0</v>
      </c>
      <c r="K197" s="53">
        <f t="shared" si="7"/>
        <v>0</v>
      </c>
      <c r="L197" s="54">
        <f t="shared" si="8"/>
        <v>0</v>
      </c>
      <c r="M197" s="55">
        <f t="shared" si="9"/>
        <v>0</v>
      </c>
      <c r="N197" s="63"/>
    </row>
    <row r="198" spans="1:14">
      <c r="A198" s="43"/>
      <c r="B198" s="43"/>
      <c r="C198" s="36" t="s">
        <v>85</v>
      </c>
      <c r="D198" s="43"/>
      <c r="E198" s="51">
        <f t="shared" si="0"/>
        <v>0</v>
      </c>
      <c r="F198" s="52"/>
      <c r="G198" s="52"/>
      <c r="H198" s="52"/>
      <c r="I198" s="51" cm="1">
        <f t="array" ref="I198">_xlfn.SWITCH(D198,"C-Flute",(F198+G198)*2+15,"BC-Flute",(F198+G198)*2+11,0)</f>
        <v>0</v>
      </c>
      <c r="J198" s="51" cm="1">
        <f t="array" ref="J198">_xlfn.SWITCH(D198,"C-Flute",(G198+H198)-10,"BC-Flute",(G198+H198)-16,0)</f>
        <v>0</v>
      </c>
      <c r="K198" s="53">
        <f t="shared" si="7"/>
        <v>0</v>
      </c>
      <c r="L198" s="54">
        <f t="shared" si="8"/>
        <v>0</v>
      </c>
      <c r="M198" s="55">
        <f t="shared" si="9"/>
        <v>0</v>
      </c>
      <c r="N198" s="63"/>
    </row>
    <row r="199" spans="1:14">
      <c r="A199" s="43"/>
      <c r="B199" s="43"/>
      <c r="C199" s="36" t="s">
        <v>85</v>
      </c>
      <c r="D199" s="43"/>
      <c r="E199" s="51">
        <f t="shared" si="0"/>
        <v>0</v>
      </c>
      <c r="F199" s="52"/>
      <c r="G199" s="52"/>
      <c r="H199" s="52"/>
      <c r="I199" s="51" cm="1">
        <f t="array" ref="I199">_xlfn.SWITCH(D199,"C-Flute",(F199+G199)*2+15,"BC-Flute",(F199+G199)*2+11,0)</f>
        <v>0</v>
      </c>
      <c r="J199" s="51" cm="1">
        <f t="array" ref="J199">_xlfn.SWITCH(D199,"C-Flute",(G199+H199)-10,"BC-Flute",(G199+H199)-16,0)</f>
        <v>0</v>
      </c>
      <c r="K199" s="53">
        <f t="shared" si="7"/>
        <v>0</v>
      </c>
      <c r="L199" s="54">
        <f t="shared" si="8"/>
        <v>0</v>
      </c>
      <c r="M199" s="55">
        <f t="shared" si="9"/>
        <v>0</v>
      </c>
      <c r="N199" s="63"/>
    </row>
    <row r="200" spans="1:14">
      <c r="A200" s="43"/>
      <c r="B200" s="43"/>
      <c r="C200" s="36" t="s">
        <v>85</v>
      </c>
      <c r="D200" s="43"/>
      <c r="E200" s="51">
        <f t="shared" si="0"/>
        <v>0</v>
      </c>
      <c r="F200" s="52"/>
      <c r="G200" s="52"/>
      <c r="H200" s="52"/>
      <c r="I200" s="51" cm="1">
        <f t="array" ref="I200">_xlfn.SWITCH(D200,"C-Flute",(F200+G200)*2+15,"BC-Flute",(F200+G200)*2+11,0)</f>
        <v>0</v>
      </c>
      <c r="J200" s="51" cm="1">
        <f t="array" ref="J200">_xlfn.SWITCH(D200,"C-Flute",(G200+H200)-10,"BC-Flute",(G200+H200)-16,0)</f>
        <v>0</v>
      </c>
      <c r="K200" s="53">
        <f t="shared" si="7"/>
        <v>0</v>
      </c>
      <c r="L200" s="54">
        <f t="shared" si="8"/>
        <v>0</v>
      </c>
      <c r="M200" s="55">
        <f t="shared" si="9"/>
        <v>0</v>
      </c>
      <c r="N200" s="63"/>
    </row>
    <row r="201" spans="1:14">
      <c r="A201" s="43"/>
      <c r="B201" s="43"/>
      <c r="C201" s="36" t="s">
        <v>85</v>
      </c>
      <c r="D201" s="43"/>
      <c r="E201" s="51">
        <f t="shared" si="0"/>
        <v>0</v>
      </c>
      <c r="F201" s="52"/>
      <c r="G201" s="52"/>
      <c r="H201" s="52"/>
      <c r="I201" s="51" cm="1">
        <f t="array" ref="I201">_xlfn.SWITCH(D201,"C-Flute",(F201+G201)*2+15,"BC-Flute",(F201+G201)*2+11,0)</f>
        <v>0</v>
      </c>
      <c r="J201" s="51" cm="1">
        <f t="array" ref="J201">_xlfn.SWITCH(D201,"C-Flute",(G201+H201)-10,"BC-Flute",(G201+H201)-16,0)</f>
        <v>0</v>
      </c>
      <c r="K201" s="53">
        <f t="shared" si="7"/>
        <v>0</v>
      </c>
      <c r="L201" s="54">
        <f t="shared" si="8"/>
        <v>0</v>
      </c>
      <c r="M201" s="55">
        <f t="shared" si="9"/>
        <v>0</v>
      </c>
      <c r="N201" s="63"/>
    </row>
    <row r="202" spans="1:14">
      <c r="A202" s="43"/>
      <c r="B202" s="43"/>
      <c r="C202" s="36" t="s">
        <v>85</v>
      </c>
      <c r="D202" s="43"/>
      <c r="E202" s="51">
        <f t="shared" si="0"/>
        <v>0</v>
      </c>
      <c r="F202" s="52"/>
      <c r="G202" s="52"/>
      <c r="H202" s="52"/>
      <c r="I202" s="51" cm="1">
        <f t="array" ref="I202">_xlfn.SWITCH(D202,"C-Flute",(F202+G202)*2+15,"BC-Flute",(F202+G202)*2+11,0)</f>
        <v>0</v>
      </c>
      <c r="J202" s="51" cm="1">
        <f t="array" ref="J202">_xlfn.SWITCH(D202,"C-Flute",(G202+H202)-10,"BC-Flute",(G202+H202)-16,0)</f>
        <v>0</v>
      </c>
      <c r="K202" s="53">
        <f t="shared" si="7"/>
        <v>0</v>
      </c>
      <c r="L202" s="54">
        <f t="shared" si="8"/>
        <v>0</v>
      </c>
      <c r="M202" s="55">
        <f t="shared" si="9"/>
        <v>0</v>
      </c>
      <c r="N202" s="63"/>
    </row>
    <row r="203" spans="1:14">
      <c r="A203" s="43"/>
      <c r="B203" s="43"/>
      <c r="C203" s="36" t="s">
        <v>85</v>
      </c>
      <c r="D203" s="43"/>
      <c r="E203" s="51">
        <f t="shared" si="0"/>
        <v>0</v>
      </c>
      <c r="F203" s="52"/>
      <c r="G203" s="52"/>
      <c r="H203" s="52"/>
      <c r="I203" s="51" cm="1">
        <f t="array" ref="I203">_xlfn.SWITCH(D203,"C-Flute",(F203+G203)*2+15,"BC-Flute",(F203+G203)*2+11,0)</f>
        <v>0</v>
      </c>
      <c r="J203" s="51" cm="1">
        <f t="array" ref="J203">_xlfn.SWITCH(D203,"C-Flute",(G203+H203)-10,"BC-Flute",(G203+H203)-16,0)</f>
        <v>0</v>
      </c>
      <c r="K203" s="53">
        <f t="shared" si="7"/>
        <v>0</v>
      </c>
      <c r="L203" s="54">
        <f t="shared" si="8"/>
        <v>0</v>
      </c>
      <c r="M203" s="55">
        <f t="shared" si="9"/>
        <v>0</v>
      </c>
      <c r="N203" s="63"/>
    </row>
    <row r="204" spans="1:14">
      <c r="A204" s="43"/>
      <c r="B204" s="43"/>
      <c r="C204" s="36" t="s">
        <v>85</v>
      </c>
      <c r="D204" s="43"/>
      <c r="E204" s="51">
        <f t="shared" si="0"/>
        <v>0</v>
      </c>
      <c r="F204" s="52"/>
      <c r="G204" s="52"/>
      <c r="H204" s="52"/>
      <c r="I204" s="51" cm="1">
        <f t="array" ref="I204">_xlfn.SWITCH(D204,"C-Flute",(F204+G204)*2+15,"BC-Flute",(F204+G204)*2+11,0)</f>
        <v>0</v>
      </c>
      <c r="J204" s="51" cm="1">
        <f t="array" ref="J204">_xlfn.SWITCH(D204,"C-Flute",(G204+H204)-10,"BC-Flute",(G204+H204)-16,0)</f>
        <v>0</v>
      </c>
      <c r="K204" s="53">
        <f t="shared" si="7"/>
        <v>0</v>
      </c>
      <c r="L204" s="54">
        <f t="shared" si="8"/>
        <v>0</v>
      </c>
      <c r="M204" s="55">
        <f t="shared" si="9"/>
        <v>0</v>
      </c>
      <c r="N204" s="63"/>
    </row>
    <row r="205" spans="1:14">
      <c r="A205" s="43"/>
      <c r="B205" s="43"/>
      <c r="C205" s="36" t="s">
        <v>85</v>
      </c>
      <c r="D205" s="43"/>
      <c r="E205" s="51">
        <f t="shared" si="0"/>
        <v>0</v>
      </c>
      <c r="F205" s="52"/>
      <c r="G205" s="52"/>
      <c r="H205" s="52"/>
      <c r="I205" s="51" cm="1">
        <f t="array" ref="I205">_xlfn.SWITCH(D205,"C-Flute",(F205+G205)*2+15,"BC-Flute",(F205+G205)*2+11,0)</f>
        <v>0</v>
      </c>
      <c r="J205" s="51" cm="1">
        <f t="array" ref="J205">_xlfn.SWITCH(D205,"C-Flute",(G205+H205)-10,"BC-Flute",(G205+H205)-16,0)</f>
        <v>0</v>
      </c>
      <c r="K205" s="53">
        <f t="shared" si="7"/>
        <v>0</v>
      </c>
      <c r="L205" s="54">
        <f t="shared" si="8"/>
        <v>0</v>
      </c>
      <c r="M205" s="55">
        <f t="shared" si="9"/>
        <v>0</v>
      </c>
      <c r="N205" s="63"/>
    </row>
    <row r="206" spans="1:14">
      <c r="A206" s="43"/>
      <c r="B206" s="43"/>
      <c r="C206" s="36" t="s">
        <v>85</v>
      </c>
      <c r="D206" s="43"/>
      <c r="E206" s="51">
        <f t="shared" si="0"/>
        <v>0</v>
      </c>
      <c r="F206" s="52"/>
      <c r="G206" s="52"/>
      <c r="H206" s="52"/>
      <c r="I206" s="51" cm="1">
        <f t="array" ref="I206">_xlfn.SWITCH(D206,"C-Flute",(F206+G206)*2+15,"BC-Flute",(F206+G206)*2+11,0)</f>
        <v>0</v>
      </c>
      <c r="J206" s="51" cm="1">
        <f t="array" ref="J206">_xlfn.SWITCH(D206,"C-Flute",(G206+H206)-10,"BC-Flute",(G206+H206)-16,0)</f>
        <v>0</v>
      </c>
      <c r="K206" s="53">
        <f t="shared" si="7"/>
        <v>0</v>
      </c>
      <c r="L206" s="54">
        <f t="shared" si="8"/>
        <v>0</v>
      </c>
      <c r="M206" s="55">
        <f t="shared" si="9"/>
        <v>0</v>
      </c>
      <c r="N206" s="63"/>
    </row>
    <row r="207" spans="1:14">
      <c r="A207" s="43"/>
      <c r="B207" s="43"/>
      <c r="C207" s="36" t="s">
        <v>85</v>
      </c>
      <c r="D207" s="43"/>
      <c r="E207" s="51">
        <f t="shared" si="0"/>
        <v>0</v>
      </c>
      <c r="F207" s="52"/>
      <c r="G207" s="52"/>
      <c r="H207" s="52"/>
      <c r="I207" s="51" cm="1">
        <f t="array" ref="I207">_xlfn.SWITCH(D207,"C-Flute",(F207+G207)*2+15,"BC-Flute",(F207+G207)*2+11,0)</f>
        <v>0</v>
      </c>
      <c r="J207" s="51" cm="1">
        <f t="array" ref="J207">_xlfn.SWITCH(D207,"C-Flute",(G207+H207)-10,"BC-Flute",(G207+H207)-16,0)</f>
        <v>0</v>
      </c>
      <c r="K207" s="53">
        <f t="shared" si="7"/>
        <v>0</v>
      </c>
      <c r="L207" s="54">
        <f t="shared" si="8"/>
        <v>0</v>
      </c>
      <c r="M207" s="55">
        <f t="shared" si="9"/>
        <v>0</v>
      </c>
      <c r="N207" s="63"/>
    </row>
    <row r="208" spans="1:14">
      <c r="A208" s="43"/>
      <c r="B208" s="43"/>
      <c r="C208" s="36" t="s">
        <v>85</v>
      </c>
      <c r="D208" s="43"/>
      <c r="E208" s="51">
        <f t="shared" si="0"/>
        <v>0</v>
      </c>
      <c r="F208" s="52"/>
      <c r="G208" s="52"/>
      <c r="H208" s="52"/>
      <c r="I208" s="51" cm="1">
        <f t="array" ref="I208">_xlfn.SWITCH(D208,"C-Flute",(F208+G208)*2+15,"BC-Flute",(F208+G208)*2+11,0)</f>
        <v>0</v>
      </c>
      <c r="J208" s="51" cm="1">
        <f t="array" ref="J208">_xlfn.SWITCH(D208,"C-Flute",(G208+H208)-10,"BC-Flute",(G208+H208)-16,0)</f>
        <v>0</v>
      </c>
      <c r="K208" s="53">
        <f t="shared" si="7"/>
        <v>0</v>
      </c>
      <c r="L208" s="54">
        <f t="shared" si="8"/>
        <v>0</v>
      </c>
      <c r="M208" s="55">
        <f t="shared" si="9"/>
        <v>0</v>
      </c>
      <c r="N208" s="63"/>
    </row>
    <row r="209" spans="1:14">
      <c r="A209" s="43"/>
      <c r="B209" s="43"/>
      <c r="C209" s="36" t="s">
        <v>85</v>
      </c>
      <c r="D209" s="43"/>
      <c r="E209" s="51">
        <f t="shared" si="0"/>
        <v>0</v>
      </c>
      <c r="F209" s="52"/>
      <c r="G209" s="52"/>
      <c r="H209" s="52"/>
      <c r="I209" s="51" cm="1">
        <f t="array" ref="I209">_xlfn.SWITCH(D209,"C-Flute",(F209+G209)*2+15,"BC-Flute",(F209+G209)*2+11,0)</f>
        <v>0</v>
      </c>
      <c r="J209" s="51" cm="1">
        <f t="array" ref="J209">_xlfn.SWITCH(D209,"C-Flute",(G209+H209)-10,"BC-Flute",(G209+H209)-16,0)</f>
        <v>0</v>
      </c>
      <c r="K209" s="53">
        <f t="shared" si="7"/>
        <v>0</v>
      </c>
      <c r="L209" s="54">
        <f t="shared" si="8"/>
        <v>0</v>
      </c>
      <c r="M209" s="55">
        <f t="shared" si="9"/>
        <v>0</v>
      </c>
      <c r="N209" s="63"/>
    </row>
    <row r="210" spans="1:14">
      <c r="A210" s="43"/>
      <c r="B210" s="43"/>
      <c r="C210" s="36" t="s">
        <v>85</v>
      </c>
      <c r="D210" s="43"/>
      <c r="E210" s="51">
        <f t="shared" si="0"/>
        <v>0</v>
      </c>
      <c r="F210" s="52"/>
      <c r="G210" s="52"/>
      <c r="H210" s="52"/>
      <c r="I210" s="51" cm="1">
        <f t="array" ref="I210">_xlfn.SWITCH(D210,"C-Flute",(F210+G210)*2+15,"BC-Flute",(F210+G210)*2+11,0)</f>
        <v>0</v>
      </c>
      <c r="J210" s="51" cm="1">
        <f t="array" ref="J210">_xlfn.SWITCH(D210,"C-Flute",(G210+H210)-10,"BC-Flute",(G210+H210)-16,0)</f>
        <v>0</v>
      </c>
      <c r="K210" s="53">
        <f t="shared" ref="K210:K273" si="10">I210*J210*(1+10%)/1000000</f>
        <v>0</v>
      </c>
      <c r="L210" s="54">
        <f t="shared" ref="L210:L273" si="11">IFERROR(K210*IFERROR(VLOOKUP(D210,$I$3:$L$5,4,FALSE),"N/A"),0)</f>
        <v>0</v>
      </c>
      <c r="M210" s="55">
        <f t="shared" ref="M210:M273" si="12">IFERROR(L210/$M$4,0)</f>
        <v>0</v>
      </c>
      <c r="N210" s="63"/>
    </row>
    <row r="211" spans="1:14">
      <c r="A211" s="43"/>
      <c r="B211" s="43"/>
      <c r="C211" s="36" t="s">
        <v>85</v>
      </c>
      <c r="D211" s="43"/>
      <c r="E211" s="51">
        <f t="shared" si="0"/>
        <v>0</v>
      </c>
      <c r="F211" s="52"/>
      <c r="G211" s="52"/>
      <c r="H211" s="52"/>
      <c r="I211" s="51" cm="1">
        <f t="array" ref="I211">_xlfn.SWITCH(D211,"C-Flute",(F211+G211)*2+15,"BC-Flute",(F211+G211)*2+11,0)</f>
        <v>0</v>
      </c>
      <c r="J211" s="51" cm="1">
        <f t="array" ref="J211">_xlfn.SWITCH(D211,"C-Flute",(G211+H211)-10,"BC-Flute",(G211+H211)-16,0)</f>
        <v>0</v>
      </c>
      <c r="K211" s="53">
        <f t="shared" si="10"/>
        <v>0</v>
      </c>
      <c r="L211" s="54">
        <f t="shared" si="11"/>
        <v>0</v>
      </c>
      <c r="M211" s="55">
        <f t="shared" si="12"/>
        <v>0</v>
      </c>
      <c r="N211" s="63"/>
    </row>
    <row r="212" spans="1:14">
      <c r="A212" s="43"/>
      <c r="B212" s="43"/>
      <c r="C212" s="36" t="s">
        <v>85</v>
      </c>
      <c r="D212" s="43"/>
      <c r="E212" s="51">
        <f t="shared" si="0"/>
        <v>0</v>
      </c>
      <c r="F212" s="52"/>
      <c r="G212" s="52"/>
      <c r="H212" s="52"/>
      <c r="I212" s="51" cm="1">
        <f t="array" ref="I212">_xlfn.SWITCH(D212,"C-Flute",(F212+G212)*2+15,"BC-Flute",(F212+G212)*2+11,0)</f>
        <v>0</v>
      </c>
      <c r="J212" s="51" cm="1">
        <f t="array" ref="J212">_xlfn.SWITCH(D212,"C-Flute",(G212+H212)-10,"BC-Flute",(G212+H212)-16,0)</f>
        <v>0</v>
      </c>
      <c r="K212" s="53">
        <f t="shared" si="10"/>
        <v>0</v>
      </c>
      <c r="L212" s="54">
        <f t="shared" si="11"/>
        <v>0</v>
      </c>
      <c r="M212" s="55">
        <f t="shared" si="12"/>
        <v>0</v>
      </c>
      <c r="N212" s="63"/>
    </row>
    <row r="213" spans="1:14">
      <c r="A213" s="43"/>
      <c r="B213" s="43"/>
      <c r="C213" s="36" t="s">
        <v>85</v>
      </c>
      <c r="D213" s="43"/>
      <c r="E213" s="51">
        <f t="shared" si="0"/>
        <v>0</v>
      </c>
      <c r="F213" s="52"/>
      <c r="G213" s="52"/>
      <c r="H213" s="52"/>
      <c r="I213" s="51" cm="1">
        <f t="array" ref="I213">_xlfn.SWITCH(D213,"C-Flute",(F213+G213)*2+15,"BC-Flute",(F213+G213)*2+11,0)</f>
        <v>0</v>
      </c>
      <c r="J213" s="51" cm="1">
        <f t="array" ref="J213">_xlfn.SWITCH(D213,"C-Flute",(G213+H213)-10,"BC-Flute",(G213+H213)-16,0)</f>
        <v>0</v>
      </c>
      <c r="K213" s="53">
        <f t="shared" si="10"/>
        <v>0</v>
      </c>
      <c r="L213" s="54">
        <f t="shared" si="11"/>
        <v>0</v>
      </c>
      <c r="M213" s="55">
        <f t="shared" si="12"/>
        <v>0</v>
      </c>
      <c r="N213" s="63"/>
    </row>
    <row r="214" spans="1:14">
      <c r="A214" s="43"/>
      <c r="B214" s="43"/>
      <c r="C214" s="36" t="s">
        <v>85</v>
      </c>
      <c r="D214" s="43"/>
      <c r="E214" s="51">
        <f t="shared" si="0"/>
        <v>0</v>
      </c>
      <c r="F214" s="52"/>
      <c r="G214" s="52"/>
      <c r="H214" s="52"/>
      <c r="I214" s="51" cm="1">
        <f t="array" ref="I214">_xlfn.SWITCH(D214,"C-Flute",(F214+G214)*2+15,"BC-Flute",(F214+G214)*2+11,0)</f>
        <v>0</v>
      </c>
      <c r="J214" s="51" cm="1">
        <f t="array" ref="J214">_xlfn.SWITCH(D214,"C-Flute",(G214+H214)-10,"BC-Flute",(G214+H214)-16,0)</f>
        <v>0</v>
      </c>
      <c r="K214" s="53">
        <f t="shared" si="10"/>
        <v>0</v>
      </c>
      <c r="L214" s="54">
        <f t="shared" si="11"/>
        <v>0</v>
      </c>
      <c r="M214" s="55">
        <f t="shared" si="12"/>
        <v>0</v>
      </c>
      <c r="N214" s="63"/>
    </row>
    <row r="215" spans="1:14">
      <c r="A215" s="43"/>
      <c r="B215" s="43"/>
      <c r="C215" s="36" t="s">
        <v>85</v>
      </c>
      <c r="D215" s="43"/>
      <c r="E215" s="51">
        <f t="shared" si="0"/>
        <v>0</v>
      </c>
      <c r="F215" s="52"/>
      <c r="G215" s="52"/>
      <c r="H215" s="52"/>
      <c r="I215" s="51" cm="1">
        <f t="array" ref="I215">_xlfn.SWITCH(D215,"C-Flute",(F215+G215)*2+15,"BC-Flute",(F215+G215)*2+11,0)</f>
        <v>0</v>
      </c>
      <c r="J215" s="51" cm="1">
        <f t="array" ref="J215">_xlfn.SWITCH(D215,"C-Flute",(G215+H215)-10,"BC-Flute",(G215+H215)-16,0)</f>
        <v>0</v>
      </c>
      <c r="K215" s="53">
        <f t="shared" si="10"/>
        <v>0</v>
      </c>
      <c r="L215" s="54">
        <f t="shared" si="11"/>
        <v>0</v>
      </c>
      <c r="M215" s="55">
        <f t="shared" si="12"/>
        <v>0</v>
      </c>
      <c r="N215" s="63"/>
    </row>
    <row r="216" spans="1:14">
      <c r="A216" s="43"/>
      <c r="B216" s="43"/>
      <c r="C216" s="36" t="s">
        <v>85</v>
      </c>
      <c r="D216" s="43"/>
      <c r="E216" s="51">
        <f t="shared" si="0"/>
        <v>0</v>
      </c>
      <c r="F216" s="52"/>
      <c r="G216" s="52"/>
      <c r="H216" s="52"/>
      <c r="I216" s="51" cm="1">
        <f t="array" ref="I216">_xlfn.SWITCH(D216,"C-Flute",(F216+G216)*2+15,"BC-Flute",(F216+G216)*2+11,0)</f>
        <v>0</v>
      </c>
      <c r="J216" s="51" cm="1">
        <f t="array" ref="J216">_xlfn.SWITCH(D216,"C-Flute",(G216+H216)-10,"BC-Flute",(G216+H216)-16,0)</f>
        <v>0</v>
      </c>
      <c r="K216" s="53">
        <f t="shared" si="10"/>
        <v>0</v>
      </c>
      <c r="L216" s="54">
        <f t="shared" si="11"/>
        <v>0</v>
      </c>
      <c r="M216" s="55">
        <f t="shared" si="12"/>
        <v>0</v>
      </c>
      <c r="N216" s="63"/>
    </row>
    <row r="217" spans="1:14">
      <c r="A217" s="43"/>
      <c r="B217" s="43"/>
      <c r="C217" s="36" t="s">
        <v>85</v>
      </c>
      <c r="D217" s="43"/>
      <c r="E217" s="51">
        <f t="shared" si="0"/>
        <v>0</v>
      </c>
      <c r="F217" s="52"/>
      <c r="G217" s="52"/>
      <c r="H217" s="52"/>
      <c r="I217" s="51" cm="1">
        <f t="array" ref="I217">_xlfn.SWITCH(D217,"C-Flute",(F217+G217)*2+15,"BC-Flute",(F217+G217)*2+11,0)</f>
        <v>0</v>
      </c>
      <c r="J217" s="51" cm="1">
        <f t="array" ref="J217">_xlfn.SWITCH(D217,"C-Flute",(G217+H217)-10,"BC-Flute",(G217+H217)-16,0)</f>
        <v>0</v>
      </c>
      <c r="K217" s="53">
        <f t="shared" si="10"/>
        <v>0</v>
      </c>
      <c r="L217" s="54">
        <f t="shared" si="11"/>
        <v>0</v>
      </c>
      <c r="M217" s="55">
        <f t="shared" si="12"/>
        <v>0</v>
      </c>
      <c r="N217" s="63"/>
    </row>
    <row r="218" spans="1:14">
      <c r="A218" s="43"/>
      <c r="B218" s="43"/>
      <c r="C218" s="36" t="s">
        <v>85</v>
      </c>
      <c r="D218" s="43"/>
      <c r="E218" s="51">
        <f t="shared" si="0"/>
        <v>0</v>
      </c>
      <c r="F218" s="52"/>
      <c r="G218" s="52"/>
      <c r="H218" s="52"/>
      <c r="I218" s="51" cm="1">
        <f t="array" ref="I218">_xlfn.SWITCH(D218,"C-Flute",(F218+G218)*2+15,"BC-Flute",(F218+G218)*2+11,0)</f>
        <v>0</v>
      </c>
      <c r="J218" s="51" cm="1">
        <f t="array" ref="J218">_xlfn.SWITCH(D218,"C-Flute",(G218+H218)-10,"BC-Flute",(G218+H218)-16,0)</f>
        <v>0</v>
      </c>
      <c r="K218" s="53">
        <f t="shared" si="10"/>
        <v>0</v>
      </c>
      <c r="L218" s="54">
        <f t="shared" si="11"/>
        <v>0</v>
      </c>
      <c r="M218" s="55">
        <f t="shared" si="12"/>
        <v>0</v>
      </c>
      <c r="N218" s="63"/>
    </row>
    <row r="219" spans="1:14">
      <c r="A219" s="43"/>
      <c r="B219" s="43"/>
      <c r="C219" s="36" t="s">
        <v>85</v>
      </c>
      <c r="D219" s="43"/>
      <c r="E219" s="51">
        <f t="shared" si="0"/>
        <v>0</v>
      </c>
      <c r="F219" s="52"/>
      <c r="G219" s="52"/>
      <c r="H219" s="52"/>
      <c r="I219" s="51" cm="1">
        <f t="array" ref="I219">_xlfn.SWITCH(D219,"C-Flute",(F219+G219)*2+15,"BC-Flute",(F219+G219)*2+11,0)</f>
        <v>0</v>
      </c>
      <c r="J219" s="51" cm="1">
        <f t="array" ref="J219">_xlfn.SWITCH(D219,"C-Flute",(G219+H219)-10,"BC-Flute",(G219+H219)-16,0)</f>
        <v>0</v>
      </c>
      <c r="K219" s="53">
        <f t="shared" si="10"/>
        <v>0</v>
      </c>
      <c r="L219" s="54">
        <f t="shared" si="11"/>
        <v>0</v>
      </c>
      <c r="M219" s="55">
        <f t="shared" si="12"/>
        <v>0</v>
      </c>
      <c r="N219" s="63"/>
    </row>
    <row r="220" spans="1:14">
      <c r="A220" s="43"/>
      <c r="B220" s="43"/>
      <c r="C220" s="36" t="s">
        <v>85</v>
      </c>
      <c r="D220" s="43"/>
      <c r="E220" s="51">
        <f t="shared" si="0"/>
        <v>0</v>
      </c>
      <c r="F220" s="52"/>
      <c r="G220" s="52"/>
      <c r="H220" s="52"/>
      <c r="I220" s="51" cm="1">
        <f t="array" ref="I220">_xlfn.SWITCH(D220,"C-Flute",(F220+G220)*2+15,"BC-Flute",(F220+G220)*2+11,0)</f>
        <v>0</v>
      </c>
      <c r="J220" s="51" cm="1">
        <f t="array" ref="J220">_xlfn.SWITCH(D220,"C-Flute",(G220+H220)-10,"BC-Flute",(G220+H220)-16,0)</f>
        <v>0</v>
      </c>
      <c r="K220" s="53">
        <f t="shared" si="10"/>
        <v>0</v>
      </c>
      <c r="L220" s="54">
        <f t="shared" si="11"/>
        <v>0</v>
      </c>
      <c r="M220" s="55">
        <f t="shared" si="12"/>
        <v>0</v>
      </c>
      <c r="N220" s="63"/>
    </row>
    <row r="221" spans="1:14">
      <c r="A221" s="43"/>
      <c r="B221" s="43"/>
      <c r="C221" s="36" t="s">
        <v>85</v>
      </c>
      <c r="D221" s="43"/>
      <c r="E221" s="51">
        <f t="shared" si="0"/>
        <v>0</v>
      </c>
      <c r="F221" s="52"/>
      <c r="G221" s="52"/>
      <c r="H221" s="52"/>
      <c r="I221" s="51" cm="1">
        <f t="array" ref="I221">_xlfn.SWITCH(D221,"C-Flute",(F221+G221)*2+15,"BC-Flute",(F221+G221)*2+11,0)</f>
        <v>0</v>
      </c>
      <c r="J221" s="51" cm="1">
        <f t="array" ref="J221">_xlfn.SWITCH(D221,"C-Flute",(G221+H221)-10,"BC-Flute",(G221+H221)-16,0)</f>
        <v>0</v>
      </c>
      <c r="K221" s="53">
        <f t="shared" si="10"/>
        <v>0</v>
      </c>
      <c r="L221" s="54">
        <f t="shared" si="11"/>
        <v>0</v>
      </c>
      <c r="M221" s="55">
        <f t="shared" si="12"/>
        <v>0</v>
      </c>
      <c r="N221" s="63"/>
    </row>
    <row r="222" spans="1:14">
      <c r="A222" s="43"/>
      <c r="B222" s="43"/>
      <c r="C222" s="36" t="s">
        <v>85</v>
      </c>
      <c r="D222" s="43"/>
      <c r="E222" s="51">
        <f t="shared" si="0"/>
        <v>0</v>
      </c>
      <c r="F222" s="52"/>
      <c r="G222" s="52"/>
      <c r="H222" s="52"/>
      <c r="I222" s="51" cm="1">
        <f t="array" ref="I222">_xlfn.SWITCH(D222,"C-Flute",(F222+G222)*2+15,"BC-Flute",(F222+G222)*2+11,0)</f>
        <v>0</v>
      </c>
      <c r="J222" s="51" cm="1">
        <f t="array" ref="J222">_xlfn.SWITCH(D222,"C-Flute",(G222+H222)-10,"BC-Flute",(G222+H222)-16,0)</f>
        <v>0</v>
      </c>
      <c r="K222" s="53">
        <f t="shared" si="10"/>
        <v>0</v>
      </c>
      <c r="L222" s="54">
        <f t="shared" si="11"/>
        <v>0</v>
      </c>
      <c r="M222" s="55">
        <f t="shared" si="12"/>
        <v>0</v>
      </c>
      <c r="N222" s="63"/>
    </row>
    <row r="223" spans="1:14">
      <c r="A223" s="43"/>
      <c r="B223" s="43"/>
      <c r="C223" s="36" t="s">
        <v>85</v>
      </c>
      <c r="D223" s="43"/>
      <c r="E223" s="51">
        <f t="shared" si="0"/>
        <v>0</v>
      </c>
      <c r="F223" s="52"/>
      <c r="G223" s="52"/>
      <c r="H223" s="52"/>
      <c r="I223" s="51" cm="1">
        <f t="array" ref="I223">_xlfn.SWITCH(D223,"C-Flute",(F223+G223)*2+15,"BC-Flute",(F223+G223)*2+11,0)</f>
        <v>0</v>
      </c>
      <c r="J223" s="51" cm="1">
        <f t="array" ref="J223">_xlfn.SWITCH(D223,"C-Flute",(G223+H223)-10,"BC-Flute",(G223+H223)-16,0)</f>
        <v>0</v>
      </c>
      <c r="K223" s="53">
        <f t="shared" si="10"/>
        <v>0</v>
      </c>
      <c r="L223" s="54">
        <f t="shared" si="11"/>
        <v>0</v>
      </c>
      <c r="M223" s="55">
        <f t="shared" si="12"/>
        <v>0</v>
      </c>
      <c r="N223" s="63"/>
    </row>
    <row r="224" spans="1:14">
      <c r="A224" s="43"/>
      <c r="B224" s="43"/>
      <c r="C224" s="36" t="s">
        <v>85</v>
      </c>
      <c r="D224" s="43"/>
      <c r="E224" s="51">
        <f t="shared" si="0"/>
        <v>0</v>
      </c>
      <c r="F224" s="52"/>
      <c r="G224" s="52"/>
      <c r="H224" s="52"/>
      <c r="I224" s="51" cm="1">
        <f t="array" ref="I224">_xlfn.SWITCH(D224,"C-Flute",(F224+G224)*2+15,"BC-Flute",(F224+G224)*2+11,0)</f>
        <v>0</v>
      </c>
      <c r="J224" s="51" cm="1">
        <f t="array" ref="J224">_xlfn.SWITCH(D224,"C-Flute",(G224+H224)-10,"BC-Flute",(G224+H224)-16,0)</f>
        <v>0</v>
      </c>
      <c r="K224" s="53">
        <f t="shared" si="10"/>
        <v>0</v>
      </c>
      <c r="L224" s="54">
        <f t="shared" si="11"/>
        <v>0</v>
      </c>
      <c r="M224" s="55">
        <f t="shared" si="12"/>
        <v>0</v>
      </c>
      <c r="N224" s="63"/>
    </row>
    <row r="225" spans="1:14">
      <c r="A225" s="43"/>
      <c r="B225" s="43"/>
      <c r="C225" s="36" t="s">
        <v>85</v>
      </c>
      <c r="D225" s="43"/>
      <c r="E225" s="51">
        <f t="shared" si="0"/>
        <v>0</v>
      </c>
      <c r="F225" s="52"/>
      <c r="G225" s="52"/>
      <c r="H225" s="52"/>
      <c r="I225" s="51" cm="1">
        <f t="array" ref="I225">_xlfn.SWITCH(D225,"C-Flute",(F225+G225)*2+15,"BC-Flute",(F225+G225)*2+11,0)</f>
        <v>0</v>
      </c>
      <c r="J225" s="51" cm="1">
        <f t="array" ref="J225">_xlfn.SWITCH(D225,"C-Flute",(G225+H225)-10,"BC-Flute",(G225+H225)-16,0)</f>
        <v>0</v>
      </c>
      <c r="K225" s="53">
        <f t="shared" si="10"/>
        <v>0</v>
      </c>
      <c r="L225" s="54">
        <f t="shared" si="11"/>
        <v>0</v>
      </c>
      <c r="M225" s="55">
        <f t="shared" si="12"/>
        <v>0</v>
      </c>
      <c r="N225" s="63"/>
    </row>
    <row r="226" spans="1:14">
      <c r="A226" s="43"/>
      <c r="B226" s="43"/>
      <c r="C226" s="36" t="s">
        <v>85</v>
      </c>
      <c r="D226" s="43"/>
      <c r="E226" s="51">
        <f t="shared" si="0"/>
        <v>0</v>
      </c>
      <c r="F226" s="52"/>
      <c r="G226" s="52"/>
      <c r="H226" s="52"/>
      <c r="I226" s="51" cm="1">
        <f t="array" ref="I226">_xlfn.SWITCH(D226,"C-Flute",(F226+G226)*2+15,"BC-Flute",(F226+G226)*2+11,0)</f>
        <v>0</v>
      </c>
      <c r="J226" s="51" cm="1">
        <f t="array" ref="J226">_xlfn.SWITCH(D226,"C-Flute",(G226+H226)-10,"BC-Flute",(G226+H226)-16,0)</f>
        <v>0</v>
      </c>
      <c r="K226" s="53">
        <f t="shared" si="10"/>
        <v>0</v>
      </c>
      <c r="L226" s="54">
        <f t="shared" si="11"/>
        <v>0</v>
      </c>
      <c r="M226" s="55">
        <f t="shared" si="12"/>
        <v>0</v>
      </c>
      <c r="N226" s="63"/>
    </row>
    <row r="227" spans="1:14">
      <c r="A227" s="43"/>
      <c r="B227" s="43"/>
      <c r="C227" s="36" t="s">
        <v>85</v>
      </c>
      <c r="D227" s="43"/>
      <c r="E227" s="51">
        <f t="shared" si="0"/>
        <v>0</v>
      </c>
      <c r="F227" s="52"/>
      <c r="G227" s="52"/>
      <c r="H227" s="52"/>
      <c r="I227" s="51" cm="1">
        <f t="array" ref="I227">_xlfn.SWITCH(D227,"C-Flute",(F227+G227)*2+15,"BC-Flute",(F227+G227)*2+11,0)</f>
        <v>0</v>
      </c>
      <c r="J227" s="51" cm="1">
        <f t="array" ref="J227">_xlfn.SWITCH(D227,"C-Flute",(G227+H227)-10,"BC-Flute",(G227+H227)-16,0)</f>
        <v>0</v>
      </c>
      <c r="K227" s="53">
        <f t="shared" si="10"/>
        <v>0</v>
      </c>
      <c r="L227" s="54">
        <f t="shared" si="11"/>
        <v>0</v>
      </c>
      <c r="M227" s="55">
        <f t="shared" si="12"/>
        <v>0</v>
      </c>
      <c r="N227" s="63"/>
    </row>
    <row r="228" spans="1:14">
      <c r="A228" s="43"/>
      <c r="B228" s="43"/>
      <c r="C228" s="36" t="s">
        <v>85</v>
      </c>
      <c r="D228" s="43"/>
      <c r="E228" s="51">
        <f t="shared" si="0"/>
        <v>0</v>
      </c>
      <c r="F228" s="52"/>
      <c r="G228" s="52"/>
      <c r="H228" s="52"/>
      <c r="I228" s="51" cm="1">
        <f t="array" ref="I228">_xlfn.SWITCH(D228,"C-Flute",(F228+G228)*2+15,"BC-Flute",(F228+G228)*2+11,0)</f>
        <v>0</v>
      </c>
      <c r="J228" s="51" cm="1">
        <f t="array" ref="J228">_xlfn.SWITCH(D228,"C-Flute",(G228+H228)-10,"BC-Flute",(G228+H228)-16,0)</f>
        <v>0</v>
      </c>
      <c r="K228" s="53">
        <f t="shared" si="10"/>
        <v>0</v>
      </c>
      <c r="L228" s="54">
        <f t="shared" si="11"/>
        <v>0</v>
      </c>
      <c r="M228" s="55">
        <f t="shared" si="12"/>
        <v>0</v>
      </c>
      <c r="N228" s="63"/>
    </row>
    <row r="229" spans="1:14">
      <c r="A229" s="43"/>
      <c r="B229" s="43"/>
      <c r="C229" s="36" t="s">
        <v>85</v>
      </c>
      <c r="D229" s="43"/>
      <c r="E229" s="51">
        <f t="shared" si="0"/>
        <v>0</v>
      </c>
      <c r="F229" s="52"/>
      <c r="G229" s="52"/>
      <c r="H229" s="52"/>
      <c r="I229" s="51" cm="1">
        <f t="array" ref="I229">_xlfn.SWITCH(D229,"C-Flute",(F229+G229)*2+15,"BC-Flute",(F229+G229)*2+11,0)</f>
        <v>0</v>
      </c>
      <c r="J229" s="51" cm="1">
        <f t="array" ref="J229">_xlfn.SWITCH(D229,"C-Flute",(G229+H229)-10,"BC-Flute",(G229+H229)-16,0)</f>
        <v>0</v>
      </c>
      <c r="K229" s="53">
        <f t="shared" si="10"/>
        <v>0</v>
      </c>
      <c r="L229" s="54">
        <f t="shared" si="11"/>
        <v>0</v>
      </c>
      <c r="M229" s="55">
        <f t="shared" si="12"/>
        <v>0</v>
      </c>
      <c r="N229" s="63"/>
    </row>
    <row r="230" spans="1:14">
      <c r="A230" s="43"/>
      <c r="B230" s="43"/>
      <c r="C230" s="36" t="s">
        <v>85</v>
      </c>
      <c r="D230" s="43"/>
      <c r="E230" s="51">
        <f t="shared" si="0"/>
        <v>0</v>
      </c>
      <c r="F230" s="52"/>
      <c r="G230" s="52"/>
      <c r="H230" s="52"/>
      <c r="I230" s="51" cm="1">
        <f t="array" ref="I230">_xlfn.SWITCH(D230,"C-Flute",(F230+G230)*2+15,"BC-Flute",(F230+G230)*2+11,0)</f>
        <v>0</v>
      </c>
      <c r="J230" s="51" cm="1">
        <f t="array" ref="J230">_xlfn.SWITCH(D230,"C-Flute",(G230+H230)-10,"BC-Flute",(G230+H230)-16,0)</f>
        <v>0</v>
      </c>
      <c r="K230" s="53">
        <f t="shared" si="10"/>
        <v>0</v>
      </c>
      <c r="L230" s="54">
        <f t="shared" si="11"/>
        <v>0</v>
      </c>
      <c r="M230" s="55">
        <f t="shared" si="12"/>
        <v>0</v>
      </c>
      <c r="N230" s="63"/>
    </row>
    <row r="231" spans="1:14">
      <c r="A231" s="43"/>
      <c r="B231" s="43"/>
      <c r="C231" s="36" t="s">
        <v>85</v>
      </c>
      <c r="D231" s="43"/>
      <c r="E231" s="51">
        <f t="shared" si="0"/>
        <v>0</v>
      </c>
      <c r="F231" s="52"/>
      <c r="G231" s="52"/>
      <c r="H231" s="52"/>
      <c r="I231" s="51" cm="1">
        <f t="array" ref="I231">_xlfn.SWITCH(D231,"C-Flute",(F231+G231)*2+15,"BC-Flute",(F231+G231)*2+11,0)</f>
        <v>0</v>
      </c>
      <c r="J231" s="51" cm="1">
        <f t="array" ref="J231">_xlfn.SWITCH(D231,"C-Flute",(G231+H231)-10,"BC-Flute",(G231+H231)-16,0)</f>
        <v>0</v>
      </c>
      <c r="K231" s="53">
        <f t="shared" si="10"/>
        <v>0</v>
      </c>
      <c r="L231" s="54">
        <f t="shared" si="11"/>
        <v>0</v>
      </c>
      <c r="M231" s="55">
        <f t="shared" si="12"/>
        <v>0</v>
      </c>
      <c r="N231" s="63"/>
    </row>
    <row r="232" spans="1:14">
      <c r="A232" s="43"/>
      <c r="B232" s="43"/>
      <c r="C232" s="36" t="s">
        <v>85</v>
      </c>
      <c r="D232" s="43"/>
      <c r="E232" s="51">
        <f t="shared" si="0"/>
        <v>0</v>
      </c>
      <c r="F232" s="52"/>
      <c r="G232" s="52"/>
      <c r="H232" s="52"/>
      <c r="I232" s="51" cm="1">
        <f t="array" ref="I232">_xlfn.SWITCH(D232,"C-Flute",(F232+G232)*2+15,"BC-Flute",(F232+G232)*2+11,0)</f>
        <v>0</v>
      </c>
      <c r="J232" s="51" cm="1">
        <f t="array" ref="J232">_xlfn.SWITCH(D232,"C-Flute",(G232+H232)-10,"BC-Flute",(G232+H232)-16,0)</f>
        <v>0</v>
      </c>
      <c r="K232" s="53">
        <f t="shared" si="10"/>
        <v>0</v>
      </c>
      <c r="L232" s="54">
        <f t="shared" si="11"/>
        <v>0</v>
      </c>
      <c r="M232" s="55">
        <f t="shared" si="12"/>
        <v>0</v>
      </c>
      <c r="N232" s="63"/>
    </row>
    <row r="233" spans="1:14">
      <c r="A233" s="43"/>
      <c r="B233" s="43"/>
      <c r="C233" s="36" t="s">
        <v>85</v>
      </c>
      <c r="D233" s="43"/>
      <c r="E233" s="51">
        <f t="shared" si="0"/>
        <v>0</v>
      </c>
      <c r="F233" s="52"/>
      <c r="G233" s="52"/>
      <c r="H233" s="52"/>
      <c r="I233" s="51" cm="1">
        <f t="array" ref="I233">_xlfn.SWITCH(D233,"C-Flute",(F233+G233)*2+15,"BC-Flute",(F233+G233)*2+11,0)</f>
        <v>0</v>
      </c>
      <c r="J233" s="51" cm="1">
        <f t="array" ref="J233">_xlfn.SWITCH(D233,"C-Flute",(G233+H233)-10,"BC-Flute",(G233+H233)-16,0)</f>
        <v>0</v>
      </c>
      <c r="K233" s="53">
        <f t="shared" si="10"/>
        <v>0</v>
      </c>
      <c r="L233" s="54">
        <f t="shared" si="11"/>
        <v>0</v>
      </c>
      <c r="M233" s="55">
        <f t="shared" si="12"/>
        <v>0</v>
      </c>
      <c r="N233" s="63"/>
    </row>
    <row r="234" spans="1:14">
      <c r="A234" s="43"/>
      <c r="B234" s="43"/>
      <c r="C234" s="36" t="s">
        <v>85</v>
      </c>
      <c r="D234" s="43"/>
      <c r="E234" s="51">
        <f t="shared" si="0"/>
        <v>0</v>
      </c>
      <c r="F234" s="52"/>
      <c r="G234" s="52"/>
      <c r="H234" s="52"/>
      <c r="I234" s="51" cm="1">
        <f t="array" ref="I234">_xlfn.SWITCH(D234,"C-Flute",(F234+G234)*2+15,"BC-Flute",(F234+G234)*2+11,0)</f>
        <v>0</v>
      </c>
      <c r="J234" s="51" cm="1">
        <f t="array" ref="J234">_xlfn.SWITCH(D234,"C-Flute",(G234+H234)-10,"BC-Flute",(G234+H234)-16,0)</f>
        <v>0</v>
      </c>
      <c r="K234" s="53">
        <f t="shared" si="10"/>
        <v>0</v>
      </c>
      <c r="L234" s="54">
        <f t="shared" si="11"/>
        <v>0</v>
      </c>
      <c r="M234" s="55">
        <f t="shared" si="12"/>
        <v>0</v>
      </c>
      <c r="N234" s="63"/>
    </row>
    <row r="235" spans="1:14">
      <c r="A235" s="43"/>
      <c r="B235" s="43"/>
      <c r="C235" s="36" t="s">
        <v>85</v>
      </c>
      <c r="D235" s="43"/>
      <c r="E235" s="51">
        <f t="shared" si="0"/>
        <v>0</v>
      </c>
      <c r="F235" s="52"/>
      <c r="G235" s="52"/>
      <c r="H235" s="52"/>
      <c r="I235" s="51" cm="1">
        <f t="array" ref="I235">_xlfn.SWITCH(D235,"C-Flute",(F235+G235)*2+15,"BC-Flute",(F235+G235)*2+11,0)</f>
        <v>0</v>
      </c>
      <c r="J235" s="51" cm="1">
        <f t="array" ref="J235">_xlfn.SWITCH(D235,"C-Flute",(G235+H235)-10,"BC-Flute",(G235+H235)-16,0)</f>
        <v>0</v>
      </c>
      <c r="K235" s="53">
        <f t="shared" si="10"/>
        <v>0</v>
      </c>
      <c r="L235" s="54">
        <f t="shared" si="11"/>
        <v>0</v>
      </c>
      <c r="M235" s="55">
        <f t="shared" si="12"/>
        <v>0</v>
      </c>
      <c r="N235" s="63"/>
    </row>
    <row r="236" spans="1:14">
      <c r="A236" s="43"/>
      <c r="B236" s="43"/>
      <c r="C236" s="36" t="s">
        <v>85</v>
      </c>
      <c r="D236" s="43"/>
      <c r="E236" s="51">
        <f t="shared" si="0"/>
        <v>0</v>
      </c>
      <c r="F236" s="52"/>
      <c r="G236" s="52"/>
      <c r="H236" s="52"/>
      <c r="I236" s="51" cm="1">
        <f t="array" ref="I236">_xlfn.SWITCH(D236,"C-Flute",(F236+G236)*2+15,"BC-Flute",(F236+G236)*2+11,0)</f>
        <v>0</v>
      </c>
      <c r="J236" s="51" cm="1">
        <f t="array" ref="J236">_xlfn.SWITCH(D236,"C-Flute",(G236+H236)-10,"BC-Flute",(G236+H236)-16,0)</f>
        <v>0</v>
      </c>
      <c r="K236" s="53">
        <f t="shared" si="10"/>
        <v>0</v>
      </c>
      <c r="L236" s="54">
        <f t="shared" si="11"/>
        <v>0</v>
      </c>
      <c r="M236" s="55">
        <f t="shared" si="12"/>
        <v>0</v>
      </c>
      <c r="N236" s="63"/>
    </row>
    <row r="237" spans="1:14">
      <c r="A237" s="43"/>
      <c r="B237" s="43"/>
      <c r="C237" s="36" t="s">
        <v>85</v>
      </c>
      <c r="D237" s="43"/>
      <c r="E237" s="51">
        <f t="shared" si="0"/>
        <v>0</v>
      </c>
      <c r="F237" s="52"/>
      <c r="G237" s="52"/>
      <c r="H237" s="52"/>
      <c r="I237" s="51" cm="1">
        <f t="array" ref="I237">_xlfn.SWITCH(D237,"C-Flute",(F237+G237)*2+15,"BC-Flute",(F237+G237)*2+11,0)</f>
        <v>0</v>
      </c>
      <c r="J237" s="51" cm="1">
        <f t="array" ref="J237">_xlfn.SWITCH(D237,"C-Flute",(G237+H237)-10,"BC-Flute",(G237+H237)-16,0)</f>
        <v>0</v>
      </c>
      <c r="K237" s="53">
        <f t="shared" si="10"/>
        <v>0</v>
      </c>
      <c r="L237" s="54">
        <f t="shared" si="11"/>
        <v>0</v>
      </c>
      <c r="M237" s="55">
        <f t="shared" si="12"/>
        <v>0</v>
      </c>
      <c r="N237" s="63"/>
    </row>
    <row r="238" spans="1:14">
      <c r="A238" s="43"/>
      <c r="B238" s="43"/>
      <c r="C238" s="36" t="s">
        <v>85</v>
      </c>
      <c r="D238" s="43"/>
      <c r="E238" s="51">
        <f t="shared" si="0"/>
        <v>0</v>
      </c>
      <c r="F238" s="52"/>
      <c r="G238" s="52"/>
      <c r="H238" s="52"/>
      <c r="I238" s="51" cm="1">
        <f t="array" ref="I238">_xlfn.SWITCH(D238,"C-Flute",(F238+G238)*2+15,"BC-Flute",(F238+G238)*2+11,0)</f>
        <v>0</v>
      </c>
      <c r="J238" s="51" cm="1">
        <f t="array" ref="J238">_xlfn.SWITCH(D238,"C-Flute",(G238+H238)-10,"BC-Flute",(G238+H238)-16,0)</f>
        <v>0</v>
      </c>
      <c r="K238" s="53">
        <f t="shared" si="10"/>
        <v>0</v>
      </c>
      <c r="L238" s="54">
        <f t="shared" si="11"/>
        <v>0</v>
      </c>
      <c r="M238" s="55">
        <f t="shared" si="12"/>
        <v>0</v>
      </c>
      <c r="N238" s="63"/>
    </row>
    <row r="239" spans="1:14">
      <c r="A239" s="43"/>
      <c r="B239" s="43"/>
      <c r="C239" s="36" t="s">
        <v>85</v>
      </c>
      <c r="D239" s="43"/>
      <c r="E239" s="51">
        <f t="shared" si="0"/>
        <v>0</v>
      </c>
      <c r="F239" s="52"/>
      <c r="G239" s="52"/>
      <c r="H239" s="52"/>
      <c r="I239" s="51" cm="1">
        <f t="array" ref="I239">_xlfn.SWITCH(D239,"C-Flute",(F239+G239)*2+15,"BC-Flute",(F239+G239)*2+11,0)</f>
        <v>0</v>
      </c>
      <c r="J239" s="51" cm="1">
        <f t="array" ref="J239">_xlfn.SWITCH(D239,"C-Flute",(G239+H239)-10,"BC-Flute",(G239+H239)-16,0)</f>
        <v>0</v>
      </c>
      <c r="K239" s="53">
        <f t="shared" si="10"/>
        <v>0</v>
      </c>
      <c r="L239" s="54">
        <f t="shared" si="11"/>
        <v>0</v>
      </c>
      <c r="M239" s="55">
        <f t="shared" si="12"/>
        <v>0</v>
      </c>
      <c r="N239" s="63"/>
    </row>
    <row r="240" spans="1:14">
      <c r="A240" s="43"/>
      <c r="B240" s="43"/>
      <c r="C240" s="36" t="s">
        <v>85</v>
      </c>
      <c r="D240" s="43"/>
      <c r="E240" s="51">
        <f t="shared" si="0"/>
        <v>0</v>
      </c>
      <c r="F240" s="52"/>
      <c r="G240" s="52"/>
      <c r="H240" s="52"/>
      <c r="I240" s="51" cm="1">
        <f t="array" ref="I240">_xlfn.SWITCH(D240,"C-Flute",(F240+G240)*2+15,"BC-Flute",(F240+G240)*2+11,0)</f>
        <v>0</v>
      </c>
      <c r="J240" s="51" cm="1">
        <f t="array" ref="J240">_xlfn.SWITCH(D240,"C-Flute",(G240+H240)-10,"BC-Flute",(G240+H240)-16,0)</f>
        <v>0</v>
      </c>
      <c r="K240" s="53">
        <f t="shared" si="10"/>
        <v>0</v>
      </c>
      <c r="L240" s="54">
        <f t="shared" si="11"/>
        <v>0</v>
      </c>
      <c r="M240" s="55">
        <f t="shared" si="12"/>
        <v>0</v>
      </c>
      <c r="N240" s="63"/>
    </row>
    <row r="241" spans="1:14">
      <c r="A241" s="43"/>
      <c r="B241" s="43"/>
      <c r="C241" s="36" t="s">
        <v>85</v>
      </c>
      <c r="D241" s="43"/>
      <c r="E241" s="51">
        <f t="shared" si="0"/>
        <v>0</v>
      </c>
      <c r="F241" s="52"/>
      <c r="G241" s="52"/>
      <c r="H241" s="52"/>
      <c r="I241" s="51" cm="1">
        <f t="array" ref="I241">_xlfn.SWITCH(D241,"C-Flute",(F241+G241)*2+15,"BC-Flute",(F241+G241)*2+11,0)</f>
        <v>0</v>
      </c>
      <c r="J241" s="51" cm="1">
        <f t="array" ref="J241">_xlfn.SWITCH(D241,"C-Flute",(G241+H241)-10,"BC-Flute",(G241+H241)-16,0)</f>
        <v>0</v>
      </c>
      <c r="K241" s="53">
        <f t="shared" si="10"/>
        <v>0</v>
      </c>
      <c r="L241" s="54">
        <f t="shared" si="11"/>
        <v>0</v>
      </c>
      <c r="M241" s="55">
        <f t="shared" si="12"/>
        <v>0</v>
      </c>
      <c r="N241" s="63"/>
    </row>
    <row r="242" spans="1:14">
      <c r="A242" s="43"/>
      <c r="B242" s="43"/>
      <c r="C242" s="36" t="s">
        <v>85</v>
      </c>
      <c r="D242" s="43"/>
      <c r="E242" s="51">
        <f t="shared" si="0"/>
        <v>0</v>
      </c>
      <c r="F242" s="52"/>
      <c r="G242" s="52"/>
      <c r="H242" s="52"/>
      <c r="I242" s="51" cm="1">
        <f t="array" ref="I242">_xlfn.SWITCH(D242,"C-Flute",(F242+G242)*2+15,"BC-Flute",(F242+G242)*2+11,0)</f>
        <v>0</v>
      </c>
      <c r="J242" s="51" cm="1">
        <f t="array" ref="J242">_xlfn.SWITCH(D242,"C-Flute",(G242+H242)-10,"BC-Flute",(G242+H242)-16,0)</f>
        <v>0</v>
      </c>
      <c r="K242" s="53">
        <f t="shared" si="10"/>
        <v>0</v>
      </c>
      <c r="L242" s="54">
        <f t="shared" si="11"/>
        <v>0</v>
      </c>
      <c r="M242" s="55">
        <f t="shared" si="12"/>
        <v>0</v>
      </c>
      <c r="N242" s="63"/>
    </row>
    <row r="243" spans="1:14">
      <c r="A243" s="43"/>
      <c r="B243" s="43"/>
      <c r="C243" s="36" t="s">
        <v>85</v>
      </c>
      <c r="D243" s="43"/>
      <c r="E243" s="51">
        <f t="shared" si="0"/>
        <v>0</v>
      </c>
      <c r="F243" s="52"/>
      <c r="G243" s="52"/>
      <c r="H243" s="52"/>
      <c r="I243" s="51" cm="1">
        <f t="array" ref="I243">_xlfn.SWITCH(D243,"C-Flute",(F243+G243)*2+15,"BC-Flute",(F243+G243)*2+11,0)</f>
        <v>0</v>
      </c>
      <c r="J243" s="51" cm="1">
        <f t="array" ref="J243">_xlfn.SWITCH(D243,"C-Flute",(G243+H243)-10,"BC-Flute",(G243+H243)-16,0)</f>
        <v>0</v>
      </c>
      <c r="K243" s="53">
        <f t="shared" si="10"/>
        <v>0</v>
      </c>
      <c r="L243" s="54">
        <f t="shared" si="11"/>
        <v>0</v>
      </c>
      <c r="M243" s="55">
        <f t="shared" si="12"/>
        <v>0</v>
      </c>
      <c r="N243" s="63"/>
    </row>
    <row r="244" spans="1:14">
      <c r="A244" s="43"/>
      <c r="B244" s="43"/>
      <c r="C244" s="36" t="s">
        <v>85</v>
      </c>
      <c r="D244" s="43"/>
      <c r="E244" s="51">
        <f t="shared" si="0"/>
        <v>0</v>
      </c>
      <c r="F244" s="52"/>
      <c r="G244" s="52"/>
      <c r="H244" s="52"/>
      <c r="I244" s="51" cm="1">
        <f t="array" ref="I244">_xlfn.SWITCH(D244,"C-Flute",(F244+G244)*2+15,"BC-Flute",(F244+G244)*2+11,0)</f>
        <v>0</v>
      </c>
      <c r="J244" s="51" cm="1">
        <f t="array" ref="J244">_xlfn.SWITCH(D244,"C-Flute",(G244+H244)-10,"BC-Flute",(G244+H244)-16,0)</f>
        <v>0</v>
      </c>
      <c r="K244" s="53">
        <f t="shared" si="10"/>
        <v>0</v>
      </c>
      <c r="L244" s="54">
        <f t="shared" si="11"/>
        <v>0</v>
      </c>
      <c r="M244" s="55">
        <f t="shared" si="12"/>
        <v>0</v>
      </c>
      <c r="N244" s="63"/>
    </row>
    <row r="245" spans="1:14">
      <c r="A245" s="43"/>
      <c r="B245" s="43"/>
      <c r="C245" s="36" t="s">
        <v>85</v>
      </c>
      <c r="D245" s="43"/>
      <c r="E245" s="51">
        <f t="shared" si="0"/>
        <v>0</v>
      </c>
      <c r="F245" s="52"/>
      <c r="G245" s="52"/>
      <c r="H245" s="52"/>
      <c r="I245" s="51" cm="1">
        <f t="array" ref="I245">_xlfn.SWITCH(D245,"C-Flute",(F245+G245)*2+15,"BC-Flute",(F245+G245)*2+11,0)</f>
        <v>0</v>
      </c>
      <c r="J245" s="51" cm="1">
        <f t="array" ref="J245">_xlfn.SWITCH(D245,"C-Flute",(G245+H245)-10,"BC-Flute",(G245+H245)-16,0)</f>
        <v>0</v>
      </c>
      <c r="K245" s="53">
        <f t="shared" si="10"/>
        <v>0</v>
      </c>
      <c r="L245" s="54">
        <f t="shared" si="11"/>
        <v>0</v>
      </c>
      <c r="M245" s="55">
        <f t="shared" si="12"/>
        <v>0</v>
      </c>
      <c r="N245" s="63"/>
    </row>
    <row r="246" spans="1:14">
      <c r="A246" s="43"/>
      <c r="B246" s="43"/>
      <c r="C246" s="36" t="s">
        <v>85</v>
      </c>
      <c r="D246" s="43"/>
      <c r="E246" s="51">
        <f t="shared" si="0"/>
        <v>0</v>
      </c>
      <c r="F246" s="52"/>
      <c r="G246" s="52"/>
      <c r="H246" s="52"/>
      <c r="I246" s="51" cm="1">
        <f t="array" ref="I246">_xlfn.SWITCH(D246,"C-Flute",(F246+G246)*2+15,"BC-Flute",(F246+G246)*2+11,0)</f>
        <v>0</v>
      </c>
      <c r="J246" s="51" cm="1">
        <f t="array" ref="J246">_xlfn.SWITCH(D246,"C-Flute",(G246+H246)-10,"BC-Flute",(G246+H246)-16,0)</f>
        <v>0</v>
      </c>
      <c r="K246" s="53">
        <f t="shared" si="10"/>
        <v>0</v>
      </c>
      <c r="L246" s="54">
        <f t="shared" si="11"/>
        <v>0</v>
      </c>
      <c r="M246" s="55">
        <f t="shared" si="12"/>
        <v>0</v>
      </c>
      <c r="N246" s="63"/>
    </row>
    <row r="247" spans="1:14">
      <c r="A247" s="43"/>
      <c r="B247" s="43"/>
      <c r="C247" s="36" t="s">
        <v>85</v>
      </c>
      <c r="D247" s="43"/>
      <c r="E247" s="51">
        <f t="shared" si="0"/>
        <v>0</v>
      </c>
      <c r="F247" s="52"/>
      <c r="G247" s="52"/>
      <c r="H247" s="52"/>
      <c r="I247" s="51" cm="1">
        <f t="array" ref="I247">_xlfn.SWITCH(D247,"C-Flute",(F247+G247)*2+15,"BC-Flute",(F247+G247)*2+11,0)</f>
        <v>0</v>
      </c>
      <c r="J247" s="51" cm="1">
        <f t="array" ref="J247">_xlfn.SWITCH(D247,"C-Flute",(G247+H247)-10,"BC-Flute",(G247+H247)-16,0)</f>
        <v>0</v>
      </c>
      <c r="K247" s="53">
        <f t="shared" si="10"/>
        <v>0</v>
      </c>
      <c r="L247" s="54">
        <f t="shared" si="11"/>
        <v>0</v>
      </c>
      <c r="M247" s="55">
        <f t="shared" si="12"/>
        <v>0</v>
      </c>
      <c r="N247" s="63"/>
    </row>
    <row r="248" spans="1:14">
      <c r="A248" s="43"/>
      <c r="B248" s="43"/>
      <c r="C248" s="36" t="s">
        <v>85</v>
      </c>
      <c r="D248" s="43"/>
      <c r="E248" s="51">
        <f t="shared" si="0"/>
        <v>0</v>
      </c>
      <c r="F248" s="52"/>
      <c r="G248" s="52"/>
      <c r="H248" s="52"/>
      <c r="I248" s="51" cm="1">
        <f t="array" ref="I248">_xlfn.SWITCH(D248,"C-Flute",(F248+G248)*2+15,"BC-Flute",(F248+G248)*2+11,0)</f>
        <v>0</v>
      </c>
      <c r="J248" s="51" cm="1">
        <f t="array" ref="J248">_xlfn.SWITCH(D248,"C-Flute",(G248+H248)-10,"BC-Flute",(G248+H248)-16,0)</f>
        <v>0</v>
      </c>
      <c r="K248" s="53">
        <f t="shared" si="10"/>
        <v>0</v>
      </c>
      <c r="L248" s="54">
        <f t="shared" si="11"/>
        <v>0</v>
      </c>
      <c r="M248" s="55">
        <f t="shared" si="12"/>
        <v>0</v>
      </c>
      <c r="N248" s="63"/>
    </row>
    <row r="249" spans="1:14">
      <c r="A249" s="43"/>
      <c r="B249" s="43"/>
      <c r="C249" s="36" t="s">
        <v>85</v>
      </c>
      <c r="D249" s="43"/>
      <c r="E249" s="51">
        <f t="shared" si="0"/>
        <v>0</v>
      </c>
      <c r="F249" s="52"/>
      <c r="G249" s="52"/>
      <c r="H249" s="52"/>
      <c r="I249" s="51" cm="1">
        <f t="array" ref="I249">_xlfn.SWITCH(D249,"C-Flute",(F249+G249)*2+15,"BC-Flute",(F249+G249)*2+11,0)</f>
        <v>0</v>
      </c>
      <c r="J249" s="51" cm="1">
        <f t="array" ref="J249">_xlfn.SWITCH(D249,"C-Flute",(G249+H249)-10,"BC-Flute",(G249+H249)-16,0)</f>
        <v>0</v>
      </c>
      <c r="K249" s="53">
        <f t="shared" si="10"/>
        <v>0</v>
      </c>
      <c r="L249" s="54">
        <f t="shared" si="11"/>
        <v>0</v>
      </c>
      <c r="M249" s="55">
        <f t="shared" si="12"/>
        <v>0</v>
      </c>
      <c r="N249" s="63"/>
    </row>
    <row r="250" spans="1:14">
      <c r="A250" s="43"/>
      <c r="B250" s="43"/>
      <c r="C250" s="36" t="s">
        <v>85</v>
      </c>
      <c r="D250" s="43"/>
      <c r="E250" s="51">
        <f t="shared" si="0"/>
        <v>0</v>
      </c>
      <c r="F250" s="52"/>
      <c r="G250" s="52"/>
      <c r="H250" s="52"/>
      <c r="I250" s="51" cm="1">
        <f t="array" ref="I250">_xlfn.SWITCH(D250,"C-Flute",(F250+G250)*2+15,"BC-Flute",(F250+G250)*2+11,0)</f>
        <v>0</v>
      </c>
      <c r="J250" s="51" cm="1">
        <f t="array" ref="J250">_xlfn.SWITCH(D250,"C-Flute",(G250+H250)-10,"BC-Flute",(G250+H250)-16,0)</f>
        <v>0</v>
      </c>
      <c r="K250" s="53">
        <f t="shared" si="10"/>
        <v>0</v>
      </c>
      <c r="L250" s="54">
        <f t="shared" si="11"/>
        <v>0</v>
      </c>
      <c r="M250" s="55">
        <f t="shared" si="12"/>
        <v>0</v>
      </c>
      <c r="N250" s="63"/>
    </row>
    <row r="251" spans="1:14">
      <c r="A251" s="43"/>
      <c r="B251" s="43"/>
      <c r="C251" s="36" t="s">
        <v>85</v>
      </c>
      <c r="D251" s="43"/>
      <c r="E251" s="51">
        <f t="shared" si="0"/>
        <v>0</v>
      </c>
      <c r="F251" s="52"/>
      <c r="G251" s="52"/>
      <c r="H251" s="52"/>
      <c r="I251" s="51" cm="1">
        <f t="array" ref="I251">_xlfn.SWITCH(D251,"C-Flute",(F251+G251)*2+15,"BC-Flute",(F251+G251)*2+11,0)</f>
        <v>0</v>
      </c>
      <c r="J251" s="51" cm="1">
        <f t="array" ref="J251">_xlfn.SWITCH(D251,"C-Flute",(G251+H251)-10,"BC-Flute",(G251+H251)-16,0)</f>
        <v>0</v>
      </c>
      <c r="K251" s="53">
        <f t="shared" si="10"/>
        <v>0</v>
      </c>
      <c r="L251" s="54">
        <f t="shared" si="11"/>
        <v>0</v>
      </c>
      <c r="M251" s="55">
        <f t="shared" si="12"/>
        <v>0</v>
      </c>
      <c r="N251" s="63"/>
    </row>
    <row r="252" spans="1:14">
      <c r="A252" s="43"/>
      <c r="B252" s="43"/>
      <c r="C252" s="36" t="s">
        <v>85</v>
      </c>
      <c r="D252" s="43"/>
      <c r="E252" s="51">
        <f t="shared" si="0"/>
        <v>0</v>
      </c>
      <c r="F252" s="52"/>
      <c r="G252" s="52"/>
      <c r="H252" s="52"/>
      <c r="I252" s="51" cm="1">
        <f t="array" ref="I252">_xlfn.SWITCH(D252,"C-Flute",(F252+G252)*2+15,"BC-Flute",(F252+G252)*2+11,0)</f>
        <v>0</v>
      </c>
      <c r="J252" s="51" cm="1">
        <f t="array" ref="J252">_xlfn.SWITCH(D252,"C-Flute",(G252+H252)-10,"BC-Flute",(G252+H252)-16,0)</f>
        <v>0</v>
      </c>
      <c r="K252" s="53">
        <f t="shared" si="10"/>
        <v>0</v>
      </c>
      <c r="L252" s="54">
        <f t="shared" si="11"/>
        <v>0</v>
      </c>
      <c r="M252" s="55">
        <f t="shared" si="12"/>
        <v>0</v>
      </c>
      <c r="N252" s="63"/>
    </row>
    <row r="253" spans="1:14">
      <c r="A253" s="43"/>
      <c r="B253" s="43"/>
      <c r="C253" s="36" t="s">
        <v>85</v>
      </c>
      <c r="D253" s="43"/>
      <c r="E253" s="51">
        <f t="shared" si="0"/>
        <v>0</v>
      </c>
      <c r="F253" s="52"/>
      <c r="G253" s="52"/>
      <c r="H253" s="52"/>
      <c r="I253" s="51" cm="1">
        <f t="array" ref="I253">_xlfn.SWITCH(D253,"C-Flute",(F253+G253)*2+15,"BC-Flute",(F253+G253)*2+11,0)</f>
        <v>0</v>
      </c>
      <c r="J253" s="51" cm="1">
        <f t="array" ref="J253">_xlfn.SWITCH(D253,"C-Flute",(G253+H253)-10,"BC-Flute",(G253+H253)-16,0)</f>
        <v>0</v>
      </c>
      <c r="K253" s="53">
        <f t="shared" si="10"/>
        <v>0</v>
      </c>
      <c r="L253" s="54">
        <f t="shared" si="11"/>
        <v>0</v>
      </c>
      <c r="M253" s="55">
        <f t="shared" si="12"/>
        <v>0</v>
      </c>
      <c r="N253" s="63"/>
    </row>
    <row r="254" spans="1:14">
      <c r="A254" s="43"/>
      <c r="B254" s="43"/>
      <c r="C254" s="36" t="s">
        <v>85</v>
      </c>
      <c r="D254" s="43"/>
      <c r="E254" s="51">
        <f t="shared" si="0"/>
        <v>0</v>
      </c>
      <c r="F254" s="52"/>
      <c r="G254" s="52"/>
      <c r="H254" s="52"/>
      <c r="I254" s="51" cm="1">
        <f t="array" ref="I254">_xlfn.SWITCH(D254,"C-Flute",(F254+G254)*2+15,"BC-Flute",(F254+G254)*2+11,0)</f>
        <v>0</v>
      </c>
      <c r="J254" s="51" cm="1">
        <f t="array" ref="J254">_xlfn.SWITCH(D254,"C-Flute",(G254+H254)-10,"BC-Flute",(G254+H254)-16,0)</f>
        <v>0</v>
      </c>
      <c r="K254" s="53">
        <f t="shared" si="10"/>
        <v>0</v>
      </c>
      <c r="L254" s="54">
        <f t="shared" si="11"/>
        <v>0</v>
      </c>
      <c r="M254" s="55">
        <f t="shared" si="12"/>
        <v>0</v>
      </c>
      <c r="N254" s="63"/>
    </row>
    <row r="255" spans="1:14">
      <c r="A255" s="43"/>
      <c r="B255" s="43"/>
      <c r="C255" s="36" t="s">
        <v>85</v>
      </c>
      <c r="D255" s="43"/>
      <c r="E255" s="51">
        <f t="shared" si="0"/>
        <v>0</v>
      </c>
      <c r="F255" s="52"/>
      <c r="G255" s="52"/>
      <c r="H255" s="52"/>
      <c r="I255" s="51" cm="1">
        <f t="array" ref="I255">_xlfn.SWITCH(D255,"C-Flute",(F255+G255)*2+15,"BC-Flute",(F255+G255)*2+11,0)</f>
        <v>0</v>
      </c>
      <c r="J255" s="51" cm="1">
        <f t="array" ref="J255">_xlfn.SWITCH(D255,"C-Flute",(G255+H255)-10,"BC-Flute",(G255+H255)-16,0)</f>
        <v>0</v>
      </c>
      <c r="K255" s="53">
        <f t="shared" si="10"/>
        <v>0</v>
      </c>
      <c r="L255" s="54">
        <f t="shared" si="11"/>
        <v>0</v>
      </c>
      <c r="M255" s="55">
        <f t="shared" si="12"/>
        <v>0</v>
      </c>
      <c r="N255" s="63"/>
    </row>
    <row r="256" spans="1:14">
      <c r="A256" s="43"/>
      <c r="B256" s="43"/>
      <c r="C256" s="36" t="s">
        <v>85</v>
      </c>
      <c r="D256" s="43"/>
      <c r="E256" s="51">
        <f t="shared" si="0"/>
        <v>0</v>
      </c>
      <c r="F256" s="52"/>
      <c r="G256" s="52"/>
      <c r="H256" s="52"/>
      <c r="I256" s="51" cm="1">
        <f t="array" ref="I256">_xlfn.SWITCH(D256,"C-Flute",(F256+G256)*2+15,"BC-Flute",(F256+G256)*2+11,0)</f>
        <v>0</v>
      </c>
      <c r="J256" s="51" cm="1">
        <f t="array" ref="J256">_xlfn.SWITCH(D256,"C-Flute",(G256+H256)-10,"BC-Flute",(G256+H256)-16,0)</f>
        <v>0</v>
      </c>
      <c r="K256" s="53">
        <f t="shared" si="10"/>
        <v>0</v>
      </c>
      <c r="L256" s="54">
        <f t="shared" si="11"/>
        <v>0</v>
      </c>
      <c r="M256" s="55">
        <f t="shared" si="12"/>
        <v>0</v>
      </c>
      <c r="N256" s="63"/>
    </row>
    <row r="257" spans="1:14">
      <c r="A257" s="43"/>
      <c r="B257" s="43"/>
      <c r="C257" s="36" t="s">
        <v>85</v>
      </c>
      <c r="D257" s="43"/>
      <c r="E257" s="51">
        <f t="shared" si="0"/>
        <v>0</v>
      </c>
      <c r="F257" s="52"/>
      <c r="G257" s="52"/>
      <c r="H257" s="52"/>
      <c r="I257" s="51" cm="1">
        <f t="array" ref="I257">_xlfn.SWITCH(D257,"C-Flute",(F257+G257)*2+15,"BC-Flute",(F257+G257)*2+11,0)</f>
        <v>0</v>
      </c>
      <c r="J257" s="51" cm="1">
        <f t="array" ref="J257">_xlfn.SWITCH(D257,"C-Flute",(G257+H257)-10,"BC-Flute",(G257+H257)-16,0)</f>
        <v>0</v>
      </c>
      <c r="K257" s="53">
        <f t="shared" si="10"/>
        <v>0</v>
      </c>
      <c r="L257" s="54">
        <f t="shared" si="11"/>
        <v>0</v>
      </c>
      <c r="M257" s="55">
        <f t="shared" si="12"/>
        <v>0</v>
      </c>
      <c r="N257" s="63"/>
    </row>
    <row r="258" spans="1:14">
      <c r="A258" s="43"/>
      <c r="B258" s="43"/>
      <c r="C258" s="36" t="s">
        <v>85</v>
      </c>
      <c r="D258" s="43"/>
      <c r="E258" s="51">
        <f t="shared" si="0"/>
        <v>0</v>
      </c>
      <c r="F258" s="52"/>
      <c r="G258" s="52"/>
      <c r="H258" s="52"/>
      <c r="I258" s="51" cm="1">
        <f t="array" ref="I258">_xlfn.SWITCH(D258,"C-Flute",(F258+G258)*2+15,"BC-Flute",(F258+G258)*2+11,0)</f>
        <v>0</v>
      </c>
      <c r="J258" s="51" cm="1">
        <f t="array" ref="J258">_xlfn.SWITCH(D258,"C-Flute",(G258+H258)-10,"BC-Flute",(G258+H258)-16,0)</f>
        <v>0</v>
      </c>
      <c r="K258" s="53">
        <f t="shared" si="10"/>
        <v>0</v>
      </c>
      <c r="L258" s="54">
        <f t="shared" si="11"/>
        <v>0</v>
      </c>
      <c r="M258" s="55">
        <f t="shared" si="12"/>
        <v>0</v>
      </c>
      <c r="N258" s="63"/>
    </row>
    <row r="259" spans="1:14">
      <c r="A259" s="43"/>
      <c r="B259" s="43"/>
      <c r="C259" s="36" t="s">
        <v>85</v>
      </c>
      <c r="D259" s="43"/>
      <c r="E259" s="51">
        <f t="shared" si="0"/>
        <v>0</v>
      </c>
      <c r="F259" s="52"/>
      <c r="G259" s="52"/>
      <c r="H259" s="52"/>
      <c r="I259" s="51" cm="1">
        <f t="array" ref="I259">_xlfn.SWITCH(D259,"C-Flute",(F259+G259)*2+15,"BC-Flute",(F259+G259)*2+11,0)</f>
        <v>0</v>
      </c>
      <c r="J259" s="51" cm="1">
        <f t="array" ref="J259">_xlfn.SWITCH(D259,"C-Flute",(G259+H259)-10,"BC-Flute",(G259+H259)-16,0)</f>
        <v>0</v>
      </c>
      <c r="K259" s="53">
        <f t="shared" si="10"/>
        <v>0</v>
      </c>
      <c r="L259" s="54">
        <f t="shared" si="11"/>
        <v>0</v>
      </c>
      <c r="M259" s="55">
        <f t="shared" si="12"/>
        <v>0</v>
      </c>
      <c r="N259" s="63"/>
    </row>
    <row r="260" spans="1:14">
      <c r="A260" s="43"/>
      <c r="B260" s="43"/>
      <c r="C260" s="36" t="s">
        <v>85</v>
      </c>
      <c r="D260" s="43"/>
      <c r="E260" s="51">
        <f t="shared" si="0"/>
        <v>0</v>
      </c>
      <c r="F260" s="52"/>
      <c r="G260" s="52"/>
      <c r="H260" s="52"/>
      <c r="I260" s="51" cm="1">
        <f t="array" ref="I260">_xlfn.SWITCH(D260,"C-Flute",(F260+G260)*2+15,"BC-Flute",(F260+G260)*2+11,0)</f>
        <v>0</v>
      </c>
      <c r="J260" s="51" cm="1">
        <f t="array" ref="J260">_xlfn.SWITCH(D260,"C-Flute",(G260+H260)-10,"BC-Flute",(G260+H260)-16,0)</f>
        <v>0</v>
      </c>
      <c r="K260" s="53">
        <f t="shared" si="10"/>
        <v>0</v>
      </c>
      <c r="L260" s="54">
        <f t="shared" si="11"/>
        <v>0</v>
      </c>
      <c r="M260" s="55">
        <f t="shared" si="12"/>
        <v>0</v>
      </c>
      <c r="N260" s="63"/>
    </row>
    <row r="261" spans="1:14">
      <c r="A261" s="43"/>
      <c r="B261" s="43"/>
      <c r="C261" s="36" t="s">
        <v>85</v>
      </c>
      <c r="D261" s="43"/>
      <c r="E261" s="51">
        <f t="shared" si="0"/>
        <v>0</v>
      </c>
      <c r="F261" s="52"/>
      <c r="G261" s="52"/>
      <c r="H261" s="52"/>
      <c r="I261" s="51" cm="1">
        <f t="array" ref="I261">_xlfn.SWITCH(D261,"C-Flute",(F261+G261)*2+15,"BC-Flute",(F261+G261)*2+11,0)</f>
        <v>0</v>
      </c>
      <c r="J261" s="51" cm="1">
        <f t="array" ref="J261">_xlfn.SWITCH(D261,"C-Flute",(G261+H261)-10,"BC-Flute",(G261+H261)-16,0)</f>
        <v>0</v>
      </c>
      <c r="K261" s="53">
        <f t="shared" si="10"/>
        <v>0</v>
      </c>
      <c r="L261" s="54">
        <f t="shared" si="11"/>
        <v>0</v>
      </c>
      <c r="M261" s="55">
        <f t="shared" si="12"/>
        <v>0</v>
      </c>
      <c r="N261" s="63"/>
    </row>
    <row r="262" spans="1:14">
      <c r="A262" s="43"/>
      <c r="B262" s="43"/>
      <c r="C262" s="36" t="s">
        <v>85</v>
      </c>
      <c r="D262" s="43"/>
      <c r="E262" s="51">
        <f t="shared" si="0"/>
        <v>0</v>
      </c>
      <c r="F262" s="52"/>
      <c r="G262" s="52"/>
      <c r="H262" s="52"/>
      <c r="I262" s="51" cm="1">
        <f t="array" ref="I262">_xlfn.SWITCH(D262,"C-Flute",(F262+G262)*2+15,"BC-Flute",(F262+G262)*2+11,0)</f>
        <v>0</v>
      </c>
      <c r="J262" s="51" cm="1">
        <f t="array" ref="J262">_xlfn.SWITCH(D262,"C-Flute",(G262+H262)-10,"BC-Flute",(G262+H262)-16,0)</f>
        <v>0</v>
      </c>
      <c r="K262" s="53">
        <f t="shared" si="10"/>
        <v>0</v>
      </c>
      <c r="L262" s="54">
        <f t="shared" si="11"/>
        <v>0</v>
      </c>
      <c r="M262" s="55">
        <f t="shared" si="12"/>
        <v>0</v>
      </c>
      <c r="N262" s="63"/>
    </row>
    <row r="263" spans="1:14">
      <c r="A263" s="43"/>
      <c r="B263" s="43"/>
      <c r="C263" s="36" t="s">
        <v>85</v>
      </c>
      <c r="D263" s="43"/>
      <c r="E263" s="51">
        <f t="shared" si="0"/>
        <v>0</v>
      </c>
      <c r="F263" s="52"/>
      <c r="G263" s="52"/>
      <c r="H263" s="52"/>
      <c r="I263" s="51" cm="1">
        <f t="array" ref="I263">_xlfn.SWITCH(D263,"C-Flute",(F263+G263)*2+15,"BC-Flute",(F263+G263)*2+11,0)</f>
        <v>0</v>
      </c>
      <c r="J263" s="51" cm="1">
        <f t="array" ref="J263">_xlfn.SWITCH(D263,"C-Flute",(G263+H263)-10,"BC-Flute",(G263+H263)-16,0)</f>
        <v>0</v>
      </c>
      <c r="K263" s="53">
        <f t="shared" si="10"/>
        <v>0</v>
      </c>
      <c r="L263" s="54">
        <f t="shared" si="11"/>
        <v>0</v>
      </c>
      <c r="M263" s="55">
        <f t="shared" si="12"/>
        <v>0</v>
      </c>
      <c r="N263" s="63"/>
    </row>
    <row r="264" spans="1:14">
      <c r="A264" s="43"/>
      <c r="B264" s="43"/>
      <c r="C264" s="36" t="s">
        <v>85</v>
      </c>
      <c r="D264" s="43"/>
      <c r="E264" s="51">
        <f t="shared" si="0"/>
        <v>0</v>
      </c>
      <c r="F264" s="52"/>
      <c r="G264" s="52"/>
      <c r="H264" s="52"/>
      <c r="I264" s="51" cm="1">
        <f t="array" ref="I264">_xlfn.SWITCH(D264,"C-Flute",(F264+G264)*2+15,"BC-Flute",(F264+G264)*2+11,0)</f>
        <v>0</v>
      </c>
      <c r="J264" s="51" cm="1">
        <f t="array" ref="J264">_xlfn.SWITCH(D264,"C-Flute",(G264+H264)-10,"BC-Flute",(G264+H264)-16,0)</f>
        <v>0</v>
      </c>
      <c r="K264" s="53">
        <f t="shared" si="10"/>
        <v>0</v>
      </c>
      <c r="L264" s="54">
        <f t="shared" si="11"/>
        <v>0</v>
      </c>
      <c r="M264" s="55">
        <f t="shared" si="12"/>
        <v>0</v>
      </c>
      <c r="N264" s="63"/>
    </row>
    <row r="265" spans="1:14">
      <c r="A265" s="43"/>
      <c r="B265" s="43"/>
      <c r="C265" s="36" t="s">
        <v>85</v>
      </c>
      <c r="D265" s="43"/>
      <c r="E265" s="51">
        <f t="shared" si="0"/>
        <v>0</v>
      </c>
      <c r="F265" s="52"/>
      <c r="G265" s="52"/>
      <c r="H265" s="52"/>
      <c r="I265" s="51" cm="1">
        <f t="array" ref="I265">_xlfn.SWITCH(D265,"C-Flute",(F265+G265)*2+15,"BC-Flute",(F265+G265)*2+11,0)</f>
        <v>0</v>
      </c>
      <c r="J265" s="51" cm="1">
        <f t="array" ref="J265">_xlfn.SWITCH(D265,"C-Flute",(G265+H265)-10,"BC-Flute",(G265+H265)-16,0)</f>
        <v>0</v>
      </c>
      <c r="K265" s="53">
        <f t="shared" si="10"/>
        <v>0</v>
      </c>
      <c r="L265" s="54">
        <f t="shared" si="11"/>
        <v>0</v>
      </c>
      <c r="M265" s="55">
        <f t="shared" si="12"/>
        <v>0</v>
      </c>
      <c r="N265" s="63"/>
    </row>
    <row r="266" spans="1:14">
      <c r="A266" s="43"/>
      <c r="B266" s="43"/>
      <c r="C266" s="36" t="s">
        <v>85</v>
      </c>
      <c r="D266" s="43"/>
      <c r="E266" s="51">
        <f t="shared" si="0"/>
        <v>0</v>
      </c>
      <c r="F266" s="52"/>
      <c r="G266" s="52"/>
      <c r="H266" s="52"/>
      <c r="I266" s="51" cm="1">
        <f t="array" ref="I266">_xlfn.SWITCH(D266,"C-Flute",(F266+G266)*2+15,"BC-Flute",(F266+G266)*2+11,0)</f>
        <v>0</v>
      </c>
      <c r="J266" s="51" cm="1">
        <f t="array" ref="J266">_xlfn.SWITCH(D266,"C-Flute",(G266+H266)-10,"BC-Flute",(G266+H266)-16,0)</f>
        <v>0</v>
      </c>
      <c r="K266" s="53">
        <f t="shared" si="10"/>
        <v>0</v>
      </c>
      <c r="L266" s="54">
        <f t="shared" si="11"/>
        <v>0</v>
      </c>
      <c r="M266" s="55">
        <f t="shared" si="12"/>
        <v>0</v>
      </c>
      <c r="N266" s="63"/>
    </row>
    <row r="267" spans="1:14">
      <c r="A267" s="43"/>
      <c r="B267" s="43"/>
      <c r="C267" s="36" t="s">
        <v>85</v>
      </c>
      <c r="D267" s="43"/>
      <c r="E267" s="51">
        <f t="shared" si="0"/>
        <v>0</v>
      </c>
      <c r="F267" s="52"/>
      <c r="G267" s="52"/>
      <c r="H267" s="52"/>
      <c r="I267" s="51" cm="1">
        <f t="array" ref="I267">_xlfn.SWITCH(D267,"C-Flute",(F267+G267)*2+15,"BC-Flute",(F267+G267)*2+11,0)</f>
        <v>0</v>
      </c>
      <c r="J267" s="51" cm="1">
        <f t="array" ref="J267">_xlfn.SWITCH(D267,"C-Flute",(G267+H267)-10,"BC-Flute",(G267+H267)-16,0)</f>
        <v>0</v>
      </c>
      <c r="K267" s="53">
        <f t="shared" si="10"/>
        <v>0</v>
      </c>
      <c r="L267" s="54">
        <f t="shared" si="11"/>
        <v>0</v>
      </c>
      <c r="M267" s="55">
        <f t="shared" si="12"/>
        <v>0</v>
      </c>
      <c r="N267" s="63"/>
    </row>
    <row r="268" spans="1:14">
      <c r="A268" s="43"/>
      <c r="B268" s="43"/>
      <c r="C268" s="36" t="s">
        <v>85</v>
      </c>
      <c r="D268" s="43"/>
      <c r="E268" s="51">
        <f t="shared" si="0"/>
        <v>0</v>
      </c>
      <c r="F268" s="52"/>
      <c r="G268" s="52"/>
      <c r="H268" s="52"/>
      <c r="I268" s="51" cm="1">
        <f t="array" ref="I268">_xlfn.SWITCH(D268,"C-Flute",(F268+G268)*2+15,"BC-Flute",(F268+G268)*2+11,0)</f>
        <v>0</v>
      </c>
      <c r="J268" s="51" cm="1">
        <f t="array" ref="J268">_xlfn.SWITCH(D268,"C-Flute",(G268+H268)-10,"BC-Flute",(G268+H268)-16,0)</f>
        <v>0</v>
      </c>
      <c r="K268" s="53">
        <f t="shared" si="10"/>
        <v>0</v>
      </c>
      <c r="L268" s="54">
        <f t="shared" si="11"/>
        <v>0</v>
      </c>
      <c r="M268" s="55">
        <f t="shared" si="12"/>
        <v>0</v>
      </c>
      <c r="N268" s="63"/>
    </row>
    <row r="269" spans="1:14">
      <c r="A269" s="43"/>
      <c r="B269" s="43"/>
      <c r="C269" s="36" t="s">
        <v>85</v>
      </c>
      <c r="D269" s="43"/>
      <c r="E269" s="51">
        <f t="shared" si="0"/>
        <v>0</v>
      </c>
      <c r="F269" s="52"/>
      <c r="G269" s="52"/>
      <c r="H269" s="52"/>
      <c r="I269" s="51" cm="1">
        <f t="array" ref="I269">_xlfn.SWITCH(D269,"C-Flute",(F269+G269)*2+15,"BC-Flute",(F269+G269)*2+11,0)</f>
        <v>0</v>
      </c>
      <c r="J269" s="51" cm="1">
        <f t="array" ref="J269">_xlfn.SWITCH(D269,"C-Flute",(G269+H269)-10,"BC-Flute",(G269+H269)-16,0)</f>
        <v>0</v>
      </c>
      <c r="K269" s="53">
        <f t="shared" si="10"/>
        <v>0</v>
      </c>
      <c r="L269" s="54">
        <f t="shared" si="11"/>
        <v>0</v>
      </c>
      <c r="M269" s="55">
        <f t="shared" si="12"/>
        <v>0</v>
      </c>
      <c r="N269" s="63"/>
    </row>
    <row r="270" spans="1:14">
      <c r="A270" s="43"/>
      <c r="B270" s="43"/>
      <c r="C270" s="36" t="s">
        <v>85</v>
      </c>
      <c r="D270" s="43"/>
      <c r="E270" s="51">
        <f t="shared" si="0"/>
        <v>0</v>
      </c>
      <c r="F270" s="52"/>
      <c r="G270" s="52"/>
      <c r="H270" s="52"/>
      <c r="I270" s="51" cm="1">
        <f t="array" ref="I270">_xlfn.SWITCH(D270,"C-Flute",(F270+G270)*2+15,"BC-Flute",(F270+G270)*2+11,0)</f>
        <v>0</v>
      </c>
      <c r="J270" s="51" cm="1">
        <f t="array" ref="J270">_xlfn.SWITCH(D270,"C-Flute",(G270+H270)-10,"BC-Flute",(G270+H270)-16,0)</f>
        <v>0</v>
      </c>
      <c r="K270" s="53">
        <f t="shared" si="10"/>
        <v>0</v>
      </c>
      <c r="L270" s="54">
        <f t="shared" si="11"/>
        <v>0</v>
      </c>
      <c r="M270" s="55">
        <f t="shared" si="12"/>
        <v>0</v>
      </c>
      <c r="N270" s="63"/>
    </row>
    <row r="271" spans="1:14">
      <c r="A271" s="43"/>
      <c r="B271" s="43"/>
      <c r="C271" s="36" t="s">
        <v>85</v>
      </c>
      <c r="D271" s="43"/>
      <c r="E271" s="51">
        <f t="shared" si="0"/>
        <v>0</v>
      </c>
      <c r="F271" s="52"/>
      <c r="G271" s="52"/>
      <c r="H271" s="52"/>
      <c r="I271" s="51" cm="1">
        <f t="array" ref="I271">_xlfn.SWITCH(D271,"C-Flute",(F271+G271)*2+15,"BC-Flute",(F271+G271)*2+11,0)</f>
        <v>0</v>
      </c>
      <c r="J271" s="51" cm="1">
        <f t="array" ref="J271">_xlfn.SWITCH(D271,"C-Flute",(G271+H271)-10,"BC-Flute",(G271+H271)-16,0)</f>
        <v>0</v>
      </c>
      <c r="K271" s="53">
        <f t="shared" si="10"/>
        <v>0</v>
      </c>
      <c r="L271" s="54">
        <f t="shared" si="11"/>
        <v>0</v>
      </c>
      <c r="M271" s="55">
        <f t="shared" si="12"/>
        <v>0</v>
      </c>
      <c r="N271" s="63"/>
    </row>
    <row r="272" spans="1:14">
      <c r="A272" s="43"/>
      <c r="B272" s="43"/>
      <c r="C272" s="36" t="s">
        <v>85</v>
      </c>
      <c r="D272" s="43"/>
      <c r="E272" s="51">
        <f t="shared" si="0"/>
        <v>0</v>
      </c>
      <c r="F272" s="52"/>
      <c r="G272" s="52"/>
      <c r="H272" s="52"/>
      <c r="I272" s="51" cm="1">
        <f t="array" ref="I272">_xlfn.SWITCH(D272,"C-Flute",(F272+G272)*2+15,"BC-Flute",(F272+G272)*2+11,0)</f>
        <v>0</v>
      </c>
      <c r="J272" s="51" cm="1">
        <f t="array" ref="J272">_xlfn.SWITCH(D272,"C-Flute",(G272+H272)-10,"BC-Flute",(G272+H272)-16,0)</f>
        <v>0</v>
      </c>
      <c r="K272" s="53">
        <f t="shared" si="10"/>
        <v>0</v>
      </c>
      <c r="L272" s="54">
        <f t="shared" si="11"/>
        <v>0</v>
      </c>
      <c r="M272" s="55">
        <f t="shared" si="12"/>
        <v>0</v>
      </c>
      <c r="N272" s="63"/>
    </row>
    <row r="273" spans="1:14">
      <c r="A273" s="43"/>
      <c r="B273" s="43"/>
      <c r="C273" s="36" t="s">
        <v>85</v>
      </c>
      <c r="D273" s="43"/>
      <c r="E273" s="51">
        <f t="shared" ref="E273:E336" si="13">IFERROR(VLOOKUP(D273,$I$3:$J$5,2,FALSE),0)</f>
        <v>0</v>
      </c>
      <c r="F273" s="52"/>
      <c r="G273" s="52"/>
      <c r="H273" s="52"/>
      <c r="I273" s="51" cm="1">
        <f t="array" ref="I273">_xlfn.SWITCH(D273,"C-Flute",(F273+G273)*2+15,"BC-Flute",(F273+G273)*2+11,0)</f>
        <v>0</v>
      </c>
      <c r="J273" s="51" cm="1">
        <f t="array" ref="J273">_xlfn.SWITCH(D273,"C-Flute",(G273+H273)-10,"BC-Flute",(G273+H273)-16,0)</f>
        <v>0</v>
      </c>
      <c r="K273" s="53">
        <f t="shared" si="10"/>
        <v>0</v>
      </c>
      <c r="L273" s="54">
        <f t="shared" si="11"/>
        <v>0</v>
      </c>
      <c r="M273" s="55">
        <f t="shared" si="12"/>
        <v>0</v>
      </c>
      <c r="N273" s="63"/>
    </row>
    <row r="274" spans="1:14">
      <c r="A274" s="43"/>
      <c r="B274" s="43"/>
      <c r="C274" s="36" t="s">
        <v>85</v>
      </c>
      <c r="D274" s="43"/>
      <c r="E274" s="51">
        <f t="shared" si="13"/>
        <v>0</v>
      </c>
      <c r="F274" s="52"/>
      <c r="G274" s="52"/>
      <c r="H274" s="52"/>
      <c r="I274" s="51" cm="1">
        <f t="array" ref="I274">_xlfn.SWITCH(D274,"C-Flute",(F274+G274)*2+15,"BC-Flute",(F274+G274)*2+11,0)</f>
        <v>0</v>
      </c>
      <c r="J274" s="51" cm="1">
        <f t="array" ref="J274">_xlfn.SWITCH(D274,"C-Flute",(G274+H274)-10,"BC-Flute",(G274+H274)-16,0)</f>
        <v>0</v>
      </c>
      <c r="K274" s="53">
        <f t="shared" ref="K274:K337" si="14">I274*J274*(1+10%)/1000000</f>
        <v>0</v>
      </c>
      <c r="L274" s="54">
        <f t="shared" ref="L274:L337" si="15">IFERROR(K274*IFERROR(VLOOKUP(D274,$I$3:$L$5,4,FALSE),"N/A"),0)</f>
        <v>0</v>
      </c>
      <c r="M274" s="55">
        <f t="shared" ref="M274:M337" si="16">IFERROR(L274/$M$4,0)</f>
        <v>0</v>
      </c>
      <c r="N274" s="63"/>
    </row>
    <row r="275" spans="1:14">
      <c r="A275" s="43"/>
      <c r="B275" s="43"/>
      <c r="C275" s="36" t="s">
        <v>85</v>
      </c>
      <c r="D275" s="43"/>
      <c r="E275" s="51">
        <f t="shared" si="13"/>
        <v>0</v>
      </c>
      <c r="F275" s="52"/>
      <c r="G275" s="52"/>
      <c r="H275" s="52"/>
      <c r="I275" s="51" cm="1">
        <f t="array" ref="I275">_xlfn.SWITCH(D275,"C-Flute",(F275+G275)*2+15,"BC-Flute",(F275+G275)*2+11,0)</f>
        <v>0</v>
      </c>
      <c r="J275" s="51" cm="1">
        <f t="array" ref="J275">_xlfn.SWITCH(D275,"C-Flute",(G275+H275)-10,"BC-Flute",(G275+H275)-16,0)</f>
        <v>0</v>
      </c>
      <c r="K275" s="53">
        <f t="shared" si="14"/>
        <v>0</v>
      </c>
      <c r="L275" s="54">
        <f t="shared" si="15"/>
        <v>0</v>
      </c>
      <c r="M275" s="55">
        <f t="shared" si="16"/>
        <v>0</v>
      </c>
      <c r="N275" s="63"/>
    </row>
    <row r="276" spans="1:14">
      <c r="A276" s="43"/>
      <c r="B276" s="43"/>
      <c r="C276" s="36" t="s">
        <v>85</v>
      </c>
      <c r="D276" s="43"/>
      <c r="E276" s="51">
        <f t="shared" si="13"/>
        <v>0</v>
      </c>
      <c r="F276" s="52"/>
      <c r="G276" s="52"/>
      <c r="H276" s="52"/>
      <c r="I276" s="51" cm="1">
        <f t="array" ref="I276">_xlfn.SWITCH(D276,"C-Flute",(F276+G276)*2+15,"BC-Flute",(F276+G276)*2+11,0)</f>
        <v>0</v>
      </c>
      <c r="J276" s="51" cm="1">
        <f t="array" ref="J276">_xlfn.SWITCH(D276,"C-Flute",(G276+H276)-10,"BC-Flute",(G276+H276)-16,0)</f>
        <v>0</v>
      </c>
      <c r="K276" s="53">
        <f t="shared" si="14"/>
        <v>0</v>
      </c>
      <c r="L276" s="54">
        <f t="shared" si="15"/>
        <v>0</v>
      </c>
      <c r="M276" s="55">
        <f t="shared" si="16"/>
        <v>0</v>
      </c>
      <c r="N276" s="63"/>
    </row>
    <row r="277" spans="1:14">
      <c r="A277" s="43"/>
      <c r="B277" s="43"/>
      <c r="C277" s="36" t="s">
        <v>85</v>
      </c>
      <c r="D277" s="43"/>
      <c r="E277" s="51">
        <f t="shared" si="13"/>
        <v>0</v>
      </c>
      <c r="F277" s="52"/>
      <c r="G277" s="52"/>
      <c r="H277" s="52"/>
      <c r="I277" s="51" cm="1">
        <f t="array" ref="I277">_xlfn.SWITCH(D277,"C-Flute",(F277+G277)*2+15,"BC-Flute",(F277+G277)*2+11,0)</f>
        <v>0</v>
      </c>
      <c r="J277" s="51" cm="1">
        <f t="array" ref="J277">_xlfn.SWITCH(D277,"C-Flute",(G277+H277)-10,"BC-Flute",(G277+H277)-16,0)</f>
        <v>0</v>
      </c>
      <c r="K277" s="53">
        <f t="shared" si="14"/>
        <v>0</v>
      </c>
      <c r="L277" s="54">
        <f t="shared" si="15"/>
        <v>0</v>
      </c>
      <c r="M277" s="55">
        <f t="shared" si="16"/>
        <v>0</v>
      </c>
      <c r="N277" s="63"/>
    </row>
    <row r="278" spans="1:14">
      <c r="A278" s="43"/>
      <c r="B278" s="43"/>
      <c r="C278" s="36" t="s">
        <v>85</v>
      </c>
      <c r="D278" s="43"/>
      <c r="E278" s="51">
        <f t="shared" si="13"/>
        <v>0</v>
      </c>
      <c r="F278" s="52"/>
      <c r="G278" s="52"/>
      <c r="H278" s="52"/>
      <c r="I278" s="51" cm="1">
        <f t="array" ref="I278">_xlfn.SWITCH(D278,"C-Flute",(F278+G278)*2+15,"BC-Flute",(F278+G278)*2+11,0)</f>
        <v>0</v>
      </c>
      <c r="J278" s="51" cm="1">
        <f t="array" ref="J278">_xlfn.SWITCH(D278,"C-Flute",(G278+H278)-10,"BC-Flute",(G278+H278)-16,0)</f>
        <v>0</v>
      </c>
      <c r="K278" s="53">
        <f t="shared" si="14"/>
        <v>0</v>
      </c>
      <c r="L278" s="54">
        <f t="shared" si="15"/>
        <v>0</v>
      </c>
      <c r="M278" s="55">
        <f t="shared" si="16"/>
        <v>0</v>
      </c>
      <c r="N278" s="63"/>
    </row>
    <row r="279" spans="1:14">
      <c r="A279" s="43"/>
      <c r="B279" s="43"/>
      <c r="C279" s="36" t="s">
        <v>85</v>
      </c>
      <c r="D279" s="43"/>
      <c r="E279" s="51">
        <f t="shared" si="13"/>
        <v>0</v>
      </c>
      <c r="F279" s="52"/>
      <c r="G279" s="52"/>
      <c r="H279" s="52"/>
      <c r="I279" s="51" cm="1">
        <f t="array" ref="I279">_xlfn.SWITCH(D279,"C-Flute",(F279+G279)*2+15,"BC-Flute",(F279+G279)*2+11,0)</f>
        <v>0</v>
      </c>
      <c r="J279" s="51" cm="1">
        <f t="array" ref="J279">_xlfn.SWITCH(D279,"C-Flute",(G279+H279)-10,"BC-Flute",(G279+H279)-16,0)</f>
        <v>0</v>
      </c>
      <c r="K279" s="53">
        <f t="shared" si="14"/>
        <v>0</v>
      </c>
      <c r="L279" s="54">
        <f t="shared" si="15"/>
        <v>0</v>
      </c>
      <c r="M279" s="55">
        <f t="shared" si="16"/>
        <v>0</v>
      </c>
      <c r="N279" s="63"/>
    </row>
    <row r="280" spans="1:14">
      <c r="A280" s="43"/>
      <c r="B280" s="43"/>
      <c r="C280" s="36" t="s">
        <v>85</v>
      </c>
      <c r="D280" s="43"/>
      <c r="E280" s="51">
        <f t="shared" si="13"/>
        <v>0</v>
      </c>
      <c r="F280" s="52"/>
      <c r="G280" s="52"/>
      <c r="H280" s="52"/>
      <c r="I280" s="51" cm="1">
        <f t="array" ref="I280">_xlfn.SWITCH(D280,"C-Flute",(F280+G280)*2+15,"BC-Flute",(F280+G280)*2+11,0)</f>
        <v>0</v>
      </c>
      <c r="J280" s="51" cm="1">
        <f t="array" ref="J280">_xlfn.SWITCH(D280,"C-Flute",(G280+H280)-10,"BC-Flute",(G280+H280)-16,0)</f>
        <v>0</v>
      </c>
      <c r="K280" s="53">
        <f t="shared" si="14"/>
        <v>0</v>
      </c>
      <c r="L280" s="54">
        <f t="shared" si="15"/>
        <v>0</v>
      </c>
      <c r="M280" s="55">
        <f t="shared" si="16"/>
        <v>0</v>
      </c>
      <c r="N280" s="63"/>
    </row>
    <row r="281" spans="1:14">
      <c r="A281" s="43"/>
      <c r="B281" s="43"/>
      <c r="C281" s="36" t="s">
        <v>85</v>
      </c>
      <c r="D281" s="43"/>
      <c r="E281" s="51">
        <f t="shared" si="13"/>
        <v>0</v>
      </c>
      <c r="F281" s="52"/>
      <c r="G281" s="52"/>
      <c r="H281" s="52"/>
      <c r="I281" s="51" cm="1">
        <f t="array" ref="I281">_xlfn.SWITCH(D281,"C-Flute",(F281+G281)*2+15,"BC-Flute",(F281+G281)*2+11,0)</f>
        <v>0</v>
      </c>
      <c r="J281" s="51" cm="1">
        <f t="array" ref="J281">_xlfn.SWITCH(D281,"C-Flute",(G281+H281)-10,"BC-Flute",(G281+H281)-16,0)</f>
        <v>0</v>
      </c>
      <c r="K281" s="53">
        <f t="shared" si="14"/>
        <v>0</v>
      </c>
      <c r="L281" s="54">
        <f t="shared" si="15"/>
        <v>0</v>
      </c>
      <c r="M281" s="55">
        <f t="shared" si="16"/>
        <v>0</v>
      </c>
      <c r="N281" s="63"/>
    </row>
    <row r="282" spans="1:14">
      <c r="A282" s="43"/>
      <c r="B282" s="43"/>
      <c r="C282" s="36" t="s">
        <v>85</v>
      </c>
      <c r="D282" s="43"/>
      <c r="E282" s="51">
        <f t="shared" si="13"/>
        <v>0</v>
      </c>
      <c r="F282" s="52"/>
      <c r="G282" s="52"/>
      <c r="H282" s="52"/>
      <c r="I282" s="51" cm="1">
        <f t="array" ref="I282">_xlfn.SWITCH(D282,"C-Flute",(F282+G282)*2+15,"BC-Flute",(F282+G282)*2+11,0)</f>
        <v>0</v>
      </c>
      <c r="J282" s="51" cm="1">
        <f t="array" ref="J282">_xlfn.SWITCH(D282,"C-Flute",(G282+H282)-10,"BC-Flute",(G282+H282)-16,0)</f>
        <v>0</v>
      </c>
      <c r="K282" s="53">
        <f t="shared" si="14"/>
        <v>0</v>
      </c>
      <c r="L282" s="54">
        <f t="shared" si="15"/>
        <v>0</v>
      </c>
      <c r="M282" s="55">
        <f t="shared" si="16"/>
        <v>0</v>
      </c>
      <c r="N282" s="63"/>
    </row>
    <row r="283" spans="1:14">
      <c r="A283" s="43"/>
      <c r="B283" s="43"/>
      <c r="C283" s="36" t="s">
        <v>85</v>
      </c>
      <c r="D283" s="43"/>
      <c r="E283" s="51">
        <f t="shared" si="13"/>
        <v>0</v>
      </c>
      <c r="F283" s="52"/>
      <c r="G283" s="52"/>
      <c r="H283" s="52"/>
      <c r="I283" s="51" cm="1">
        <f t="array" ref="I283">_xlfn.SWITCH(D283,"C-Flute",(F283+G283)*2+15,"BC-Flute",(F283+G283)*2+11,0)</f>
        <v>0</v>
      </c>
      <c r="J283" s="51" cm="1">
        <f t="array" ref="J283">_xlfn.SWITCH(D283,"C-Flute",(G283+H283)-10,"BC-Flute",(G283+H283)-16,0)</f>
        <v>0</v>
      </c>
      <c r="K283" s="53">
        <f t="shared" si="14"/>
        <v>0</v>
      </c>
      <c r="L283" s="54">
        <f t="shared" si="15"/>
        <v>0</v>
      </c>
      <c r="M283" s="55">
        <f t="shared" si="16"/>
        <v>0</v>
      </c>
      <c r="N283" s="63"/>
    </row>
    <row r="284" spans="1:14">
      <c r="A284" s="43"/>
      <c r="B284" s="43"/>
      <c r="C284" s="36" t="s">
        <v>85</v>
      </c>
      <c r="D284" s="43"/>
      <c r="E284" s="51">
        <f t="shared" si="13"/>
        <v>0</v>
      </c>
      <c r="F284" s="52"/>
      <c r="G284" s="52"/>
      <c r="H284" s="52"/>
      <c r="I284" s="51" cm="1">
        <f t="array" ref="I284">_xlfn.SWITCH(D284,"C-Flute",(F284+G284)*2+15,"BC-Flute",(F284+G284)*2+11,0)</f>
        <v>0</v>
      </c>
      <c r="J284" s="51" cm="1">
        <f t="array" ref="J284">_xlfn.SWITCH(D284,"C-Flute",(G284+H284)-10,"BC-Flute",(G284+H284)-16,0)</f>
        <v>0</v>
      </c>
      <c r="K284" s="53">
        <f t="shared" si="14"/>
        <v>0</v>
      </c>
      <c r="L284" s="54">
        <f t="shared" si="15"/>
        <v>0</v>
      </c>
      <c r="M284" s="55">
        <f t="shared" si="16"/>
        <v>0</v>
      </c>
      <c r="N284" s="63"/>
    </row>
    <row r="285" spans="1:14">
      <c r="A285" s="43"/>
      <c r="B285" s="43"/>
      <c r="C285" s="36" t="s">
        <v>85</v>
      </c>
      <c r="D285" s="43"/>
      <c r="E285" s="51">
        <f t="shared" si="13"/>
        <v>0</v>
      </c>
      <c r="F285" s="52"/>
      <c r="G285" s="52"/>
      <c r="H285" s="52"/>
      <c r="I285" s="51" cm="1">
        <f t="array" ref="I285">_xlfn.SWITCH(D285,"C-Flute",(F285+G285)*2+15,"BC-Flute",(F285+G285)*2+11,0)</f>
        <v>0</v>
      </c>
      <c r="J285" s="51" cm="1">
        <f t="array" ref="J285">_xlfn.SWITCH(D285,"C-Flute",(G285+H285)-10,"BC-Flute",(G285+H285)-16,0)</f>
        <v>0</v>
      </c>
      <c r="K285" s="53">
        <f t="shared" si="14"/>
        <v>0</v>
      </c>
      <c r="L285" s="54">
        <f t="shared" si="15"/>
        <v>0</v>
      </c>
      <c r="M285" s="55">
        <f t="shared" si="16"/>
        <v>0</v>
      </c>
      <c r="N285" s="63"/>
    </row>
    <row r="286" spans="1:14">
      <c r="A286" s="43"/>
      <c r="B286" s="43"/>
      <c r="C286" s="36" t="s">
        <v>85</v>
      </c>
      <c r="D286" s="43"/>
      <c r="E286" s="51">
        <f t="shared" si="13"/>
        <v>0</v>
      </c>
      <c r="F286" s="52"/>
      <c r="G286" s="52"/>
      <c r="H286" s="52"/>
      <c r="I286" s="51" cm="1">
        <f t="array" ref="I286">_xlfn.SWITCH(D286,"C-Flute",(F286+G286)*2+15,"BC-Flute",(F286+G286)*2+11,0)</f>
        <v>0</v>
      </c>
      <c r="J286" s="51" cm="1">
        <f t="array" ref="J286">_xlfn.SWITCH(D286,"C-Flute",(G286+H286)-10,"BC-Flute",(G286+H286)-16,0)</f>
        <v>0</v>
      </c>
      <c r="K286" s="53">
        <f t="shared" si="14"/>
        <v>0</v>
      </c>
      <c r="L286" s="54">
        <f t="shared" si="15"/>
        <v>0</v>
      </c>
      <c r="M286" s="55">
        <f t="shared" si="16"/>
        <v>0</v>
      </c>
      <c r="N286" s="63"/>
    </row>
    <row r="287" spans="1:14">
      <c r="A287" s="43"/>
      <c r="B287" s="43"/>
      <c r="C287" s="36" t="s">
        <v>85</v>
      </c>
      <c r="D287" s="43"/>
      <c r="E287" s="51">
        <f t="shared" si="13"/>
        <v>0</v>
      </c>
      <c r="F287" s="52"/>
      <c r="G287" s="52"/>
      <c r="H287" s="52"/>
      <c r="I287" s="51" cm="1">
        <f t="array" ref="I287">_xlfn.SWITCH(D287,"C-Flute",(F287+G287)*2+15,"BC-Flute",(F287+G287)*2+11,0)</f>
        <v>0</v>
      </c>
      <c r="J287" s="51" cm="1">
        <f t="array" ref="J287">_xlfn.SWITCH(D287,"C-Flute",(G287+H287)-10,"BC-Flute",(G287+H287)-16,0)</f>
        <v>0</v>
      </c>
      <c r="K287" s="53">
        <f t="shared" si="14"/>
        <v>0</v>
      </c>
      <c r="L287" s="54">
        <f t="shared" si="15"/>
        <v>0</v>
      </c>
      <c r="M287" s="55">
        <f t="shared" si="16"/>
        <v>0</v>
      </c>
      <c r="N287" s="63"/>
    </row>
    <row r="288" spans="1:14">
      <c r="A288" s="43"/>
      <c r="B288" s="43"/>
      <c r="C288" s="36" t="s">
        <v>85</v>
      </c>
      <c r="D288" s="43"/>
      <c r="E288" s="51">
        <f t="shared" si="13"/>
        <v>0</v>
      </c>
      <c r="F288" s="52"/>
      <c r="G288" s="52"/>
      <c r="H288" s="52"/>
      <c r="I288" s="51" cm="1">
        <f t="array" ref="I288">_xlfn.SWITCH(D288,"C-Flute",(F288+G288)*2+15,"BC-Flute",(F288+G288)*2+11,0)</f>
        <v>0</v>
      </c>
      <c r="J288" s="51" cm="1">
        <f t="array" ref="J288">_xlfn.SWITCH(D288,"C-Flute",(G288+H288)-10,"BC-Flute",(G288+H288)-16,0)</f>
        <v>0</v>
      </c>
      <c r="K288" s="53">
        <f t="shared" si="14"/>
        <v>0</v>
      </c>
      <c r="L288" s="54">
        <f t="shared" si="15"/>
        <v>0</v>
      </c>
      <c r="M288" s="55">
        <f t="shared" si="16"/>
        <v>0</v>
      </c>
      <c r="N288" s="63"/>
    </row>
    <row r="289" spans="1:14">
      <c r="A289" s="43"/>
      <c r="B289" s="43"/>
      <c r="C289" s="36" t="s">
        <v>85</v>
      </c>
      <c r="D289" s="43"/>
      <c r="E289" s="51">
        <f t="shared" si="13"/>
        <v>0</v>
      </c>
      <c r="F289" s="52"/>
      <c r="G289" s="52"/>
      <c r="H289" s="52"/>
      <c r="I289" s="51" cm="1">
        <f t="array" ref="I289">_xlfn.SWITCH(D289,"C-Flute",(F289+G289)*2+15,"BC-Flute",(F289+G289)*2+11,0)</f>
        <v>0</v>
      </c>
      <c r="J289" s="51" cm="1">
        <f t="array" ref="J289">_xlfn.SWITCH(D289,"C-Flute",(G289+H289)-10,"BC-Flute",(G289+H289)-16,0)</f>
        <v>0</v>
      </c>
      <c r="K289" s="53">
        <f t="shared" si="14"/>
        <v>0</v>
      </c>
      <c r="L289" s="54">
        <f t="shared" si="15"/>
        <v>0</v>
      </c>
      <c r="M289" s="55">
        <f t="shared" si="16"/>
        <v>0</v>
      </c>
      <c r="N289" s="63"/>
    </row>
    <row r="290" spans="1:14">
      <c r="A290" s="43"/>
      <c r="B290" s="43"/>
      <c r="C290" s="36" t="s">
        <v>85</v>
      </c>
      <c r="D290" s="43"/>
      <c r="E290" s="51">
        <f t="shared" si="13"/>
        <v>0</v>
      </c>
      <c r="F290" s="52"/>
      <c r="G290" s="52"/>
      <c r="H290" s="52"/>
      <c r="I290" s="51" cm="1">
        <f t="array" ref="I290">_xlfn.SWITCH(D290,"C-Flute",(F290+G290)*2+15,"BC-Flute",(F290+G290)*2+11,0)</f>
        <v>0</v>
      </c>
      <c r="J290" s="51" cm="1">
        <f t="array" ref="J290">_xlfn.SWITCH(D290,"C-Flute",(G290+H290)-10,"BC-Flute",(G290+H290)-16,0)</f>
        <v>0</v>
      </c>
      <c r="K290" s="53">
        <f t="shared" si="14"/>
        <v>0</v>
      </c>
      <c r="L290" s="54">
        <f t="shared" si="15"/>
        <v>0</v>
      </c>
      <c r="M290" s="55">
        <f t="shared" si="16"/>
        <v>0</v>
      </c>
      <c r="N290" s="63"/>
    </row>
    <row r="291" spans="1:14">
      <c r="A291" s="43"/>
      <c r="B291" s="43"/>
      <c r="C291" s="36" t="s">
        <v>85</v>
      </c>
      <c r="D291" s="43"/>
      <c r="E291" s="51">
        <f t="shared" si="13"/>
        <v>0</v>
      </c>
      <c r="F291" s="52"/>
      <c r="G291" s="52"/>
      <c r="H291" s="52"/>
      <c r="I291" s="51" cm="1">
        <f t="array" ref="I291">_xlfn.SWITCH(D291,"C-Flute",(F291+G291)*2+15,"BC-Flute",(F291+G291)*2+11,0)</f>
        <v>0</v>
      </c>
      <c r="J291" s="51" cm="1">
        <f t="array" ref="J291">_xlfn.SWITCH(D291,"C-Flute",(G291+H291)-10,"BC-Flute",(G291+H291)-16,0)</f>
        <v>0</v>
      </c>
      <c r="K291" s="53">
        <f t="shared" si="14"/>
        <v>0</v>
      </c>
      <c r="L291" s="54">
        <f t="shared" si="15"/>
        <v>0</v>
      </c>
      <c r="M291" s="55">
        <f t="shared" si="16"/>
        <v>0</v>
      </c>
      <c r="N291" s="63"/>
    </row>
    <row r="292" spans="1:14">
      <c r="A292" s="43"/>
      <c r="B292" s="43"/>
      <c r="C292" s="36" t="s">
        <v>85</v>
      </c>
      <c r="D292" s="43"/>
      <c r="E292" s="51">
        <f t="shared" si="13"/>
        <v>0</v>
      </c>
      <c r="F292" s="52"/>
      <c r="G292" s="52"/>
      <c r="H292" s="52"/>
      <c r="I292" s="51" cm="1">
        <f t="array" ref="I292">_xlfn.SWITCH(D292,"C-Flute",(F292+G292)*2+15,"BC-Flute",(F292+G292)*2+11,0)</f>
        <v>0</v>
      </c>
      <c r="J292" s="51" cm="1">
        <f t="array" ref="J292">_xlfn.SWITCH(D292,"C-Flute",(G292+H292)-10,"BC-Flute",(G292+H292)-16,0)</f>
        <v>0</v>
      </c>
      <c r="K292" s="53">
        <f t="shared" si="14"/>
        <v>0</v>
      </c>
      <c r="L292" s="54">
        <f t="shared" si="15"/>
        <v>0</v>
      </c>
      <c r="M292" s="55">
        <f t="shared" si="16"/>
        <v>0</v>
      </c>
      <c r="N292" s="63"/>
    </row>
    <row r="293" spans="1:14">
      <c r="A293" s="43"/>
      <c r="B293" s="43"/>
      <c r="C293" s="36" t="s">
        <v>85</v>
      </c>
      <c r="D293" s="43"/>
      <c r="E293" s="51">
        <f t="shared" si="13"/>
        <v>0</v>
      </c>
      <c r="F293" s="52"/>
      <c r="G293" s="52"/>
      <c r="H293" s="52"/>
      <c r="I293" s="51" cm="1">
        <f t="array" ref="I293">_xlfn.SWITCH(D293,"C-Flute",(F293+G293)*2+15,"BC-Flute",(F293+G293)*2+11,0)</f>
        <v>0</v>
      </c>
      <c r="J293" s="51" cm="1">
        <f t="array" ref="J293">_xlfn.SWITCH(D293,"C-Flute",(G293+H293)-10,"BC-Flute",(G293+H293)-16,0)</f>
        <v>0</v>
      </c>
      <c r="K293" s="53">
        <f t="shared" si="14"/>
        <v>0</v>
      </c>
      <c r="L293" s="54">
        <f t="shared" si="15"/>
        <v>0</v>
      </c>
      <c r="M293" s="55">
        <f t="shared" si="16"/>
        <v>0</v>
      </c>
      <c r="N293" s="63"/>
    </row>
    <row r="294" spans="1:14">
      <c r="A294" s="43"/>
      <c r="B294" s="43"/>
      <c r="C294" s="36" t="s">
        <v>85</v>
      </c>
      <c r="D294" s="43"/>
      <c r="E294" s="51">
        <f t="shared" si="13"/>
        <v>0</v>
      </c>
      <c r="F294" s="52"/>
      <c r="G294" s="52"/>
      <c r="H294" s="52"/>
      <c r="I294" s="51" cm="1">
        <f t="array" ref="I294">_xlfn.SWITCH(D294,"C-Flute",(F294+G294)*2+15,"BC-Flute",(F294+G294)*2+11,0)</f>
        <v>0</v>
      </c>
      <c r="J294" s="51" cm="1">
        <f t="array" ref="J294">_xlfn.SWITCH(D294,"C-Flute",(G294+H294)-10,"BC-Flute",(G294+H294)-16,0)</f>
        <v>0</v>
      </c>
      <c r="K294" s="53">
        <f t="shared" si="14"/>
        <v>0</v>
      </c>
      <c r="L294" s="54">
        <f t="shared" si="15"/>
        <v>0</v>
      </c>
      <c r="M294" s="55">
        <f t="shared" si="16"/>
        <v>0</v>
      </c>
      <c r="N294" s="63"/>
    </row>
    <row r="295" spans="1:14">
      <c r="A295" s="43"/>
      <c r="B295" s="43"/>
      <c r="C295" s="36" t="s">
        <v>85</v>
      </c>
      <c r="D295" s="43"/>
      <c r="E295" s="51">
        <f t="shared" si="13"/>
        <v>0</v>
      </c>
      <c r="F295" s="52"/>
      <c r="G295" s="52"/>
      <c r="H295" s="52"/>
      <c r="I295" s="51" cm="1">
        <f t="array" ref="I295">_xlfn.SWITCH(D295,"C-Flute",(F295+G295)*2+15,"BC-Flute",(F295+G295)*2+11,0)</f>
        <v>0</v>
      </c>
      <c r="J295" s="51" cm="1">
        <f t="array" ref="J295">_xlfn.SWITCH(D295,"C-Flute",(G295+H295)-10,"BC-Flute",(G295+H295)-16,0)</f>
        <v>0</v>
      </c>
      <c r="K295" s="53">
        <f t="shared" si="14"/>
        <v>0</v>
      </c>
      <c r="L295" s="54">
        <f t="shared" si="15"/>
        <v>0</v>
      </c>
      <c r="M295" s="55">
        <f t="shared" si="16"/>
        <v>0</v>
      </c>
      <c r="N295" s="63"/>
    </row>
    <row r="296" spans="1:14">
      <c r="A296" s="43"/>
      <c r="B296" s="43"/>
      <c r="C296" s="36" t="s">
        <v>85</v>
      </c>
      <c r="D296" s="43"/>
      <c r="E296" s="51">
        <f t="shared" si="13"/>
        <v>0</v>
      </c>
      <c r="F296" s="52"/>
      <c r="G296" s="52"/>
      <c r="H296" s="52"/>
      <c r="I296" s="51" cm="1">
        <f t="array" ref="I296">_xlfn.SWITCH(D296,"C-Flute",(F296+G296)*2+15,"BC-Flute",(F296+G296)*2+11,0)</f>
        <v>0</v>
      </c>
      <c r="J296" s="51" cm="1">
        <f t="array" ref="J296">_xlfn.SWITCH(D296,"C-Flute",(G296+H296)-10,"BC-Flute",(G296+H296)-16,0)</f>
        <v>0</v>
      </c>
      <c r="K296" s="53">
        <f t="shared" si="14"/>
        <v>0</v>
      </c>
      <c r="L296" s="54">
        <f t="shared" si="15"/>
        <v>0</v>
      </c>
      <c r="M296" s="55">
        <f t="shared" si="16"/>
        <v>0</v>
      </c>
      <c r="N296" s="63"/>
    </row>
    <row r="297" spans="1:14">
      <c r="A297" s="43"/>
      <c r="B297" s="43"/>
      <c r="C297" s="36" t="s">
        <v>85</v>
      </c>
      <c r="D297" s="43"/>
      <c r="E297" s="51">
        <f t="shared" si="13"/>
        <v>0</v>
      </c>
      <c r="F297" s="52"/>
      <c r="G297" s="52"/>
      <c r="H297" s="52"/>
      <c r="I297" s="51" cm="1">
        <f t="array" ref="I297">_xlfn.SWITCH(D297,"C-Flute",(F297+G297)*2+15,"BC-Flute",(F297+G297)*2+11,0)</f>
        <v>0</v>
      </c>
      <c r="J297" s="51" cm="1">
        <f t="array" ref="J297">_xlfn.SWITCH(D297,"C-Flute",(G297+H297)-10,"BC-Flute",(G297+H297)-16,0)</f>
        <v>0</v>
      </c>
      <c r="K297" s="53">
        <f t="shared" si="14"/>
        <v>0</v>
      </c>
      <c r="L297" s="54">
        <f t="shared" si="15"/>
        <v>0</v>
      </c>
      <c r="M297" s="55">
        <f t="shared" si="16"/>
        <v>0</v>
      </c>
      <c r="N297" s="63"/>
    </row>
    <row r="298" spans="1:14">
      <c r="A298" s="43"/>
      <c r="B298" s="43"/>
      <c r="C298" s="36" t="s">
        <v>85</v>
      </c>
      <c r="D298" s="43"/>
      <c r="E298" s="51">
        <f t="shared" si="13"/>
        <v>0</v>
      </c>
      <c r="F298" s="52"/>
      <c r="G298" s="52"/>
      <c r="H298" s="52"/>
      <c r="I298" s="51" cm="1">
        <f t="array" ref="I298">_xlfn.SWITCH(D298,"C-Flute",(F298+G298)*2+15,"BC-Flute",(F298+G298)*2+11,0)</f>
        <v>0</v>
      </c>
      <c r="J298" s="51" cm="1">
        <f t="array" ref="J298">_xlfn.SWITCH(D298,"C-Flute",(G298+H298)-10,"BC-Flute",(G298+H298)-16,0)</f>
        <v>0</v>
      </c>
      <c r="K298" s="53">
        <f t="shared" si="14"/>
        <v>0</v>
      </c>
      <c r="L298" s="54">
        <f t="shared" si="15"/>
        <v>0</v>
      </c>
      <c r="M298" s="55">
        <f t="shared" si="16"/>
        <v>0</v>
      </c>
      <c r="N298" s="63"/>
    </row>
    <row r="299" spans="1:14">
      <c r="A299" s="43"/>
      <c r="B299" s="43"/>
      <c r="C299" s="36" t="s">
        <v>85</v>
      </c>
      <c r="D299" s="43"/>
      <c r="E299" s="51">
        <f t="shared" si="13"/>
        <v>0</v>
      </c>
      <c r="F299" s="52"/>
      <c r="G299" s="52"/>
      <c r="H299" s="52"/>
      <c r="I299" s="51" cm="1">
        <f t="array" ref="I299">_xlfn.SWITCH(D299,"C-Flute",(F299+G299)*2+15,"BC-Flute",(F299+G299)*2+11,0)</f>
        <v>0</v>
      </c>
      <c r="J299" s="51" cm="1">
        <f t="array" ref="J299">_xlfn.SWITCH(D299,"C-Flute",(G299+H299)-10,"BC-Flute",(G299+H299)-16,0)</f>
        <v>0</v>
      </c>
      <c r="K299" s="53">
        <f t="shared" si="14"/>
        <v>0</v>
      </c>
      <c r="L299" s="54">
        <f t="shared" si="15"/>
        <v>0</v>
      </c>
      <c r="M299" s="55">
        <f t="shared" si="16"/>
        <v>0</v>
      </c>
      <c r="N299" s="63"/>
    </row>
    <row r="300" spans="1:14">
      <c r="A300" s="43"/>
      <c r="B300" s="43"/>
      <c r="C300" s="36" t="s">
        <v>85</v>
      </c>
      <c r="D300" s="43"/>
      <c r="E300" s="51">
        <f t="shared" si="13"/>
        <v>0</v>
      </c>
      <c r="F300" s="52"/>
      <c r="G300" s="52"/>
      <c r="H300" s="52"/>
      <c r="I300" s="51" cm="1">
        <f t="array" ref="I300">_xlfn.SWITCH(D300,"C-Flute",(F300+G300)*2+15,"BC-Flute",(F300+G300)*2+11,0)</f>
        <v>0</v>
      </c>
      <c r="J300" s="51" cm="1">
        <f t="array" ref="J300">_xlfn.SWITCH(D300,"C-Flute",(G300+H300)-10,"BC-Flute",(G300+H300)-16,0)</f>
        <v>0</v>
      </c>
      <c r="K300" s="53">
        <f t="shared" si="14"/>
        <v>0</v>
      </c>
      <c r="L300" s="54">
        <f t="shared" si="15"/>
        <v>0</v>
      </c>
      <c r="M300" s="55">
        <f t="shared" si="16"/>
        <v>0</v>
      </c>
      <c r="N300" s="63"/>
    </row>
    <row r="301" spans="1:14">
      <c r="A301" s="43"/>
      <c r="B301" s="43"/>
      <c r="C301" s="36" t="s">
        <v>85</v>
      </c>
      <c r="D301" s="43"/>
      <c r="E301" s="51">
        <f t="shared" si="13"/>
        <v>0</v>
      </c>
      <c r="F301" s="52"/>
      <c r="G301" s="52"/>
      <c r="H301" s="52"/>
      <c r="I301" s="51" cm="1">
        <f t="array" ref="I301">_xlfn.SWITCH(D301,"C-Flute",(F301+G301)*2+15,"BC-Flute",(F301+G301)*2+11,0)</f>
        <v>0</v>
      </c>
      <c r="J301" s="51" cm="1">
        <f t="array" ref="J301">_xlfn.SWITCH(D301,"C-Flute",(G301+H301)-10,"BC-Flute",(G301+H301)-16,0)</f>
        <v>0</v>
      </c>
      <c r="K301" s="53">
        <f t="shared" si="14"/>
        <v>0</v>
      </c>
      <c r="L301" s="54">
        <f t="shared" si="15"/>
        <v>0</v>
      </c>
      <c r="M301" s="55">
        <f t="shared" si="16"/>
        <v>0</v>
      </c>
      <c r="N301" s="63"/>
    </row>
    <row r="302" spans="1:14">
      <c r="A302" s="43"/>
      <c r="B302" s="43"/>
      <c r="C302" s="36" t="s">
        <v>85</v>
      </c>
      <c r="D302" s="43"/>
      <c r="E302" s="51">
        <f t="shared" si="13"/>
        <v>0</v>
      </c>
      <c r="F302" s="52"/>
      <c r="G302" s="52"/>
      <c r="H302" s="52"/>
      <c r="I302" s="51" cm="1">
        <f t="array" ref="I302">_xlfn.SWITCH(D302,"C-Flute",(F302+G302)*2+15,"BC-Flute",(F302+G302)*2+11,0)</f>
        <v>0</v>
      </c>
      <c r="J302" s="51" cm="1">
        <f t="array" ref="J302">_xlfn.SWITCH(D302,"C-Flute",(G302+H302)-10,"BC-Flute",(G302+H302)-16,0)</f>
        <v>0</v>
      </c>
      <c r="K302" s="53">
        <f t="shared" si="14"/>
        <v>0</v>
      </c>
      <c r="L302" s="54">
        <f t="shared" si="15"/>
        <v>0</v>
      </c>
      <c r="M302" s="55">
        <f t="shared" si="16"/>
        <v>0</v>
      </c>
      <c r="N302" s="63"/>
    </row>
    <row r="303" spans="1:14">
      <c r="A303" s="43"/>
      <c r="B303" s="43"/>
      <c r="C303" s="36" t="s">
        <v>85</v>
      </c>
      <c r="D303" s="43"/>
      <c r="E303" s="51">
        <f t="shared" si="13"/>
        <v>0</v>
      </c>
      <c r="F303" s="52"/>
      <c r="G303" s="52"/>
      <c r="H303" s="52"/>
      <c r="I303" s="51" cm="1">
        <f t="array" ref="I303">_xlfn.SWITCH(D303,"C-Flute",(F303+G303)*2+15,"BC-Flute",(F303+G303)*2+11,0)</f>
        <v>0</v>
      </c>
      <c r="J303" s="51" cm="1">
        <f t="array" ref="J303">_xlfn.SWITCH(D303,"C-Flute",(G303+H303)-10,"BC-Flute",(G303+H303)-16,0)</f>
        <v>0</v>
      </c>
      <c r="K303" s="53">
        <f t="shared" si="14"/>
        <v>0</v>
      </c>
      <c r="L303" s="54">
        <f t="shared" si="15"/>
        <v>0</v>
      </c>
      <c r="M303" s="55">
        <f t="shared" si="16"/>
        <v>0</v>
      </c>
      <c r="N303" s="63"/>
    </row>
    <row r="304" spans="1:14">
      <c r="A304" s="43"/>
      <c r="B304" s="43"/>
      <c r="C304" s="36" t="s">
        <v>85</v>
      </c>
      <c r="D304" s="43"/>
      <c r="E304" s="51">
        <f t="shared" si="13"/>
        <v>0</v>
      </c>
      <c r="F304" s="52"/>
      <c r="G304" s="52"/>
      <c r="H304" s="52"/>
      <c r="I304" s="51" cm="1">
        <f t="array" ref="I304">_xlfn.SWITCH(D304,"C-Flute",(F304+G304)*2+15,"BC-Flute",(F304+G304)*2+11,0)</f>
        <v>0</v>
      </c>
      <c r="J304" s="51" cm="1">
        <f t="array" ref="J304">_xlfn.SWITCH(D304,"C-Flute",(G304+H304)-10,"BC-Flute",(G304+H304)-16,0)</f>
        <v>0</v>
      </c>
      <c r="K304" s="53">
        <f t="shared" si="14"/>
        <v>0</v>
      </c>
      <c r="L304" s="54">
        <f t="shared" si="15"/>
        <v>0</v>
      </c>
      <c r="M304" s="55">
        <f t="shared" si="16"/>
        <v>0</v>
      </c>
      <c r="N304" s="63"/>
    </row>
    <row r="305" spans="1:14">
      <c r="A305" s="43"/>
      <c r="B305" s="43"/>
      <c r="C305" s="36" t="s">
        <v>85</v>
      </c>
      <c r="D305" s="43"/>
      <c r="E305" s="51">
        <f t="shared" si="13"/>
        <v>0</v>
      </c>
      <c r="F305" s="52"/>
      <c r="G305" s="52"/>
      <c r="H305" s="52"/>
      <c r="I305" s="51" cm="1">
        <f t="array" ref="I305">_xlfn.SWITCH(D305,"C-Flute",(F305+G305)*2+15,"BC-Flute",(F305+G305)*2+11,0)</f>
        <v>0</v>
      </c>
      <c r="J305" s="51" cm="1">
        <f t="array" ref="J305">_xlfn.SWITCH(D305,"C-Flute",(G305+H305)-10,"BC-Flute",(G305+H305)-16,0)</f>
        <v>0</v>
      </c>
      <c r="K305" s="53">
        <f t="shared" si="14"/>
        <v>0</v>
      </c>
      <c r="L305" s="54">
        <f t="shared" si="15"/>
        <v>0</v>
      </c>
      <c r="M305" s="55">
        <f t="shared" si="16"/>
        <v>0</v>
      </c>
      <c r="N305" s="63"/>
    </row>
    <row r="306" spans="1:14">
      <c r="A306" s="43"/>
      <c r="B306" s="43"/>
      <c r="C306" s="36" t="s">
        <v>85</v>
      </c>
      <c r="D306" s="43"/>
      <c r="E306" s="51">
        <f t="shared" si="13"/>
        <v>0</v>
      </c>
      <c r="F306" s="52"/>
      <c r="G306" s="52"/>
      <c r="H306" s="52"/>
      <c r="I306" s="51" cm="1">
        <f t="array" ref="I306">_xlfn.SWITCH(D306,"C-Flute",(F306+G306)*2+15,"BC-Flute",(F306+G306)*2+11,0)</f>
        <v>0</v>
      </c>
      <c r="J306" s="51" cm="1">
        <f t="array" ref="J306">_xlfn.SWITCH(D306,"C-Flute",(G306+H306)-10,"BC-Flute",(G306+H306)-16,0)</f>
        <v>0</v>
      </c>
      <c r="K306" s="53">
        <f t="shared" si="14"/>
        <v>0</v>
      </c>
      <c r="L306" s="54">
        <f t="shared" si="15"/>
        <v>0</v>
      </c>
      <c r="M306" s="55">
        <f t="shared" si="16"/>
        <v>0</v>
      </c>
      <c r="N306" s="63"/>
    </row>
    <row r="307" spans="1:14">
      <c r="A307" s="43"/>
      <c r="B307" s="43"/>
      <c r="C307" s="36" t="s">
        <v>85</v>
      </c>
      <c r="D307" s="43"/>
      <c r="E307" s="51">
        <f t="shared" si="13"/>
        <v>0</v>
      </c>
      <c r="F307" s="52"/>
      <c r="G307" s="52"/>
      <c r="H307" s="52"/>
      <c r="I307" s="51" cm="1">
        <f t="array" ref="I307">_xlfn.SWITCH(D307,"C-Flute",(F307+G307)*2+15,"BC-Flute",(F307+G307)*2+11,0)</f>
        <v>0</v>
      </c>
      <c r="J307" s="51" cm="1">
        <f t="array" ref="J307">_xlfn.SWITCH(D307,"C-Flute",(G307+H307)-10,"BC-Flute",(G307+H307)-16,0)</f>
        <v>0</v>
      </c>
      <c r="K307" s="53">
        <f t="shared" si="14"/>
        <v>0</v>
      </c>
      <c r="L307" s="54">
        <f t="shared" si="15"/>
        <v>0</v>
      </c>
      <c r="M307" s="55">
        <f t="shared" si="16"/>
        <v>0</v>
      </c>
      <c r="N307" s="63"/>
    </row>
    <row r="308" spans="1:14">
      <c r="A308" s="43"/>
      <c r="B308" s="43"/>
      <c r="C308" s="36" t="s">
        <v>85</v>
      </c>
      <c r="D308" s="43"/>
      <c r="E308" s="51">
        <f t="shared" si="13"/>
        <v>0</v>
      </c>
      <c r="F308" s="52"/>
      <c r="G308" s="52"/>
      <c r="H308" s="52"/>
      <c r="I308" s="51" cm="1">
        <f t="array" ref="I308">_xlfn.SWITCH(D308,"C-Flute",(F308+G308)*2+15,"BC-Flute",(F308+G308)*2+11,0)</f>
        <v>0</v>
      </c>
      <c r="J308" s="51" cm="1">
        <f t="array" ref="J308">_xlfn.SWITCH(D308,"C-Flute",(G308+H308)-10,"BC-Flute",(G308+H308)-16,0)</f>
        <v>0</v>
      </c>
      <c r="K308" s="53">
        <f t="shared" si="14"/>
        <v>0</v>
      </c>
      <c r="L308" s="54">
        <f t="shared" si="15"/>
        <v>0</v>
      </c>
      <c r="M308" s="55">
        <f t="shared" si="16"/>
        <v>0</v>
      </c>
      <c r="N308" s="63"/>
    </row>
    <row r="309" spans="1:14">
      <c r="A309" s="43"/>
      <c r="B309" s="43"/>
      <c r="C309" s="36" t="s">
        <v>85</v>
      </c>
      <c r="D309" s="43"/>
      <c r="E309" s="51">
        <f t="shared" si="13"/>
        <v>0</v>
      </c>
      <c r="F309" s="52"/>
      <c r="G309" s="52"/>
      <c r="H309" s="52"/>
      <c r="I309" s="51" cm="1">
        <f t="array" ref="I309">_xlfn.SWITCH(D309,"C-Flute",(F309+G309)*2+15,"BC-Flute",(F309+G309)*2+11,0)</f>
        <v>0</v>
      </c>
      <c r="J309" s="51" cm="1">
        <f t="array" ref="J309">_xlfn.SWITCH(D309,"C-Flute",(G309+H309)-10,"BC-Flute",(G309+H309)-16,0)</f>
        <v>0</v>
      </c>
      <c r="K309" s="53">
        <f t="shared" si="14"/>
        <v>0</v>
      </c>
      <c r="L309" s="54">
        <f t="shared" si="15"/>
        <v>0</v>
      </c>
      <c r="M309" s="55">
        <f t="shared" si="16"/>
        <v>0</v>
      </c>
      <c r="N309" s="63"/>
    </row>
    <row r="310" spans="1:14">
      <c r="A310" s="43"/>
      <c r="B310" s="43"/>
      <c r="C310" s="36" t="s">
        <v>85</v>
      </c>
      <c r="D310" s="43"/>
      <c r="E310" s="51">
        <f t="shared" si="13"/>
        <v>0</v>
      </c>
      <c r="F310" s="52"/>
      <c r="G310" s="52"/>
      <c r="H310" s="52"/>
      <c r="I310" s="51" cm="1">
        <f t="array" ref="I310">_xlfn.SWITCH(D310,"C-Flute",(F310+G310)*2+15,"BC-Flute",(F310+G310)*2+11,0)</f>
        <v>0</v>
      </c>
      <c r="J310" s="51" cm="1">
        <f t="array" ref="J310">_xlfn.SWITCH(D310,"C-Flute",(G310+H310)-10,"BC-Flute",(G310+H310)-16,0)</f>
        <v>0</v>
      </c>
      <c r="K310" s="53">
        <f t="shared" si="14"/>
        <v>0</v>
      </c>
      <c r="L310" s="54">
        <f t="shared" si="15"/>
        <v>0</v>
      </c>
      <c r="M310" s="55">
        <f t="shared" si="16"/>
        <v>0</v>
      </c>
      <c r="N310" s="63"/>
    </row>
    <row r="311" spans="1:14">
      <c r="A311" s="43"/>
      <c r="B311" s="43"/>
      <c r="C311" s="36" t="s">
        <v>85</v>
      </c>
      <c r="D311" s="43"/>
      <c r="E311" s="51">
        <f t="shared" si="13"/>
        <v>0</v>
      </c>
      <c r="F311" s="52"/>
      <c r="G311" s="52"/>
      <c r="H311" s="52"/>
      <c r="I311" s="51" cm="1">
        <f t="array" ref="I311">_xlfn.SWITCH(D311,"C-Flute",(F311+G311)*2+15,"BC-Flute",(F311+G311)*2+11,0)</f>
        <v>0</v>
      </c>
      <c r="J311" s="51" cm="1">
        <f t="array" ref="J311">_xlfn.SWITCH(D311,"C-Flute",(G311+H311)-10,"BC-Flute",(G311+H311)-16,0)</f>
        <v>0</v>
      </c>
      <c r="K311" s="53">
        <f t="shared" si="14"/>
        <v>0</v>
      </c>
      <c r="L311" s="54">
        <f t="shared" si="15"/>
        <v>0</v>
      </c>
      <c r="M311" s="55">
        <f t="shared" si="16"/>
        <v>0</v>
      </c>
      <c r="N311" s="63"/>
    </row>
    <row r="312" spans="1:14">
      <c r="A312" s="43"/>
      <c r="B312" s="43"/>
      <c r="C312" s="36" t="s">
        <v>85</v>
      </c>
      <c r="D312" s="43"/>
      <c r="E312" s="51">
        <f t="shared" si="13"/>
        <v>0</v>
      </c>
      <c r="F312" s="52"/>
      <c r="G312" s="52"/>
      <c r="H312" s="52"/>
      <c r="I312" s="51" cm="1">
        <f t="array" ref="I312">_xlfn.SWITCH(D312,"C-Flute",(F312+G312)*2+15,"BC-Flute",(F312+G312)*2+11,0)</f>
        <v>0</v>
      </c>
      <c r="J312" s="51" cm="1">
        <f t="array" ref="J312">_xlfn.SWITCH(D312,"C-Flute",(G312+H312)-10,"BC-Flute",(G312+H312)-16,0)</f>
        <v>0</v>
      </c>
      <c r="K312" s="53">
        <f t="shared" si="14"/>
        <v>0</v>
      </c>
      <c r="L312" s="54">
        <f t="shared" si="15"/>
        <v>0</v>
      </c>
      <c r="M312" s="55">
        <f t="shared" si="16"/>
        <v>0</v>
      </c>
      <c r="N312" s="63"/>
    </row>
    <row r="313" spans="1:14">
      <c r="A313" s="43"/>
      <c r="B313" s="43"/>
      <c r="C313" s="36" t="s">
        <v>85</v>
      </c>
      <c r="D313" s="43"/>
      <c r="E313" s="51">
        <f t="shared" si="13"/>
        <v>0</v>
      </c>
      <c r="F313" s="52"/>
      <c r="G313" s="52"/>
      <c r="H313" s="52"/>
      <c r="I313" s="51" cm="1">
        <f t="array" ref="I313">_xlfn.SWITCH(D313,"C-Flute",(F313+G313)*2+15,"BC-Flute",(F313+G313)*2+11,0)</f>
        <v>0</v>
      </c>
      <c r="J313" s="51" cm="1">
        <f t="array" ref="J313">_xlfn.SWITCH(D313,"C-Flute",(G313+H313)-10,"BC-Flute",(G313+H313)-16,0)</f>
        <v>0</v>
      </c>
      <c r="K313" s="53">
        <f t="shared" si="14"/>
        <v>0</v>
      </c>
      <c r="L313" s="54">
        <f t="shared" si="15"/>
        <v>0</v>
      </c>
      <c r="M313" s="55">
        <f t="shared" si="16"/>
        <v>0</v>
      </c>
      <c r="N313" s="63"/>
    </row>
    <row r="314" spans="1:14">
      <c r="A314" s="43"/>
      <c r="B314" s="43"/>
      <c r="C314" s="36" t="s">
        <v>85</v>
      </c>
      <c r="D314" s="43"/>
      <c r="E314" s="51">
        <f t="shared" si="13"/>
        <v>0</v>
      </c>
      <c r="F314" s="52"/>
      <c r="G314" s="52"/>
      <c r="H314" s="52"/>
      <c r="I314" s="51" cm="1">
        <f t="array" ref="I314">_xlfn.SWITCH(D314,"C-Flute",(F314+G314)*2+15,"BC-Flute",(F314+G314)*2+11,0)</f>
        <v>0</v>
      </c>
      <c r="J314" s="51" cm="1">
        <f t="array" ref="J314">_xlfn.SWITCH(D314,"C-Flute",(G314+H314)-10,"BC-Flute",(G314+H314)-16,0)</f>
        <v>0</v>
      </c>
      <c r="K314" s="53">
        <f t="shared" si="14"/>
        <v>0</v>
      </c>
      <c r="L314" s="54">
        <f t="shared" si="15"/>
        <v>0</v>
      </c>
      <c r="M314" s="55">
        <f t="shared" si="16"/>
        <v>0</v>
      </c>
      <c r="N314" s="63"/>
    </row>
    <row r="315" spans="1:14">
      <c r="A315" s="43"/>
      <c r="B315" s="43"/>
      <c r="C315" s="36" t="s">
        <v>85</v>
      </c>
      <c r="D315" s="43"/>
      <c r="E315" s="51">
        <f t="shared" si="13"/>
        <v>0</v>
      </c>
      <c r="F315" s="52"/>
      <c r="G315" s="52"/>
      <c r="H315" s="52"/>
      <c r="I315" s="51" cm="1">
        <f t="array" ref="I315">_xlfn.SWITCH(D315,"C-Flute",(F315+G315)*2+15,"BC-Flute",(F315+G315)*2+11,0)</f>
        <v>0</v>
      </c>
      <c r="J315" s="51" cm="1">
        <f t="array" ref="J315">_xlfn.SWITCH(D315,"C-Flute",(G315+H315)-10,"BC-Flute",(G315+H315)-16,0)</f>
        <v>0</v>
      </c>
      <c r="K315" s="53">
        <f t="shared" si="14"/>
        <v>0</v>
      </c>
      <c r="L315" s="54">
        <f t="shared" si="15"/>
        <v>0</v>
      </c>
      <c r="M315" s="55">
        <f t="shared" si="16"/>
        <v>0</v>
      </c>
      <c r="N315" s="63"/>
    </row>
    <row r="316" spans="1:14">
      <c r="A316" s="43"/>
      <c r="B316" s="43"/>
      <c r="C316" s="36" t="s">
        <v>85</v>
      </c>
      <c r="D316" s="43"/>
      <c r="E316" s="51">
        <f t="shared" si="13"/>
        <v>0</v>
      </c>
      <c r="F316" s="52"/>
      <c r="G316" s="52"/>
      <c r="H316" s="52"/>
      <c r="I316" s="51" cm="1">
        <f t="array" ref="I316">_xlfn.SWITCH(D316,"C-Flute",(F316+G316)*2+15,"BC-Flute",(F316+G316)*2+11,0)</f>
        <v>0</v>
      </c>
      <c r="J316" s="51" cm="1">
        <f t="array" ref="J316">_xlfn.SWITCH(D316,"C-Flute",(G316+H316)-10,"BC-Flute",(G316+H316)-16,0)</f>
        <v>0</v>
      </c>
      <c r="K316" s="53">
        <f t="shared" si="14"/>
        <v>0</v>
      </c>
      <c r="L316" s="54">
        <f t="shared" si="15"/>
        <v>0</v>
      </c>
      <c r="M316" s="55">
        <f t="shared" si="16"/>
        <v>0</v>
      </c>
      <c r="N316" s="63"/>
    </row>
    <row r="317" spans="1:14">
      <c r="A317" s="43"/>
      <c r="B317" s="43"/>
      <c r="C317" s="36" t="s">
        <v>85</v>
      </c>
      <c r="D317" s="43"/>
      <c r="E317" s="51">
        <f t="shared" si="13"/>
        <v>0</v>
      </c>
      <c r="F317" s="52"/>
      <c r="G317" s="52"/>
      <c r="H317" s="52"/>
      <c r="I317" s="51" cm="1">
        <f t="array" ref="I317">_xlfn.SWITCH(D317,"C-Flute",(F317+G317)*2+15,"BC-Flute",(F317+G317)*2+11,0)</f>
        <v>0</v>
      </c>
      <c r="J317" s="51" cm="1">
        <f t="array" ref="J317">_xlfn.SWITCH(D317,"C-Flute",(G317+H317)-10,"BC-Flute",(G317+H317)-16,0)</f>
        <v>0</v>
      </c>
      <c r="K317" s="53">
        <f t="shared" si="14"/>
        <v>0</v>
      </c>
      <c r="L317" s="54">
        <f t="shared" si="15"/>
        <v>0</v>
      </c>
      <c r="M317" s="55">
        <f t="shared" si="16"/>
        <v>0</v>
      </c>
      <c r="N317" s="63"/>
    </row>
    <row r="318" spans="1:14">
      <c r="A318" s="43"/>
      <c r="B318" s="43"/>
      <c r="C318" s="36" t="s">
        <v>85</v>
      </c>
      <c r="D318" s="43"/>
      <c r="E318" s="51">
        <f t="shared" si="13"/>
        <v>0</v>
      </c>
      <c r="F318" s="52"/>
      <c r="G318" s="52"/>
      <c r="H318" s="52"/>
      <c r="I318" s="51" cm="1">
        <f t="array" ref="I318">_xlfn.SWITCH(D318,"C-Flute",(F318+G318)*2+15,"BC-Flute",(F318+G318)*2+11,0)</f>
        <v>0</v>
      </c>
      <c r="J318" s="51" cm="1">
        <f t="array" ref="J318">_xlfn.SWITCH(D318,"C-Flute",(G318+H318)-10,"BC-Flute",(G318+H318)-16,0)</f>
        <v>0</v>
      </c>
      <c r="K318" s="53">
        <f t="shared" si="14"/>
        <v>0</v>
      </c>
      <c r="L318" s="54">
        <f t="shared" si="15"/>
        <v>0</v>
      </c>
      <c r="M318" s="55">
        <f t="shared" si="16"/>
        <v>0</v>
      </c>
      <c r="N318" s="63"/>
    </row>
    <row r="319" spans="1:14">
      <c r="A319" s="43"/>
      <c r="B319" s="43"/>
      <c r="C319" s="36" t="s">
        <v>85</v>
      </c>
      <c r="D319" s="43"/>
      <c r="E319" s="51">
        <f t="shared" si="13"/>
        <v>0</v>
      </c>
      <c r="F319" s="52"/>
      <c r="G319" s="52"/>
      <c r="H319" s="52"/>
      <c r="I319" s="51" cm="1">
        <f t="array" ref="I319">_xlfn.SWITCH(D319,"C-Flute",(F319+G319)*2+15,"BC-Flute",(F319+G319)*2+11,0)</f>
        <v>0</v>
      </c>
      <c r="J319" s="51" cm="1">
        <f t="array" ref="J319">_xlfn.SWITCH(D319,"C-Flute",(G319+H319)-10,"BC-Flute",(G319+H319)-16,0)</f>
        <v>0</v>
      </c>
      <c r="K319" s="53">
        <f t="shared" si="14"/>
        <v>0</v>
      </c>
      <c r="L319" s="54">
        <f t="shared" si="15"/>
        <v>0</v>
      </c>
      <c r="M319" s="55">
        <f t="shared" si="16"/>
        <v>0</v>
      </c>
      <c r="N319" s="63"/>
    </row>
    <row r="320" spans="1:14">
      <c r="A320" s="43"/>
      <c r="B320" s="43"/>
      <c r="C320" s="36" t="s">
        <v>85</v>
      </c>
      <c r="D320" s="43"/>
      <c r="E320" s="51">
        <f t="shared" si="13"/>
        <v>0</v>
      </c>
      <c r="F320" s="52"/>
      <c r="G320" s="52"/>
      <c r="H320" s="52"/>
      <c r="I320" s="51" cm="1">
        <f t="array" ref="I320">_xlfn.SWITCH(D320,"C-Flute",(F320+G320)*2+15,"BC-Flute",(F320+G320)*2+11,0)</f>
        <v>0</v>
      </c>
      <c r="J320" s="51" cm="1">
        <f t="array" ref="J320">_xlfn.SWITCH(D320,"C-Flute",(G320+H320)-10,"BC-Flute",(G320+H320)-16,0)</f>
        <v>0</v>
      </c>
      <c r="K320" s="53">
        <f t="shared" si="14"/>
        <v>0</v>
      </c>
      <c r="L320" s="54">
        <f t="shared" si="15"/>
        <v>0</v>
      </c>
      <c r="M320" s="55">
        <f t="shared" si="16"/>
        <v>0</v>
      </c>
      <c r="N320" s="63"/>
    </row>
    <row r="321" spans="1:14">
      <c r="A321" s="43"/>
      <c r="B321" s="43"/>
      <c r="C321" s="36" t="s">
        <v>85</v>
      </c>
      <c r="D321" s="43"/>
      <c r="E321" s="51">
        <f t="shared" si="13"/>
        <v>0</v>
      </c>
      <c r="F321" s="52"/>
      <c r="G321" s="52"/>
      <c r="H321" s="52"/>
      <c r="I321" s="51" cm="1">
        <f t="array" ref="I321">_xlfn.SWITCH(D321,"C-Flute",(F321+G321)*2+15,"BC-Flute",(F321+G321)*2+11,0)</f>
        <v>0</v>
      </c>
      <c r="J321" s="51" cm="1">
        <f t="array" ref="J321">_xlfn.SWITCH(D321,"C-Flute",(G321+H321)-10,"BC-Flute",(G321+H321)-16,0)</f>
        <v>0</v>
      </c>
      <c r="K321" s="53">
        <f t="shared" si="14"/>
        <v>0</v>
      </c>
      <c r="L321" s="54">
        <f t="shared" si="15"/>
        <v>0</v>
      </c>
      <c r="M321" s="55">
        <f t="shared" si="16"/>
        <v>0</v>
      </c>
      <c r="N321" s="63"/>
    </row>
    <row r="322" spans="1:14">
      <c r="A322" s="43"/>
      <c r="B322" s="43"/>
      <c r="C322" s="36" t="s">
        <v>85</v>
      </c>
      <c r="D322" s="43"/>
      <c r="E322" s="51">
        <f t="shared" si="13"/>
        <v>0</v>
      </c>
      <c r="F322" s="52"/>
      <c r="G322" s="52"/>
      <c r="H322" s="52"/>
      <c r="I322" s="51" cm="1">
        <f t="array" ref="I322">_xlfn.SWITCH(D322,"C-Flute",(F322+G322)*2+15,"BC-Flute",(F322+G322)*2+11,0)</f>
        <v>0</v>
      </c>
      <c r="J322" s="51" cm="1">
        <f t="array" ref="J322">_xlfn.SWITCH(D322,"C-Flute",(G322+H322)-10,"BC-Flute",(G322+H322)-16,0)</f>
        <v>0</v>
      </c>
      <c r="K322" s="53">
        <f t="shared" si="14"/>
        <v>0</v>
      </c>
      <c r="L322" s="54">
        <f t="shared" si="15"/>
        <v>0</v>
      </c>
      <c r="M322" s="55">
        <f t="shared" si="16"/>
        <v>0</v>
      </c>
      <c r="N322" s="63"/>
    </row>
    <row r="323" spans="1:14">
      <c r="A323" s="43"/>
      <c r="B323" s="43"/>
      <c r="C323" s="36" t="s">
        <v>85</v>
      </c>
      <c r="D323" s="43"/>
      <c r="E323" s="51">
        <f t="shared" si="13"/>
        <v>0</v>
      </c>
      <c r="F323" s="52"/>
      <c r="G323" s="52"/>
      <c r="H323" s="52"/>
      <c r="I323" s="51" cm="1">
        <f t="array" ref="I323">_xlfn.SWITCH(D323,"C-Flute",(F323+G323)*2+15,"BC-Flute",(F323+G323)*2+11,0)</f>
        <v>0</v>
      </c>
      <c r="J323" s="51" cm="1">
        <f t="array" ref="J323">_xlfn.SWITCH(D323,"C-Flute",(G323+H323)-10,"BC-Flute",(G323+H323)-16,0)</f>
        <v>0</v>
      </c>
      <c r="K323" s="53">
        <f t="shared" si="14"/>
        <v>0</v>
      </c>
      <c r="L323" s="54">
        <f t="shared" si="15"/>
        <v>0</v>
      </c>
      <c r="M323" s="55">
        <f t="shared" si="16"/>
        <v>0</v>
      </c>
      <c r="N323" s="63"/>
    </row>
    <row r="324" spans="1:14">
      <c r="A324" s="43"/>
      <c r="B324" s="43"/>
      <c r="C324" s="36" t="s">
        <v>85</v>
      </c>
      <c r="D324" s="43"/>
      <c r="E324" s="51">
        <f t="shared" si="13"/>
        <v>0</v>
      </c>
      <c r="F324" s="52"/>
      <c r="G324" s="52"/>
      <c r="H324" s="52"/>
      <c r="I324" s="51" cm="1">
        <f t="array" ref="I324">_xlfn.SWITCH(D324,"C-Flute",(F324+G324)*2+15,"BC-Flute",(F324+G324)*2+11,0)</f>
        <v>0</v>
      </c>
      <c r="J324" s="51" cm="1">
        <f t="array" ref="J324">_xlfn.SWITCH(D324,"C-Flute",(G324+H324)-10,"BC-Flute",(G324+H324)-16,0)</f>
        <v>0</v>
      </c>
      <c r="K324" s="53">
        <f t="shared" si="14"/>
        <v>0</v>
      </c>
      <c r="L324" s="54">
        <f t="shared" si="15"/>
        <v>0</v>
      </c>
      <c r="M324" s="55">
        <f t="shared" si="16"/>
        <v>0</v>
      </c>
      <c r="N324" s="63"/>
    </row>
    <row r="325" spans="1:14">
      <c r="A325" s="43"/>
      <c r="B325" s="43"/>
      <c r="C325" s="36" t="s">
        <v>85</v>
      </c>
      <c r="D325" s="43"/>
      <c r="E325" s="51">
        <f t="shared" si="13"/>
        <v>0</v>
      </c>
      <c r="F325" s="52"/>
      <c r="G325" s="52"/>
      <c r="H325" s="52"/>
      <c r="I325" s="51" cm="1">
        <f t="array" ref="I325">_xlfn.SWITCH(D325,"C-Flute",(F325+G325)*2+15,"BC-Flute",(F325+G325)*2+11,0)</f>
        <v>0</v>
      </c>
      <c r="J325" s="51" cm="1">
        <f t="array" ref="J325">_xlfn.SWITCH(D325,"C-Flute",(G325+H325)-10,"BC-Flute",(G325+H325)-16,0)</f>
        <v>0</v>
      </c>
      <c r="K325" s="53">
        <f t="shared" si="14"/>
        <v>0</v>
      </c>
      <c r="L325" s="54">
        <f t="shared" si="15"/>
        <v>0</v>
      </c>
      <c r="M325" s="55">
        <f t="shared" si="16"/>
        <v>0</v>
      </c>
      <c r="N325" s="63"/>
    </row>
    <row r="326" spans="1:14">
      <c r="A326" s="43"/>
      <c r="B326" s="43"/>
      <c r="C326" s="36" t="s">
        <v>85</v>
      </c>
      <c r="D326" s="43"/>
      <c r="E326" s="51">
        <f t="shared" si="13"/>
        <v>0</v>
      </c>
      <c r="F326" s="52"/>
      <c r="G326" s="52"/>
      <c r="H326" s="52"/>
      <c r="I326" s="51" cm="1">
        <f t="array" ref="I326">_xlfn.SWITCH(D326,"C-Flute",(F326+G326)*2+15,"BC-Flute",(F326+G326)*2+11,0)</f>
        <v>0</v>
      </c>
      <c r="J326" s="51" cm="1">
        <f t="array" ref="J326">_xlfn.SWITCH(D326,"C-Flute",(G326+H326)-10,"BC-Flute",(G326+H326)-16,0)</f>
        <v>0</v>
      </c>
      <c r="K326" s="53">
        <f t="shared" si="14"/>
        <v>0</v>
      </c>
      <c r="L326" s="54">
        <f t="shared" si="15"/>
        <v>0</v>
      </c>
      <c r="M326" s="55">
        <f t="shared" si="16"/>
        <v>0</v>
      </c>
      <c r="N326" s="63"/>
    </row>
    <row r="327" spans="1:14">
      <c r="A327" s="43"/>
      <c r="B327" s="43"/>
      <c r="C327" s="36" t="s">
        <v>85</v>
      </c>
      <c r="D327" s="43"/>
      <c r="E327" s="51">
        <f t="shared" si="13"/>
        <v>0</v>
      </c>
      <c r="F327" s="52"/>
      <c r="G327" s="52"/>
      <c r="H327" s="52"/>
      <c r="I327" s="51" cm="1">
        <f t="array" ref="I327">_xlfn.SWITCH(D327,"C-Flute",(F327+G327)*2+15,"BC-Flute",(F327+G327)*2+11,0)</f>
        <v>0</v>
      </c>
      <c r="J327" s="51" cm="1">
        <f t="array" ref="J327">_xlfn.SWITCH(D327,"C-Flute",(G327+H327)-10,"BC-Flute",(G327+H327)-16,0)</f>
        <v>0</v>
      </c>
      <c r="K327" s="53">
        <f t="shared" si="14"/>
        <v>0</v>
      </c>
      <c r="L327" s="54">
        <f t="shared" si="15"/>
        <v>0</v>
      </c>
      <c r="M327" s="55">
        <f t="shared" si="16"/>
        <v>0</v>
      </c>
      <c r="N327" s="63"/>
    </row>
    <row r="328" spans="1:14">
      <c r="A328" s="43"/>
      <c r="B328" s="43"/>
      <c r="C328" s="36" t="s">
        <v>85</v>
      </c>
      <c r="D328" s="43"/>
      <c r="E328" s="51">
        <f t="shared" si="13"/>
        <v>0</v>
      </c>
      <c r="F328" s="52"/>
      <c r="G328" s="52"/>
      <c r="H328" s="52"/>
      <c r="I328" s="51" cm="1">
        <f t="array" ref="I328">_xlfn.SWITCH(D328,"C-Flute",(F328+G328)*2+15,"BC-Flute",(F328+G328)*2+11,0)</f>
        <v>0</v>
      </c>
      <c r="J328" s="51" cm="1">
        <f t="array" ref="J328">_xlfn.SWITCH(D328,"C-Flute",(G328+H328)-10,"BC-Flute",(G328+H328)-16,0)</f>
        <v>0</v>
      </c>
      <c r="K328" s="53">
        <f t="shared" si="14"/>
        <v>0</v>
      </c>
      <c r="L328" s="54">
        <f t="shared" si="15"/>
        <v>0</v>
      </c>
      <c r="M328" s="55">
        <f t="shared" si="16"/>
        <v>0</v>
      </c>
      <c r="N328" s="63"/>
    </row>
    <row r="329" spans="1:14">
      <c r="A329" s="43"/>
      <c r="B329" s="43"/>
      <c r="C329" s="36" t="s">
        <v>85</v>
      </c>
      <c r="D329" s="43"/>
      <c r="E329" s="51">
        <f t="shared" si="13"/>
        <v>0</v>
      </c>
      <c r="F329" s="52"/>
      <c r="G329" s="52"/>
      <c r="H329" s="52"/>
      <c r="I329" s="51" cm="1">
        <f t="array" ref="I329">_xlfn.SWITCH(D329,"C-Flute",(F329+G329)*2+15,"BC-Flute",(F329+G329)*2+11,0)</f>
        <v>0</v>
      </c>
      <c r="J329" s="51" cm="1">
        <f t="array" ref="J329">_xlfn.SWITCH(D329,"C-Flute",(G329+H329)-10,"BC-Flute",(G329+H329)-16,0)</f>
        <v>0</v>
      </c>
      <c r="K329" s="53">
        <f t="shared" si="14"/>
        <v>0</v>
      </c>
      <c r="L329" s="54">
        <f t="shared" si="15"/>
        <v>0</v>
      </c>
      <c r="M329" s="55">
        <f t="shared" si="16"/>
        <v>0</v>
      </c>
      <c r="N329" s="63"/>
    </row>
    <row r="330" spans="1:14">
      <c r="A330" s="43"/>
      <c r="B330" s="43"/>
      <c r="C330" s="36" t="s">
        <v>85</v>
      </c>
      <c r="D330" s="43"/>
      <c r="E330" s="51">
        <f t="shared" si="13"/>
        <v>0</v>
      </c>
      <c r="F330" s="52"/>
      <c r="G330" s="52"/>
      <c r="H330" s="52"/>
      <c r="I330" s="51" cm="1">
        <f t="array" ref="I330">_xlfn.SWITCH(D330,"C-Flute",(F330+G330)*2+15,"BC-Flute",(F330+G330)*2+11,0)</f>
        <v>0</v>
      </c>
      <c r="J330" s="51" cm="1">
        <f t="array" ref="J330">_xlfn.SWITCH(D330,"C-Flute",(G330+H330)-10,"BC-Flute",(G330+H330)-16,0)</f>
        <v>0</v>
      </c>
      <c r="K330" s="53">
        <f t="shared" si="14"/>
        <v>0</v>
      </c>
      <c r="L330" s="54">
        <f t="shared" si="15"/>
        <v>0</v>
      </c>
      <c r="M330" s="55">
        <f t="shared" si="16"/>
        <v>0</v>
      </c>
      <c r="N330" s="63"/>
    </row>
    <row r="331" spans="1:14">
      <c r="A331" s="43"/>
      <c r="B331" s="43"/>
      <c r="C331" s="36" t="s">
        <v>85</v>
      </c>
      <c r="D331" s="43"/>
      <c r="E331" s="51">
        <f t="shared" si="13"/>
        <v>0</v>
      </c>
      <c r="F331" s="52"/>
      <c r="G331" s="52"/>
      <c r="H331" s="52"/>
      <c r="I331" s="51" cm="1">
        <f t="array" ref="I331">_xlfn.SWITCH(D331,"C-Flute",(F331+G331)*2+15,"BC-Flute",(F331+G331)*2+11,0)</f>
        <v>0</v>
      </c>
      <c r="J331" s="51" cm="1">
        <f t="array" ref="J331">_xlfn.SWITCH(D331,"C-Flute",(G331+H331)-10,"BC-Flute",(G331+H331)-16,0)</f>
        <v>0</v>
      </c>
      <c r="K331" s="53">
        <f t="shared" si="14"/>
        <v>0</v>
      </c>
      <c r="L331" s="54">
        <f t="shared" si="15"/>
        <v>0</v>
      </c>
      <c r="M331" s="55">
        <f t="shared" si="16"/>
        <v>0</v>
      </c>
      <c r="N331" s="63"/>
    </row>
    <row r="332" spans="1:14">
      <c r="A332" s="43"/>
      <c r="B332" s="43"/>
      <c r="C332" s="36" t="s">
        <v>85</v>
      </c>
      <c r="D332" s="43"/>
      <c r="E332" s="51">
        <f t="shared" si="13"/>
        <v>0</v>
      </c>
      <c r="F332" s="52"/>
      <c r="G332" s="52"/>
      <c r="H332" s="52"/>
      <c r="I332" s="51" cm="1">
        <f t="array" ref="I332">_xlfn.SWITCH(D332,"C-Flute",(F332+G332)*2+15,"BC-Flute",(F332+G332)*2+11,0)</f>
        <v>0</v>
      </c>
      <c r="J332" s="51" cm="1">
        <f t="array" ref="J332">_xlfn.SWITCH(D332,"C-Flute",(G332+H332)-10,"BC-Flute",(G332+H332)-16,0)</f>
        <v>0</v>
      </c>
      <c r="K332" s="53">
        <f t="shared" si="14"/>
        <v>0</v>
      </c>
      <c r="L332" s="54">
        <f t="shared" si="15"/>
        <v>0</v>
      </c>
      <c r="M332" s="55">
        <f t="shared" si="16"/>
        <v>0</v>
      </c>
      <c r="N332" s="63"/>
    </row>
    <row r="333" spans="1:14">
      <c r="A333" s="43"/>
      <c r="B333" s="43"/>
      <c r="C333" s="36" t="s">
        <v>85</v>
      </c>
      <c r="D333" s="43"/>
      <c r="E333" s="51">
        <f t="shared" si="13"/>
        <v>0</v>
      </c>
      <c r="F333" s="52"/>
      <c r="G333" s="52"/>
      <c r="H333" s="52"/>
      <c r="I333" s="51" cm="1">
        <f t="array" ref="I333">_xlfn.SWITCH(D333,"C-Flute",(F333+G333)*2+15,"BC-Flute",(F333+G333)*2+11,0)</f>
        <v>0</v>
      </c>
      <c r="J333" s="51" cm="1">
        <f t="array" ref="J333">_xlfn.SWITCH(D333,"C-Flute",(G333+H333)-10,"BC-Flute",(G333+H333)-16,0)</f>
        <v>0</v>
      </c>
      <c r="K333" s="53">
        <f t="shared" si="14"/>
        <v>0</v>
      </c>
      <c r="L333" s="54">
        <f t="shared" si="15"/>
        <v>0</v>
      </c>
      <c r="M333" s="55">
        <f t="shared" si="16"/>
        <v>0</v>
      </c>
      <c r="N333" s="63"/>
    </row>
    <row r="334" spans="1:14">
      <c r="A334" s="43"/>
      <c r="B334" s="43"/>
      <c r="C334" s="36" t="s">
        <v>85</v>
      </c>
      <c r="D334" s="43"/>
      <c r="E334" s="51">
        <f t="shared" si="13"/>
        <v>0</v>
      </c>
      <c r="F334" s="52"/>
      <c r="G334" s="52"/>
      <c r="H334" s="52"/>
      <c r="I334" s="51" cm="1">
        <f t="array" ref="I334">_xlfn.SWITCH(D334,"C-Flute",(F334+G334)*2+15,"BC-Flute",(F334+G334)*2+11,0)</f>
        <v>0</v>
      </c>
      <c r="J334" s="51" cm="1">
        <f t="array" ref="J334">_xlfn.SWITCH(D334,"C-Flute",(G334+H334)-10,"BC-Flute",(G334+H334)-16,0)</f>
        <v>0</v>
      </c>
      <c r="K334" s="53">
        <f t="shared" si="14"/>
        <v>0</v>
      </c>
      <c r="L334" s="54">
        <f t="shared" si="15"/>
        <v>0</v>
      </c>
      <c r="M334" s="55">
        <f t="shared" si="16"/>
        <v>0</v>
      </c>
      <c r="N334" s="63"/>
    </row>
    <row r="335" spans="1:14">
      <c r="A335" s="43"/>
      <c r="B335" s="43"/>
      <c r="C335" s="36" t="s">
        <v>85</v>
      </c>
      <c r="D335" s="43"/>
      <c r="E335" s="51">
        <f t="shared" si="13"/>
        <v>0</v>
      </c>
      <c r="F335" s="52"/>
      <c r="G335" s="52"/>
      <c r="H335" s="52"/>
      <c r="I335" s="51" cm="1">
        <f t="array" ref="I335">_xlfn.SWITCH(D335,"C-Flute",(F335+G335)*2+15,"BC-Flute",(F335+G335)*2+11,0)</f>
        <v>0</v>
      </c>
      <c r="J335" s="51" cm="1">
        <f t="array" ref="J335">_xlfn.SWITCH(D335,"C-Flute",(G335+H335)-10,"BC-Flute",(G335+H335)-16,0)</f>
        <v>0</v>
      </c>
      <c r="K335" s="53">
        <f t="shared" si="14"/>
        <v>0</v>
      </c>
      <c r="L335" s="54">
        <f t="shared" si="15"/>
        <v>0</v>
      </c>
      <c r="M335" s="55">
        <f t="shared" si="16"/>
        <v>0</v>
      </c>
      <c r="N335" s="63"/>
    </row>
    <row r="336" spans="1:14">
      <c r="A336" s="43"/>
      <c r="B336" s="43"/>
      <c r="C336" s="36" t="s">
        <v>85</v>
      </c>
      <c r="D336" s="43"/>
      <c r="E336" s="51">
        <f t="shared" si="13"/>
        <v>0</v>
      </c>
      <c r="F336" s="52"/>
      <c r="G336" s="52"/>
      <c r="H336" s="52"/>
      <c r="I336" s="51" cm="1">
        <f t="array" ref="I336">_xlfn.SWITCH(D336,"C-Flute",(F336+G336)*2+15,"BC-Flute",(F336+G336)*2+11,0)</f>
        <v>0</v>
      </c>
      <c r="J336" s="51" cm="1">
        <f t="array" ref="J336">_xlfn.SWITCH(D336,"C-Flute",(G336+H336)-10,"BC-Flute",(G336+H336)-16,0)</f>
        <v>0</v>
      </c>
      <c r="K336" s="53">
        <f t="shared" si="14"/>
        <v>0</v>
      </c>
      <c r="L336" s="54">
        <f t="shared" si="15"/>
        <v>0</v>
      </c>
      <c r="M336" s="55">
        <f t="shared" si="16"/>
        <v>0</v>
      </c>
      <c r="N336" s="63"/>
    </row>
    <row r="337" spans="1:14">
      <c r="A337" s="43"/>
      <c r="B337" s="43"/>
      <c r="C337" s="36" t="s">
        <v>85</v>
      </c>
      <c r="D337" s="43"/>
      <c r="E337" s="51">
        <f t="shared" ref="E337:E400" si="17">IFERROR(VLOOKUP(D337,$I$3:$J$5,2,FALSE),0)</f>
        <v>0</v>
      </c>
      <c r="F337" s="52"/>
      <c r="G337" s="52"/>
      <c r="H337" s="52"/>
      <c r="I337" s="51" cm="1">
        <f t="array" ref="I337">_xlfn.SWITCH(D337,"C-Flute",(F337+G337)*2+15,"BC-Flute",(F337+G337)*2+11,0)</f>
        <v>0</v>
      </c>
      <c r="J337" s="51" cm="1">
        <f t="array" ref="J337">_xlfn.SWITCH(D337,"C-Flute",(G337+H337)-10,"BC-Flute",(G337+H337)-16,0)</f>
        <v>0</v>
      </c>
      <c r="K337" s="53">
        <f t="shared" si="14"/>
        <v>0</v>
      </c>
      <c r="L337" s="54">
        <f t="shared" si="15"/>
        <v>0</v>
      </c>
      <c r="M337" s="55">
        <f t="shared" si="16"/>
        <v>0</v>
      </c>
      <c r="N337" s="63"/>
    </row>
    <row r="338" spans="1:14">
      <c r="A338" s="43"/>
      <c r="B338" s="43"/>
      <c r="C338" s="36" t="s">
        <v>85</v>
      </c>
      <c r="D338" s="43"/>
      <c r="E338" s="51">
        <f t="shared" si="17"/>
        <v>0</v>
      </c>
      <c r="F338" s="52"/>
      <c r="G338" s="52"/>
      <c r="H338" s="52"/>
      <c r="I338" s="51" cm="1">
        <f t="array" ref="I338">_xlfn.SWITCH(D338,"C-Flute",(F338+G338)*2+15,"BC-Flute",(F338+G338)*2+11,0)</f>
        <v>0</v>
      </c>
      <c r="J338" s="51" cm="1">
        <f t="array" ref="J338">_xlfn.SWITCH(D338,"C-Flute",(G338+H338)-10,"BC-Flute",(G338+H338)-16,0)</f>
        <v>0</v>
      </c>
      <c r="K338" s="53">
        <f t="shared" ref="K338:K401" si="18">I338*J338*(1+10%)/1000000</f>
        <v>0</v>
      </c>
      <c r="L338" s="54">
        <f t="shared" ref="L338:L401" si="19">IFERROR(K338*IFERROR(VLOOKUP(D338,$I$3:$L$5,4,FALSE),"N/A"),0)</f>
        <v>0</v>
      </c>
      <c r="M338" s="55">
        <f t="shared" ref="M338:M401" si="20">IFERROR(L338/$M$4,0)</f>
        <v>0</v>
      </c>
      <c r="N338" s="63"/>
    </row>
    <row r="339" spans="1:14">
      <c r="A339" s="43"/>
      <c r="B339" s="43"/>
      <c r="C339" s="36" t="s">
        <v>85</v>
      </c>
      <c r="D339" s="43"/>
      <c r="E339" s="51">
        <f t="shared" si="17"/>
        <v>0</v>
      </c>
      <c r="F339" s="52"/>
      <c r="G339" s="52"/>
      <c r="H339" s="52"/>
      <c r="I339" s="51" cm="1">
        <f t="array" ref="I339">_xlfn.SWITCH(D339,"C-Flute",(F339+G339)*2+15,"BC-Flute",(F339+G339)*2+11,0)</f>
        <v>0</v>
      </c>
      <c r="J339" s="51" cm="1">
        <f t="array" ref="J339">_xlfn.SWITCH(D339,"C-Flute",(G339+H339)-10,"BC-Flute",(G339+H339)-16,0)</f>
        <v>0</v>
      </c>
      <c r="K339" s="53">
        <f t="shared" si="18"/>
        <v>0</v>
      </c>
      <c r="L339" s="54">
        <f t="shared" si="19"/>
        <v>0</v>
      </c>
      <c r="M339" s="55">
        <f t="shared" si="20"/>
        <v>0</v>
      </c>
      <c r="N339" s="63"/>
    </row>
    <row r="340" spans="1:14">
      <c r="A340" s="43"/>
      <c r="B340" s="43"/>
      <c r="C340" s="36" t="s">
        <v>85</v>
      </c>
      <c r="D340" s="43"/>
      <c r="E340" s="51">
        <f t="shared" si="17"/>
        <v>0</v>
      </c>
      <c r="F340" s="52"/>
      <c r="G340" s="52"/>
      <c r="H340" s="52"/>
      <c r="I340" s="51" cm="1">
        <f t="array" ref="I340">_xlfn.SWITCH(D340,"C-Flute",(F340+G340)*2+15,"BC-Flute",(F340+G340)*2+11,0)</f>
        <v>0</v>
      </c>
      <c r="J340" s="51" cm="1">
        <f t="array" ref="J340">_xlfn.SWITCH(D340,"C-Flute",(G340+H340)-10,"BC-Flute",(G340+H340)-16,0)</f>
        <v>0</v>
      </c>
      <c r="K340" s="53">
        <f t="shared" si="18"/>
        <v>0</v>
      </c>
      <c r="L340" s="54">
        <f t="shared" si="19"/>
        <v>0</v>
      </c>
      <c r="M340" s="55">
        <f t="shared" si="20"/>
        <v>0</v>
      </c>
      <c r="N340" s="63"/>
    </row>
    <row r="341" spans="1:14">
      <c r="A341" s="43"/>
      <c r="B341" s="43"/>
      <c r="C341" s="36" t="s">
        <v>85</v>
      </c>
      <c r="D341" s="43"/>
      <c r="E341" s="51">
        <f t="shared" si="17"/>
        <v>0</v>
      </c>
      <c r="F341" s="52"/>
      <c r="G341" s="52"/>
      <c r="H341" s="52"/>
      <c r="I341" s="51" cm="1">
        <f t="array" ref="I341">_xlfn.SWITCH(D341,"C-Flute",(F341+G341)*2+15,"BC-Flute",(F341+G341)*2+11,0)</f>
        <v>0</v>
      </c>
      <c r="J341" s="51" cm="1">
        <f t="array" ref="J341">_xlfn.SWITCH(D341,"C-Flute",(G341+H341)-10,"BC-Flute",(G341+H341)-16,0)</f>
        <v>0</v>
      </c>
      <c r="K341" s="53">
        <f t="shared" si="18"/>
        <v>0</v>
      </c>
      <c r="L341" s="54">
        <f t="shared" si="19"/>
        <v>0</v>
      </c>
      <c r="M341" s="55">
        <f t="shared" si="20"/>
        <v>0</v>
      </c>
      <c r="N341" s="63"/>
    </row>
    <row r="342" spans="1:14">
      <c r="A342" s="43"/>
      <c r="B342" s="43"/>
      <c r="C342" s="36" t="s">
        <v>85</v>
      </c>
      <c r="D342" s="43"/>
      <c r="E342" s="51">
        <f t="shared" si="17"/>
        <v>0</v>
      </c>
      <c r="F342" s="52"/>
      <c r="G342" s="52"/>
      <c r="H342" s="52"/>
      <c r="I342" s="51" cm="1">
        <f t="array" ref="I342">_xlfn.SWITCH(D342,"C-Flute",(F342+G342)*2+15,"BC-Flute",(F342+G342)*2+11,0)</f>
        <v>0</v>
      </c>
      <c r="J342" s="51" cm="1">
        <f t="array" ref="J342">_xlfn.SWITCH(D342,"C-Flute",(G342+H342)-10,"BC-Flute",(G342+H342)-16,0)</f>
        <v>0</v>
      </c>
      <c r="K342" s="53">
        <f t="shared" si="18"/>
        <v>0</v>
      </c>
      <c r="L342" s="54">
        <f t="shared" si="19"/>
        <v>0</v>
      </c>
      <c r="M342" s="55">
        <f t="shared" si="20"/>
        <v>0</v>
      </c>
      <c r="N342" s="63"/>
    </row>
    <row r="343" spans="1:14">
      <c r="A343" s="43"/>
      <c r="B343" s="43"/>
      <c r="C343" s="36" t="s">
        <v>85</v>
      </c>
      <c r="D343" s="43"/>
      <c r="E343" s="51">
        <f t="shared" si="17"/>
        <v>0</v>
      </c>
      <c r="F343" s="52"/>
      <c r="G343" s="52"/>
      <c r="H343" s="52"/>
      <c r="I343" s="51" cm="1">
        <f t="array" ref="I343">_xlfn.SWITCH(D343,"C-Flute",(F343+G343)*2+15,"BC-Flute",(F343+G343)*2+11,0)</f>
        <v>0</v>
      </c>
      <c r="J343" s="51" cm="1">
        <f t="array" ref="J343">_xlfn.SWITCH(D343,"C-Flute",(G343+H343)-10,"BC-Flute",(G343+H343)-16,0)</f>
        <v>0</v>
      </c>
      <c r="K343" s="53">
        <f t="shared" si="18"/>
        <v>0</v>
      </c>
      <c r="L343" s="54">
        <f t="shared" si="19"/>
        <v>0</v>
      </c>
      <c r="M343" s="55">
        <f t="shared" si="20"/>
        <v>0</v>
      </c>
      <c r="N343" s="63"/>
    </row>
    <row r="344" spans="1:14">
      <c r="A344" s="43"/>
      <c r="B344" s="43"/>
      <c r="C344" s="36" t="s">
        <v>85</v>
      </c>
      <c r="D344" s="43"/>
      <c r="E344" s="51">
        <f t="shared" si="17"/>
        <v>0</v>
      </c>
      <c r="F344" s="52"/>
      <c r="G344" s="52"/>
      <c r="H344" s="52"/>
      <c r="I344" s="51" cm="1">
        <f t="array" ref="I344">_xlfn.SWITCH(D344,"C-Flute",(F344+G344)*2+15,"BC-Flute",(F344+G344)*2+11,0)</f>
        <v>0</v>
      </c>
      <c r="J344" s="51" cm="1">
        <f t="array" ref="J344">_xlfn.SWITCH(D344,"C-Flute",(G344+H344)-10,"BC-Flute",(G344+H344)-16,0)</f>
        <v>0</v>
      </c>
      <c r="K344" s="53">
        <f t="shared" si="18"/>
        <v>0</v>
      </c>
      <c r="L344" s="54">
        <f t="shared" si="19"/>
        <v>0</v>
      </c>
      <c r="M344" s="55">
        <f t="shared" si="20"/>
        <v>0</v>
      </c>
      <c r="N344" s="63"/>
    </row>
    <row r="345" spans="1:14">
      <c r="A345" s="43"/>
      <c r="B345" s="43"/>
      <c r="C345" s="36" t="s">
        <v>85</v>
      </c>
      <c r="D345" s="43"/>
      <c r="E345" s="51">
        <f t="shared" si="17"/>
        <v>0</v>
      </c>
      <c r="F345" s="52"/>
      <c r="G345" s="52"/>
      <c r="H345" s="52"/>
      <c r="I345" s="51" cm="1">
        <f t="array" ref="I345">_xlfn.SWITCH(D345,"C-Flute",(F345+G345)*2+15,"BC-Flute",(F345+G345)*2+11,0)</f>
        <v>0</v>
      </c>
      <c r="J345" s="51" cm="1">
        <f t="array" ref="J345">_xlfn.SWITCH(D345,"C-Flute",(G345+H345)-10,"BC-Flute",(G345+H345)-16,0)</f>
        <v>0</v>
      </c>
      <c r="K345" s="53">
        <f t="shared" si="18"/>
        <v>0</v>
      </c>
      <c r="L345" s="54">
        <f t="shared" si="19"/>
        <v>0</v>
      </c>
      <c r="M345" s="55">
        <f t="shared" si="20"/>
        <v>0</v>
      </c>
      <c r="N345" s="63"/>
    </row>
    <row r="346" spans="1:14">
      <c r="A346" s="43"/>
      <c r="B346" s="43"/>
      <c r="C346" s="36" t="s">
        <v>85</v>
      </c>
      <c r="D346" s="43"/>
      <c r="E346" s="51">
        <f t="shared" si="17"/>
        <v>0</v>
      </c>
      <c r="F346" s="52"/>
      <c r="G346" s="52"/>
      <c r="H346" s="52"/>
      <c r="I346" s="51" cm="1">
        <f t="array" ref="I346">_xlfn.SWITCH(D346,"C-Flute",(F346+G346)*2+15,"BC-Flute",(F346+G346)*2+11,0)</f>
        <v>0</v>
      </c>
      <c r="J346" s="51" cm="1">
        <f t="array" ref="J346">_xlfn.SWITCH(D346,"C-Flute",(G346+H346)-10,"BC-Flute",(G346+H346)-16,0)</f>
        <v>0</v>
      </c>
      <c r="K346" s="53">
        <f t="shared" si="18"/>
        <v>0</v>
      </c>
      <c r="L346" s="54">
        <f t="shared" si="19"/>
        <v>0</v>
      </c>
      <c r="M346" s="55">
        <f t="shared" si="20"/>
        <v>0</v>
      </c>
      <c r="N346" s="63"/>
    </row>
    <row r="347" spans="1:14">
      <c r="A347" s="43"/>
      <c r="B347" s="43"/>
      <c r="C347" s="36" t="s">
        <v>85</v>
      </c>
      <c r="D347" s="43"/>
      <c r="E347" s="51">
        <f t="shared" si="17"/>
        <v>0</v>
      </c>
      <c r="F347" s="52"/>
      <c r="G347" s="52"/>
      <c r="H347" s="52"/>
      <c r="I347" s="51" cm="1">
        <f t="array" ref="I347">_xlfn.SWITCH(D347,"C-Flute",(F347+G347)*2+15,"BC-Flute",(F347+G347)*2+11,0)</f>
        <v>0</v>
      </c>
      <c r="J347" s="51" cm="1">
        <f t="array" ref="J347">_xlfn.SWITCH(D347,"C-Flute",(G347+H347)-10,"BC-Flute",(G347+H347)-16,0)</f>
        <v>0</v>
      </c>
      <c r="K347" s="53">
        <f t="shared" si="18"/>
        <v>0</v>
      </c>
      <c r="L347" s="54">
        <f t="shared" si="19"/>
        <v>0</v>
      </c>
      <c r="M347" s="55">
        <f t="shared" si="20"/>
        <v>0</v>
      </c>
      <c r="N347" s="63"/>
    </row>
    <row r="348" spans="1:14">
      <c r="A348" s="43"/>
      <c r="B348" s="43"/>
      <c r="C348" s="36" t="s">
        <v>85</v>
      </c>
      <c r="D348" s="43"/>
      <c r="E348" s="51">
        <f t="shared" si="17"/>
        <v>0</v>
      </c>
      <c r="F348" s="52"/>
      <c r="G348" s="52"/>
      <c r="H348" s="52"/>
      <c r="I348" s="51" cm="1">
        <f t="array" ref="I348">_xlfn.SWITCH(D348,"C-Flute",(F348+G348)*2+15,"BC-Flute",(F348+G348)*2+11,0)</f>
        <v>0</v>
      </c>
      <c r="J348" s="51" cm="1">
        <f t="array" ref="J348">_xlfn.SWITCH(D348,"C-Flute",(G348+H348)-10,"BC-Flute",(G348+H348)-16,0)</f>
        <v>0</v>
      </c>
      <c r="K348" s="53">
        <f t="shared" si="18"/>
        <v>0</v>
      </c>
      <c r="L348" s="54">
        <f t="shared" si="19"/>
        <v>0</v>
      </c>
      <c r="M348" s="55">
        <f t="shared" si="20"/>
        <v>0</v>
      </c>
      <c r="N348" s="63"/>
    </row>
    <row r="349" spans="1:14">
      <c r="A349" s="43"/>
      <c r="B349" s="43"/>
      <c r="C349" s="36" t="s">
        <v>85</v>
      </c>
      <c r="D349" s="43"/>
      <c r="E349" s="51">
        <f t="shared" si="17"/>
        <v>0</v>
      </c>
      <c r="F349" s="52"/>
      <c r="G349" s="52"/>
      <c r="H349" s="52"/>
      <c r="I349" s="51" cm="1">
        <f t="array" ref="I349">_xlfn.SWITCH(D349,"C-Flute",(F349+G349)*2+15,"BC-Flute",(F349+G349)*2+11,0)</f>
        <v>0</v>
      </c>
      <c r="J349" s="51" cm="1">
        <f t="array" ref="J349">_xlfn.SWITCH(D349,"C-Flute",(G349+H349)-10,"BC-Flute",(G349+H349)-16,0)</f>
        <v>0</v>
      </c>
      <c r="K349" s="53">
        <f t="shared" si="18"/>
        <v>0</v>
      </c>
      <c r="L349" s="54">
        <f t="shared" si="19"/>
        <v>0</v>
      </c>
      <c r="M349" s="55">
        <f t="shared" si="20"/>
        <v>0</v>
      </c>
      <c r="N349" s="63"/>
    </row>
    <row r="350" spans="1:14">
      <c r="A350" s="43"/>
      <c r="B350" s="43"/>
      <c r="C350" s="36" t="s">
        <v>85</v>
      </c>
      <c r="D350" s="43"/>
      <c r="E350" s="51">
        <f t="shared" si="17"/>
        <v>0</v>
      </c>
      <c r="F350" s="52"/>
      <c r="G350" s="52"/>
      <c r="H350" s="52"/>
      <c r="I350" s="51" cm="1">
        <f t="array" ref="I350">_xlfn.SWITCH(D350,"C-Flute",(F350+G350)*2+15,"BC-Flute",(F350+G350)*2+11,0)</f>
        <v>0</v>
      </c>
      <c r="J350" s="51" cm="1">
        <f t="array" ref="J350">_xlfn.SWITCH(D350,"C-Flute",(G350+H350)-10,"BC-Flute",(G350+H350)-16,0)</f>
        <v>0</v>
      </c>
      <c r="K350" s="53">
        <f t="shared" si="18"/>
        <v>0</v>
      </c>
      <c r="L350" s="54">
        <f t="shared" si="19"/>
        <v>0</v>
      </c>
      <c r="M350" s="55">
        <f t="shared" si="20"/>
        <v>0</v>
      </c>
      <c r="N350" s="63"/>
    </row>
    <row r="351" spans="1:14">
      <c r="A351" s="43"/>
      <c r="B351" s="43"/>
      <c r="C351" s="36" t="s">
        <v>85</v>
      </c>
      <c r="D351" s="43"/>
      <c r="E351" s="51">
        <f t="shared" si="17"/>
        <v>0</v>
      </c>
      <c r="F351" s="52"/>
      <c r="G351" s="52"/>
      <c r="H351" s="52"/>
      <c r="I351" s="51" cm="1">
        <f t="array" ref="I351">_xlfn.SWITCH(D351,"C-Flute",(F351+G351)*2+15,"BC-Flute",(F351+G351)*2+11,0)</f>
        <v>0</v>
      </c>
      <c r="J351" s="51" cm="1">
        <f t="array" ref="J351">_xlfn.SWITCH(D351,"C-Flute",(G351+H351)-10,"BC-Flute",(G351+H351)-16,0)</f>
        <v>0</v>
      </c>
      <c r="K351" s="53">
        <f t="shared" si="18"/>
        <v>0</v>
      </c>
      <c r="L351" s="54">
        <f t="shared" si="19"/>
        <v>0</v>
      </c>
      <c r="M351" s="55">
        <f t="shared" si="20"/>
        <v>0</v>
      </c>
      <c r="N351" s="63"/>
    </row>
    <row r="352" spans="1:14">
      <c r="A352" s="43"/>
      <c r="B352" s="43"/>
      <c r="C352" s="36" t="s">
        <v>85</v>
      </c>
      <c r="D352" s="43"/>
      <c r="E352" s="51">
        <f t="shared" si="17"/>
        <v>0</v>
      </c>
      <c r="F352" s="52"/>
      <c r="G352" s="52"/>
      <c r="H352" s="52"/>
      <c r="I352" s="51" cm="1">
        <f t="array" ref="I352">_xlfn.SWITCH(D352,"C-Flute",(F352+G352)*2+15,"BC-Flute",(F352+G352)*2+11,0)</f>
        <v>0</v>
      </c>
      <c r="J352" s="51" cm="1">
        <f t="array" ref="J352">_xlfn.SWITCH(D352,"C-Flute",(G352+H352)-10,"BC-Flute",(G352+H352)-16,0)</f>
        <v>0</v>
      </c>
      <c r="K352" s="53">
        <f t="shared" si="18"/>
        <v>0</v>
      </c>
      <c r="L352" s="54">
        <f t="shared" si="19"/>
        <v>0</v>
      </c>
      <c r="M352" s="55">
        <f t="shared" si="20"/>
        <v>0</v>
      </c>
      <c r="N352" s="63"/>
    </row>
    <row r="353" spans="1:14">
      <c r="A353" s="43"/>
      <c r="B353" s="43"/>
      <c r="C353" s="36" t="s">
        <v>85</v>
      </c>
      <c r="D353" s="43"/>
      <c r="E353" s="51">
        <f t="shared" si="17"/>
        <v>0</v>
      </c>
      <c r="F353" s="52"/>
      <c r="G353" s="52"/>
      <c r="H353" s="52"/>
      <c r="I353" s="51" cm="1">
        <f t="array" ref="I353">_xlfn.SWITCH(D353,"C-Flute",(F353+G353)*2+15,"BC-Flute",(F353+G353)*2+11,0)</f>
        <v>0</v>
      </c>
      <c r="J353" s="51" cm="1">
        <f t="array" ref="J353">_xlfn.SWITCH(D353,"C-Flute",(G353+H353)-10,"BC-Flute",(G353+H353)-16,0)</f>
        <v>0</v>
      </c>
      <c r="K353" s="53">
        <f t="shared" si="18"/>
        <v>0</v>
      </c>
      <c r="L353" s="54">
        <f t="shared" si="19"/>
        <v>0</v>
      </c>
      <c r="M353" s="55">
        <f t="shared" si="20"/>
        <v>0</v>
      </c>
      <c r="N353" s="63"/>
    </row>
    <row r="354" spans="1:14">
      <c r="A354" s="43"/>
      <c r="B354" s="43"/>
      <c r="C354" s="36" t="s">
        <v>85</v>
      </c>
      <c r="D354" s="43"/>
      <c r="E354" s="51">
        <f t="shared" si="17"/>
        <v>0</v>
      </c>
      <c r="F354" s="52"/>
      <c r="G354" s="52"/>
      <c r="H354" s="52"/>
      <c r="I354" s="51" cm="1">
        <f t="array" ref="I354">_xlfn.SWITCH(D354,"C-Flute",(F354+G354)*2+15,"BC-Flute",(F354+G354)*2+11,0)</f>
        <v>0</v>
      </c>
      <c r="J354" s="51" cm="1">
        <f t="array" ref="J354">_xlfn.SWITCH(D354,"C-Flute",(G354+H354)-10,"BC-Flute",(G354+H354)-16,0)</f>
        <v>0</v>
      </c>
      <c r="K354" s="53">
        <f t="shared" si="18"/>
        <v>0</v>
      </c>
      <c r="L354" s="54">
        <f t="shared" si="19"/>
        <v>0</v>
      </c>
      <c r="M354" s="55">
        <f t="shared" si="20"/>
        <v>0</v>
      </c>
      <c r="N354" s="63"/>
    </row>
    <row r="355" spans="1:14">
      <c r="A355" s="43"/>
      <c r="B355" s="43"/>
      <c r="C355" s="36" t="s">
        <v>85</v>
      </c>
      <c r="D355" s="43"/>
      <c r="E355" s="51">
        <f t="shared" si="17"/>
        <v>0</v>
      </c>
      <c r="F355" s="52"/>
      <c r="G355" s="52"/>
      <c r="H355" s="52"/>
      <c r="I355" s="51" cm="1">
        <f t="array" ref="I355">_xlfn.SWITCH(D355,"C-Flute",(F355+G355)*2+15,"BC-Flute",(F355+G355)*2+11,0)</f>
        <v>0</v>
      </c>
      <c r="J355" s="51" cm="1">
        <f t="array" ref="J355">_xlfn.SWITCH(D355,"C-Flute",(G355+H355)-10,"BC-Flute",(G355+H355)-16,0)</f>
        <v>0</v>
      </c>
      <c r="K355" s="53">
        <f t="shared" si="18"/>
        <v>0</v>
      </c>
      <c r="L355" s="54">
        <f t="shared" si="19"/>
        <v>0</v>
      </c>
      <c r="M355" s="55">
        <f t="shared" si="20"/>
        <v>0</v>
      </c>
      <c r="N355" s="63"/>
    </row>
    <row r="356" spans="1:14">
      <c r="A356" s="43"/>
      <c r="B356" s="43"/>
      <c r="C356" s="36" t="s">
        <v>85</v>
      </c>
      <c r="D356" s="43"/>
      <c r="E356" s="51">
        <f t="shared" si="17"/>
        <v>0</v>
      </c>
      <c r="F356" s="52"/>
      <c r="G356" s="52"/>
      <c r="H356" s="52"/>
      <c r="I356" s="51" cm="1">
        <f t="array" ref="I356">_xlfn.SWITCH(D356,"C-Flute",(F356+G356)*2+15,"BC-Flute",(F356+G356)*2+11,0)</f>
        <v>0</v>
      </c>
      <c r="J356" s="51" cm="1">
        <f t="array" ref="J356">_xlfn.SWITCH(D356,"C-Flute",(G356+H356)-10,"BC-Flute",(G356+H356)-16,0)</f>
        <v>0</v>
      </c>
      <c r="K356" s="53">
        <f t="shared" si="18"/>
        <v>0</v>
      </c>
      <c r="L356" s="54">
        <f t="shared" si="19"/>
        <v>0</v>
      </c>
      <c r="M356" s="55">
        <f t="shared" si="20"/>
        <v>0</v>
      </c>
      <c r="N356" s="63"/>
    </row>
    <row r="357" spans="1:14">
      <c r="A357" s="43"/>
      <c r="B357" s="43"/>
      <c r="C357" s="36" t="s">
        <v>85</v>
      </c>
      <c r="D357" s="43"/>
      <c r="E357" s="51">
        <f t="shared" si="17"/>
        <v>0</v>
      </c>
      <c r="F357" s="52"/>
      <c r="G357" s="52"/>
      <c r="H357" s="52"/>
      <c r="I357" s="51" cm="1">
        <f t="array" ref="I357">_xlfn.SWITCH(D357,"C-Flute",(F357+G357)*2+15,"BC-Flute",(F357+G357)*2+11,0)</f>
        <v>0</v>
      </c>
      <c r="J357" s="51" cm="1">
        <f t="array" ref="J357">_xlfn.SWITCH(D357,"C-Flute",(G357+H357)-10,"BC-Flute",(G357+H357)-16,0)</f>
        <v>0</v>
      </c>
      <c r="K357" s="53">
        <f t="shared" si="18"/>
        <v>0</v>
      </c>
      <c r="L357" s="54">
        <f t="shared" si="19"/>
        <v>0</v>
      </c>
      <c r="M357" s="55">
        <f t="shared" si="20"/>
        <v>0</v>
      </c>
      <c r="N357" s="63"/>
    </row>
    <row r="358" spans="1:14">
      <c r="A358" s="43"/>
      <c r="B358" s="43"/>
      <c r="C358" s="36" t="s">
        <v>85</v>
      </c>
      <c r="D358" s="43"/>
      <c r="E358" s="51">
        <f t="shared" si="17"/>
        <v>0</v>
      </c>
      <c r="F358" s="52"/>
      <c r="G358" s="52"/>
      <c r="H358" s="52"/>
      <c r="I358" s="51" cm="1">
        <f t="array" ref="I358">_xlfn.SWITCH(D358,"C-Flute",(F358+G358)*2+15,"BC-Flute",(F358+G358)*2+11,0)</f>
        <v>0</v>
      </c>
      <c r="J358" s="51" cm="1">
        <f t="array" ref="J358">_xlfn.SWITCH(D358,"C-Flute",(G358+H358)-10,"BC-Flute",(G358+H358)-16,0)</f>
        <v>0</v>
      </c>
      <c r="K358" s="53">
        <f t="shared" si="18"/>
        <v>0</v>
      </c>
      <c r="L358" s="54">
        <f t="shared" si="19"/>
        <v>0</v>
      </c>
      <c r="M358" s="55">
        <f t="shared" si="20"/>
        <v>0</v>
      </c>
      <c r="N358" s="63"/>
    </row>
    <row r="359" spans="1:14">
      <c r="A359" s="43"/>
      <c r="B359" s="43"/>
      <c r="C359" s="36" t="s">
        <v>85</v>
      </c>
      <c r="D359" s="43"/>
      <c r="E359" s="51">
        <f t="shared" si="17"/>
        <v>0</v>
      </c>
      <c r="F359" s="52"/>
      <c r="G359" s="52"/>
      <c r="H359" s="52"/>
      <c r="I359" s="51" cm="1">
        <f t="array" ref="I359">_xlfn.SWITCH(D359,"C-Flute",(F359+G359)*2+15,"BC-Flute",(F359+G359)*2+11,0)</f>
        <v>0</v>
      </c>
      <c r="J359" s="51" cm="1">
        <f t="array" ref="J359">_xlfn.SWITCH(D359,"C-Flute",(G359+H359)-10,"BC-Flute",(G359+H359)-16,0)</f>
        <v>0</v>
      </c>
      <c r="K359" s="53">
        <f t="shared" si="18"/>
        <v>0</v>
      </c>
      <c r="L359" s="54">
        <f t="shared" si="19"/>
        <v>0</v>
      </c>
      <c r="M359" s="55">
        <f t="shared" si="20"/>
        <v>0</v>
      </c>
      <c r="N359" s="63"/>
    </row>
    <row r="360" spans="1:14">
      <c r="A360" s="43"/>
      <c r="B360" s="43"/>
      <c r="C360" s="36" t="s">
        <v>85</v>
      </c>
      <c r="D360" s="43"/>
      <c r="E360" s="51">
        <f t="shared" si="17"/>
        <v>0</v>
      </c>
      <c r="F360" s="52"/>
      <c r="G360" s="52"/>
      <c r="H360" s="52"/>
      <c r="I360" s="51" cm="1">
        <f t="array" ref="I360">_xlfn.SWITCH(D360,"C-Flute",(F360+G360)*2+15,"BC-Flute",(F360+G360)*2+11,0)</f>
        <v>0</v>
      </c>
      <c r="J360" s="51" cm="1">
        <f t="array" ref="J360">_xlfn.SWITCH(D360,"C-Flute",(G360+H360)-10,"BC-Flute",(G360+H360)-16,0)</f>
        <v>0</v>
      </c>
      <c r="K360" s="53">
        <f t="shared" si="18"/>
        <v>0</v>
      </c>
      <c r="L360" s="54">
        <f t="shared" si="19"/>
        <v>0</v>
      </c>
      <c r="M360" s="55">
        <f t="shared" si="20"/>
        <v>0</v>
      </c>
      <c r="N360" s="63"/>
    </row>
    <row r="361" spans="1:14">
      <c r="A361" s="43"/>
      <c r="B361" s="43"/>
      <c r="C361" s="36" t="s">
        <v>85</v>
      </c>
      <c r="D361" s="43"/>
      <c r="E361" s="51">
        <f t="shared" si="17"/>
        <v>0</v>
      </c>
      <c r="F361" s="52"/>
      <c r="G361" s="52"/>
      <c r="H361" s="52"/>
      <c r="I361" s="51" cm="1">
        <f t="array" ref="I361">_xlfn.SWITCH(D361,"C-Flute",(F361+G361)*2+15,"BC-Flute",(F361+G361)*2+11,0)</f>
        <v>0</v>
      </c>
      <c r="J361" s="51" cm="1">
        <f t="array" ref="J361">_xlfn.SWITCH(D361,"C-Flute",(G361+H361)-10,"BC-Flute",(G361+H361)-16,0)</f>
        <v>0</v>
      </c>
      <c r="K361" s="53">
        <f t="shared" si="18"/>
        <v>0</v>
      </c>
      <c r="L361" s="54">
        <f t="shared" si="19"/>
        <v>0</v>
      </c>
      <c r="M361" s="55">
        <f t="shared" si="20"/>
        <v>0</v>
      </c>
      <c r="N361" s="63"/>
    </row>
    <row r="362" spans="1:14">
      <c r="A362" s="43"/>
      <c r="B362" s="43"/>
      <c r="C362" s="36" t="s">
        <v>85</v>
      </c>
      <c r="D362" s="43"/>
      <c r="E362" s="51">
        <f t="shared" si="17"/>
        <v>0</v>
      </c>
      <c r="F362" s="52"/>
      <c r="G362" s="52"/>
      <c r="H362" s="52"/>
      <c r="I362" s="51" cm="1">
        <f t="array" ref="I362">_xlfn.SWITCH(D362,"C-Flute",(F362+G362)*2+15,"BC-Flute",(F362+G362)*2+11,0)</f>
        <v>0</v>
      </c>
      <c r="J362" s="51" cm="1">
        <f t="array" ref="J362">_xlfn.SWITCH(D362,"C-Flute",(G362+H362)-10,"BC-Flute",(G362+H362)-16,0)</f>
        <v>0</v>
      </c>
      <c r="K362" s="53">
        <f t="shared" si="18"/>
        <v>0</v>
      </c>
      <c r="L362" s="54">
        <f t="shared" si="19"/>
        <v>0</v>
      </c>
      <c r="M362" s="55">
        <f t="shared" si="20"/>
        <v>0</v>
      </c>
      <c r="N362" s="63"/>
    </row>
    <row r="363" spans="1:14">
      <c r="A363" s="43"/>
      <c r="B363" s="43"/>
      <c r="C363" s="36" t="s">
        <v>85</v>
      </c>
      <c r="D363" s="43"/>
      <c r="E363" s="51">
        <f t="shared" si="17"/>
        <v>0</v>
      </c>
      <c r="F363" s="52"/>
      <c r="G363" s="52"/>
      <c r="H363" s="52"/>
      <c r="I363" s="51" cm="1">
        <f t="array" ref="I363">_xlfn.SWITCH(D363,"C-Flute",(F363+G363)*2+15,"BC-Flute",(F363+G363)*2+11,0)</f>
        <v>0</v>
      </c>
      <c r="J363" s="51" cm="1">
        <f t="array" ref="J363">_xlfn.SWITCH(D363,"C-Flute",(G363+H363)-10,"BC-Flute",(G363+H363)-16,0)</f>
        <v>0</v>
      </c>
      <c r="K363" s="53">
        <f t="shared" si="18"/>
        <v>0</v>
      </c>
      <c r="L363" s="54">
        <f t="shared" si="19"/>
        <v>0</v>
      </c>
      <c r="M363" s="55">
        <f t="shared" si="20"/>
        <v>0</v>
      </c>
      <c r="N363" s="63"/>
    </row>
    <row r="364" spans="1:14">
      <c r="A364" s="43"/>
      <c r="B364" s="43"/>
      <c r="C364" s="36" t="s">
        <v>85</v>
      </c>
      <c r="D364" s="43"/>
      <c r="E364" s="51">
        <f t="shared" si="17"/>
        <v>0</v>
      </c>
      <c r="F364" s="52"/>
      <c r="G364" s="52"/>
      <c r="H364" s="52"/>
      <c r="I364" s="51" cm="1">
        <f t="array" ref="I364">_xlfn.SWITCH(D364,"C-Flute",(F364+G364)*2+15,"BC-Flute",(F364+G364)*2+11,0)</f>
        <v>0</v>
      </c>
      <c r="J364" s="51" cm="1">
        <f t="array" ref="J364">_xlfn.SWITCH(D364,"C-Flute",(G364+H364)-10,"BC-Flute",(G364+H364)-16,0)</f>
        <v>0</v>
      </c>
      <c r="K364" s="53">
        <f t="shared" si="18"/>
        <v>0</v>
      </c>
      <c r="L364" s="54">
        <f t="shared" si="19"/>
        <v>0</v>
      </c>
      <c r="M364" s="55">
        <f t="shared" si="20"/>
        <v>0</v>
      </c>
      <c r="N364" s="63"/>
    </row>
    <row r="365" spans="1:14">
      <c r="A365" s="43"/>
      <c r="B365" s="43"/>
      <c r="C365" s="36" t="s">
        <v>85</v>
      </c>
      <c r="D365" s="43"/>
      <c r="E365" s="51">
        <f t="shared" si="17"/>
        <v>0</v>
      </c>
      <c r="F365" s="52"/>
      <c r="G365" s="52"/>
      <c r="H365" s="52"/>
      <c r="I365" s="51" cm="1">
        <f t="array" ref="I365">_xlfn.SWITCH(D365,"C-Flute",(F365+G365)*2+15,"BC-Flute",(F365+G365)*2+11,0)</f>
        <v>0</v>
      </c>
      <c r="J365" s="51" cm="1">
        <f t="array" ref="J365">_xlfn.SWITCH(D365,"C-Flute",(G365+H365)-10,"BC-Flute",(G365+H365)-16,0)</f>
        <v>0</v>
      </c>
      <c r="K365" s="53">
        <f t="shared" si="18"/>
        <v>0</v>
      </c>
      <c r="L365" s="54">
        <f t="shared" si="19"/>
        <v>0</v>
      </c>
      <c r="M365" s="55">
        <f t="shared" si="20"/>
        <v>0</v>
      </c>
      <c r="N365" s="63"/>
    </row>
    <row r="366" spans="1:14">
      <c r="A366" s="43"/>
      <c r="B366" s="43"/>
      <c r="C366" s="36" t="s">
        <v>85</v>
      </c>
      <c r="D366" s="43"/>
      <c r="E366" s="51">
        <f t="shared" si="17"/>
        <v>0</v>
      </c>
      <c r="F366" s="52"/>
      <c r="G366" s="52"/>
      <c r="H366" s="52"/>
      <c r="I366" s="51" cm="1">
        <f t="array" ref="I366">_xlfn.SWITCH(D366,"C-Flute",(F366+G366)*2+15,"BC-Flute",(F366+G366)*2+11,0)</f>
        <v>0</v>
      </c>
      <c r="J366" s="51" cm="1">
        <f t="array" ref="J366">_xlfn.SWITCH(D366,"C-Flute",(G366+H366)-10,"BC-Flute",(G366+H366)-16,0)</f>
        <v>0</v>
      </c>
      <c r="K366" s="53">
        <f t="shared" si="18"/>
        <v>0</v>
      </c>
      <c r="L366" s="54">
        <f t="shared" si="19"/>
        <v>0</v>
      </c>
      <c r="M366" s="55">
        <f t="shared" si="20"/>
        <v>0</v>
      </c>
      <c r="N366" s="63"/>
    </row>
    <row r="367" spans="1:14">
      <c r="A367" s="43"/>
      <c r="B367" s="43"/>
      <c r="C367" s="36" t="s">
        <v>85</v>
      </c>
      <c r="D367" s="43"/>
      <c r="E367" s="51">
        <f t="shared" si="17"/>
        <v>0</v>
      </c>
      <c r="F367" s="52"/>
      <c r="G367" s="52"/>
      <c r="H367" s="52"/>
      <c r="I367" s="51" cm="1">
        <f t="array" ref="I367">_xlfn.SWITCH(D367,"C-Flute",(F367+G367)*2+15,"BC-Flute",(F367+G367)*2+11,0)</f>
        <v>0</v>
      </c>
      <c r="J367" s="51" cm="1">
        <f t="array" ref="J367">_xlfn.SWITCH(D367,"C-Flute",(G367+H367)-10,"BC-Flute",(G367+H367)-16,0)</f>
        <v>0</v>
      </c>
      <c r="K367" s="53">
        <f t="shared" si="18"/>
        <v>0</v>
      </c>
      <c r="L367" s="54">
        <f t="shared" si="19"/>
        <v>0</v>
      </c>
      <c r="M367" s="55">
        <f t="shared" si="20"/>
        <v>0</v>
      </c>
      <c r="N367" s="63"/>
    </row>
    <row r="368" spans="1:14">
      <c r="A368" s="43"/>
      <c r="B368" s="43"/>
      <c r="C368" s="36" t="s">
        <v>85</v>
      </c>
      <c r="D368" s="43"/>
      <c r="E368" s="51">
        <f t="shared" si="17"/>
        <v>0</v>
      </c>
      <c r="F368" s="52"/>
      <c r="G368" s="52"/>
      <c r="H368" s="52"/>
      <c r="I368" s="51" cm="1">
        <f t="array" ref="I368">_xlfn.SWITCH(D368,"C-Flute",(F368+G368)*2+15,"BC-Flute",(F368+G368)*2+11,0)</f>
        <v>0</v>
      </c>
      <c r="J368" s="51" cm="1">
        <f t="array" ref="J368">_xlfn.SWITCH(D368,"C-Flute",(G368+H368)-10,"BC-Flute",(G368+H368)-16,0)</f>
        <v>0</v>
      </c>
      <c r="K368" s="53">
        <f t="shared" si="18"/>
        <v>0</v>
      </c>
      <c r="L368" s="54">
        <f t="shared" si="19"/>
        <v>0</v>
      </c>
      <c r="M368" s="55">
        <f t="shared" si="20"/>
        <v>0</v>
      </c>
      <c r="N368" s="63"/>
    </row>
    <row r="369" spans="1:14">
      <c r="A369" s="43"/>
      <c r="B369" s="43"/>
      <c r="C369" s="36" t="s">
        <v>85</v>
      </c>
      <c r="D369" s="43"/>
      <c r="E369" s="51">
        <f t="shared" si="17"/>
        <v>0</v>
      </c>
      <c r="F369" s="52"/>
      <c r="G369" s="52"/>
      <c r="H369" s="52"/>
      <c r="I369" s="51" cm="1">
        <f t="array" ref="I369">_xlfn.SWITCH(D369,"C-Flute",(F369+G369)*2+15,"BC-Flute",(F369+G369)*2+11,0)</f>
        <v>0</v>
      </c>
      <c r="J369" s="51" cm="1">
        <f t="array" ref="J369">_xlfn.SWITCH(D369,"C-Flute",(G369+H369)-10,"BC-Flute",(G369+H369)-16,0)</f>
        <v>0</v>
      </c>
      <c r="K369" s="53">
        <f t="shared" si="18"/>
        <v>0</v>
      </c>
      <c r="L369" s="54">
        <f t="shared" si="19"/>
        <v>0</v>
      </c>
      <c r="M369" s="55">
        <f t="shared" si="20"/>
        <v>0</v>
      </c>
      <c r="N369" s="63"/>
    </row>
    <row r="370" spans="1:14">
      <c r="A370" s="43"/>
      <c r="B370" s="43"/>
      <c r="C370" s="36" t="s">
        <v>85</v>
      </c>
      <c r="D370" s="43"/>
      <c r="E370" s="51">
        <f t="shared" si="17"/>
        <v>0</v>
      </c>
      <c r="F370" s="52"/>
      <c r="G370" s="52"/>
      <c r="H370" s="52"/>
      <c r="I370" s="51" cm="1">
        <f t="array" ref="I370">_xlfn.SWITCH(D370,"C-Flute",(F370+G370)*2+15,"BC-Flute",(F370+G370)*2+11,0)</f>
        <v>0</v>
      </c>
      <c r="J370" s="51" cm="1">
        <f t="array" ref="J370">_xlfn.SWITCH(D370,"C-Flute",(G370+H370)-10,"BC-Flute",(G370+H370)-16,0)</f>
        <v>0</v>
      </c>
      <c r="K370" s="53">
        <f t="shared" si="18"/>
        <v>0</v>
      </c>
      <c r="L370" s="54">
        <f t="shared" si="19"/>
        <v>0</v>
      </c>
      <c r="M370" s="55">
        <f t="shared" si="20"/>
        <v>0</v>
      </c>
      <c r="N370" s="63"/>
    </row>
    <row r="371" spans="1:14">
      <c r="A371" s="43"/>
      <c r="B371" s="43"/>
      <c r="C371" s="36" t="s">
        <v>85</v>
      </c>
      <c r="D371" s="43"/>
      <c r="E371" s="51">
        <f t="shared" si="17"/>
        <v>0</v>
      </c>
      <c r="F371" s="52"/>
      <c r="G371" s="52"/>
      <c r="H371" s="52"/>
      <c r="I371" s="51" cm="1">
        <f t="array" ref="I371">_xlfn.SWITCH(D371,"C-Flute",(F371+G371)*2+15,"BC-Flute",(F371+G371)*2+11,0)</f>
        <v>0</v>
      </c>
      <c r="J371" s="51" cm="1">
        <f t="array" ref="J371">_xlfn.SWITCH(D371,"C-Flute",(G371+H371)-10,"BC-Flute",(G371+H371)-16,0)</f>
        <v>0</v>
      </c>
      <c r="K371" s="53">
        <f t="shared" si="18"/>
        <v>0</v>
      </c>
      <c r="L371" s="54">
        <f t="shared" si="19"/>
        <v>0</v>
      </c>
      <c r="M371" s="55">
        <f t="shared" si="20"/>
        <v>0</v>
      </c>
      <c r="N371" s="63"/>
    </row>
    <row r="372" spans="1:14">
      <c r="A372" s="43"/>
      <c r="B372" s="43"/>
      <c r="C372" s="36" t="s">
        <v>85</v>
      </c>
      <c r="D372" s="43"/>
      <c r="E372" s="51">
        <f t="shared" si="17"/>
        <v>0</v>
      </c>
      <c r="F372" s="52"/>
      <c r="G372" s="52"/>
      <c r="H372" s="52"/>
      <c r="I372" s="51" cm="1">
        <f t="array" ref="I372">_xlfn.SWITCH(D372,"C-Flute",(F372+G372)*2+15,"BC-Flute",(F372+G372)*2+11,0)</f>
        <v>0</v>
      </c>
      <c r="J372" s="51" cm="1">
        <f t="array" ref="J372">_xlfn.SWITCH(D372,"C-Flute",(G372+H372)-10,"BC-Flute",(G372+H372)-16,0)</f>
        <v>0</v>
      </c>
      <c r="K372" s="53">
        <f t="shared" si="18"/>
        <v>0</v>
      </c>
      <c r="L372" s="54">
        <f t="shared" si="19"/>
        <v>0</v>
      </c>
      <c r="M372" s="55">
        <f t="shared" si="20"/>
        <v>0</v>
      </c>
      <c r="N372" s="63"/>
    </row>
    <row r="373" spans="1:14">
      <c r="A373" s="43"/>
      <c r="B373" s="43"/>
      <c r="C373" s="36" t="s">
        <v>85</v>
      </c>
      <c r="D373" s="43"/>
      <c r="E373" s="51">
        <f t="shared" si="17"/>
        <v>0</v>
      </c>
      <c r="F373" s="52"/>
      <c r="G373" s="52"/>
      <c r="H373" s="52"/>
      <c r="I373" s="51" cm="1">
        <f t="array" ref="I373">_xlfn.SWITCH(D373,"C-Flute",(F373+G373)*2+15,"BC-Flute",(F373+G373)*2+11,0)</f>
        <v>0</v>
      </c>
      <c r="J373" s="51" cm="1">
        <f t="array" ref="J373">_xlfn.SWITCH(D373,"C-Flute",(G373+H373)-10,"BC-Flute",(G373+H373)-16,0)</f>
        <v>0</v>
      </c>
      <c r="K373" s="53">
        <f t="shared" si="18"/>
        <v>0</v>
      </c>
      <c r="L373" s="54">
        <f t="shared" si="19"/>
        <v>0</v>
      </c>
      <c r="M373" s="55">
        <f t="shared" si="20"/>
        <v>0</v>
      </c>
      <c r="N373" s="63"/>
    </row>
    <row r="374" spans="1:14">
      <c r="A374" s="43"/>
      <c r="B374" s="43"/>
      <c r="C374" s="36" t="s">
        <v>85</v>
      </c>
      <c r="D374" s="43"/>
      <c r="E374" s="51">
        <f t="shared" si="17"/>
        <v>0</v>
      </c>
      <c r="F374" s="52"/>
      <c r="G374" s="52"/>
      <c r="H374" s="52"/>
      <c r="I374" s="51" cm="1">
        <f t="array" ref="I374">_xlfn.SWITCH(D374,"C-Flute",(F374+G374)*2+15,"BC-Flute",(F374+G374)*2+11,0)</f>
        <v>0</v>
      </c>
      <c r="J374" s="51" cm="1">
        <f t="array" ref="J374">_xlfn.SWITCH(D374,"C-Flute",(G374+H374)-10,"BC-Flute",(G374+H374)-16,0)</f>
        <v>0</v>
      </c>
      <c r="K374" s="53">
        <f t="shared" si="18"/>
        <v>0</v>
      </c>
      <c r="L374" s="54">
        <f t="shared" si="19"/>
        <v>0</v>
      </c>
      <c r="M374" s="55">
        <f t="shared" si="20"/>
        <v>0</v>
      </c>
      <c r="N374" s="63"/>
    </row>
    <row r="375" spans="1:14">
      <c r="A375" s="43"/>
      <c r="B375" s="43"/>
      <c r="C375" s="36" t="s">
        <v>85</v>
      </c>
      <c r="D375" s="43"/>
      <c r="E375" s="51">
        <f t="shared" si="17"/>
        <v>0</v>
      </c>
      <c r="F375" s="52"/>
      <c r="G375" s="52"/>
      <c r="H375" s="52"/>
      <c r="I375" s="51" cm="1">
        <f t="array" ref="I375">_xlfn.SWITCH(D375,"C-Flute",(F375+G375)*2+15,"BC-Flute",(F375+G375)*2+11,0)</f>
        <v>0</v>
      </c>
      <c r="J375" s="51" cm="1">
        <f t="array" ref="J375">_xlfn.SWITCH(D375,"C-Flute",(G375+H375)-10,"BC-Flute",(G375+H375)-16,0)</f>
        <v>0</v>
      </c>
      <c r="K375" s="53">
        <f t="shared" si="18"/>
        <v>0</v>
      </c>
      <c r="L375" s="54">
        <f t="shared" si="19"/>
        <v>0</v>
      </c>
      <c r="M375" s="55">
        <f t="shared" si="20"/>
        <v>0</v>
      </c>
      <c r="N375" s="63"/>
    </row>
    <row r="376" spans="1:14">
      <c r="A376" s="43"/>
      <c r="B376" s="43"/>
      <c r="C376" s="36" t="s">
        <v>85</v>
      </c>
      <c r="D376" s="43"/>
      <c r="E376" s="51">
        <f t="shared" si="17"/>
        <v>0</v>
      </c>
      <c r="F376" s="52"/>
      <c r="G376" s="52"/>
      <c r="H376" s="52"/>
      <c r="I376" s="51" cm="1">
        <f t="array" ref="I376">_xlfn.SWITCH(D376,"C-Flute",(F376+G376)*2+15,"BC-Flute",(F376+G376)*2+11,0)</f>
        <v>0</v>
      </c>
      <c r="J376" s="51" cm="1">
        <f t="array" ref="J376">_xlfn.SWITCH(D376,"C-Flute",(G376+H376)-10,"BC-Flute",(G376+H376)-16,0)</f>
        <v>0</v>
      </c>
      <c r="K376" s="53">
        <f t="shared" si="18"/>
        <v>0</v>
      </c>
      <c r="L376" s="54">
        <f t="shared" si="19"/>
        <v>0</v>
      </c>
      <c r="M376" s="55">
        <f t="shared" si="20"/>
        <v>0</v>
      </c>
      <c r="N376" s="63"/>
    </row>
    <row r="377" spans="1:14">
      <c r="A377" s="43"/>
      <c r="B377" s="43"/>
      <c r="C377" s="36" t="s">
        <v>85</v>
      </c>
      <c r="D377" s="43"/>
      <c r="E377" s="51">
        <f t="shared" si="17"/>
        <v>0</v>
      </c>
      <c r="F377" s="52"/>
      <c r="G377" s="52"/>
      <c r="H377" s="52"/>
      <c r="I377" s="51" cm="1">
        <f t="array" ref="I377">_xlfn.SWITCH(D377,"C-Flute",(F377+G377)*2+15,"BC-Flute",(F377+G377)*2+11,0)</f>
        <v>0</v>
      </c>
      <c r="J377" s="51" cm="1">
        <f t="array" ref="J377">_xlfn.SWITCH(D377,"C-Flute",(G377+H377)-10,"BC-Flute",(G377+H377)-16,0)</f>
        <v>0</v>
      </c>
      <c r="K377" s="53">
        <f t="shared" si="18"/>
        <v>0</v>
      </c>
      <c r="L377" s="54">
        <f t="shared" si="19"/>
        <v>0</v>
      </c>
      <c r="M377" s="55">
        <f t="shared" si="20"/>
        <v>0</v>
      </c>
      <c r="N377" s="63"/>
    </row>
    <row r="378" spans="1:14">
      <c r="A378" s="43"/>
      <c r="B378" s="43"/>
      <c r="C378" s="36" t="s">
        <v>85</v>
      </c>
      <c r="D378" s="43"/>
      <c r="E378" s="51">
        <f t="shared" si="17"/>
        <v>0</v>
      </c>
      <c r="F378" s="52"/>
      <c r="G378" s="52"/>
      <c r="H378" s="52"/>
      <c r="I378" s="51" cm="1">
        <f t="array" ref="I378">_xlfn.SWITCH(D378,"C-Flute",(F378+G378)*2+15,"BC-Flute",(F378+G378)*2+11,0)</f>
        <v>0</v>
      </c>
      <c r="J378" s="51" cm="1">
        <f t="array" ref="J378">_xlfn.SWITCH(D378,"C-Flute",(G378+H378)-10,"BC-Flute",(G378+H378)-16,0)</f>
        <v>0</v>
      </c>
      <c r="K378" s="53">
        <f t="shared" si="18"/>
        <v>0</v>
      </c>
      <c r="L378" s="54">
        <f t="shared" si="19"/>
        <v>0</v>
      </c>
      <c r="M378" s="55">
        <f t="shared" si="20"/>
        <v>0</v>
      </c>
      <c r="N378" s="63"/>
    </row>
    <row r="379" spans="1:14">
      <c r="A379" s="43"/>
      <c r="B379" s="43"/>
      <c r="C379" s="36" t="s">
        <v>85</v>
      </c>
      <c r="D379" s="43"/>
      <c r="E379" s="51">
        <f t="shared" si="17"/>
        <v>0</v>
      </c>
      <c r="F379" s="52"/>
      <c r="G379" s="52"/>
      <c r="H379" s="52"/>
      <c r="I379" s="51" cm="1">
        <f t="array" ref="I379">_xlfn.SWITCH(D379,"C-Flute",(F379+G379)*2+15,"BC-Flute",(F379+G379)*2+11,0)</f>
        <v>0</v>
      </c>
      <c r="J379" s="51" cm="1">
        <f t="array" ref="J379">_xlfn.SWITCH(D379,"C-Flute",(G379+H379)-10,"BC-Flute",(G379+H379)-16,0)</f>
        <v>0</v>
      </c>
      <c r="K379" s="53">
        <f t="shared" si="18"/>
        <v>0</v>
      </c>
      <c r="L379" s="54">
        <f t="shared" si="19"/>
        <v>0</v>
      </c>
      <c r="M379" s="55">
        <f t="shared" si="20"/>
        <v>0</v>
      </c>
      <c r="N379" s="63"/>
    </row>
    <row r="380" spans="1:14">
      <c r="A380" s="43"/>
      <c r="B380" s="43"/>
      <c r="C380" s="36" t="s">
        <v>85</v>
      </c>
      <c r="D380" s="43"/>
      <c r="E380" s="51">
        <f t="shared" si="17"/>
        <v>0</v>
      </c>
      <c r="F380" s="52"/>
      <c r="G380" s="52"/>
      <c r="H380" s="52"/>
      <c r="I380" s="51" cm="1">
        <f t="array" ref="I380">_xlfn.SWITCH(D380,"C-Flute",(F380+G380)*2+15,"BC-Flute",(F380+G380)*2+11,0)</f>
        <v>0</v>
      </c>
      <c r="J380" s="51" cm="1">
        <f t="array" ref="J380">_xlfn.SWITCH(D380,"C-Flute",(G380+H380)-10,"BC-Flute",(G380+H380)-16,0)</f>
        <v>0</v>
      </c>
      <c r="K380" s="53">
        <f t="shared" si="18"/>
        <v>0</v>
      </c>
      <c r="L380" s="54">
        <f t="shared" si="19"/>
        <v>0</v>
      </c>
      <c r="M380" s="55">
        <f t="shared" si="20"/>
        <v>0</v>
      </c>
      <c r="N380" s="63"/>
    </row>
    <row r="381" spans="1:14">
      <c r="A381" s="43"/>
      <c r="B381" s="43"/>
      <c r="C381" s="36" t="s">
        <v>85</v>
      </c>
      <c r="D381" s="43"/>
      <c r="E381" s="51">
        <f t="shared" si="17"/>
        <v>0</v>
      </c>
      <c r="F381" s="52"/>
      <c r="G381" s="52"/>
      <c r="H381" s="52"/>
      <c r="I381" s="51" cm="1">
        <f t="array" ref="I381">_xlfn.SWITCH(D381,"C-Flute",(F381+G381)*2+15,"BC-Flute",(F381+G381)*2+11,0)</f>
        <v>0</v>
      </c>
      <c r="J381" s="51" cm="1">
        <f t="array" ref="J381">_xlfn.SWITCH(D381,"C-Flute",(G381+H381)-10,"BC-Flute",(G381+H381)-16,0)</f>
        <v>0</v>
      </c>
      <c r="K381" s="53">
        <f t="shared" si="18"/>
        <v>0</v>
      </c>
      <c r="L381" s="54">
        <f t="shared" si="19"/>
        <v>0</v>
      </c>
      <c r="M381" s="55">
        <f t="shared" si="20"/>
        <v>0</v>
      </c>
      <c r="N381" s="63"/>
    </row>
    <row r="382" spans="1:14">
      <c r="A382" s="43"/>
      <c r="B382" s="43"/>
      <c r="C382" s="36" t="s">
        <v>85</v>
      </c>
      <c r="D382" s="43"/>
      <c r="E382" s="51">
        <f t="shared" si="17"/>
        <v>0</v>
      </c>
      <c r="F382" s="52"/>
      <c r="G382" s="52"/>
      <c r="H382" s="52"/>
      <c r="I382" s="51" cm="1">
        <f t="array" ref="I382">_xlfn.SWITCH(D382,"C-Flute",(F382+G382)*2+15,"BC-Flute",(F382+G382)*2+11,0)</f>
        <v>0</v>
      </c>
      <c r="J382" s="51" cm="1">
        <f t="array" ref="J382">_xlfn.SWITCH(D382,"C-Flute",(G382+H382)-10,"BC-Flute",(G382+H382)-16,0)</f>
        <v>0</v>
      </c>
      <c r="K382" s="53">
        <f t="shared" si="18"/>
        <v>0</v>
      </c>
      <c r="L382" s="54">
        <f t="shared" si="19"/>
        <v>0</v>
      </c>
      <c r="M382" s="55">
        <f t="shared" si="20"/>
        <v>0</v>
      </c>
      <c r="N382" s="63"/>
    </row>
    <row r="383" spans="1:14">
      <c r="A383" s="43"/>
      <c r="B383" s="43"/>
      <c r="C383" s="36" t="s">
        <v>85</v>
      </c>
      <c r="D383" s="43"/>
      <c r="E383" s="51">
        <f t="shared" si="17"/>
        <v>0</v>
      </c>
      <c r="F383" s="52"/>
      <c r="G383" s="52"/>
      <c r="H383" s="52"/>
      <c r="I383" s="51" cm="1">
        <f t="array" ref="I383">_xlfn.SWITCH(D383,"C-Flute",(F383+G383)*2+15,"BC-Flute",(F383+G383)*2+11,0)</f>
        <v>0</v>
      </c>
      <c r="J383" s="51" cm="1">
        <f t="array" ref="J383">_xlfn.SWITCH(D383,"C-Flute",(G383+H383)-10,"BC-Flute",(G383+H383)-16,0)</f>
        <v>0</v>
      </c>
      <c r="K383" s="53">
        <f t="shared" si="18"/>
        <v>0</v>
      </c>
      <c r="L383" s="54">
        <f t="shared" si="19"/>
        <v>0</v>
      </c>
      <c r="M383" s="55">
        <f t="shared" si="20"/>
        <v>0</v>
      </c>
      <c r="N383" s="63"/>
    </row>
    <row r="384" spans="1:14">
      <c r="A384" s="43"/>
      <c r="B384" s="43"/>
      <c r="C384" s="36" t="s">
        <v>85</v>
      </c>
      <c r="D384" s="43"/>
      <c r="E384" s="51">
        <f t="shared" si="17"/>
        <v>0</v>
      </c>
      <c r="F384" s="52"/>
      <c r="G384" s="52"/>
      <c r="H384" s="52"/>
      <c r="I384" s="51" cm="1">
        <f t="array" ref="I384">_xlfn.SWITCH(D384,"C-Flute",(F384+G384)*2+15,"BC-Flute",(F384+G384)*2+11,0)</f>
        <v>0</v>
      </c>
      <c r="J384" s="51" cm="1">
        <f t="array" ref="J384">_xlfn.SWITCH(D384,"C-Flute",(G384+H384)-10,"BC-Flute",(G384+H384)-16,0)</f>
        <v>0</v>
      </c>
      <c r="K384" s="53">
        <f t="shared" si="18"/>
        <v>0</v>
      </c>
      <c r="L384" s="54">
        <f t="shared" si="19"/>
        <v>0</v>
      </c>
      <c r="M384" s="55">
        <f t="shared" si="20"/>
        <v>0</v>
      </c>
      <c r="N384" s="63"/>
    </row>
    <row r="385" spans="1:14">
      <c r="A385" s="43"/>
      <c r="B385" s="43"/>
      <c r="C385" s="36" t="s">
        <v>85</v>
      </c>
      <c r="D385" s="43"/>
      <c r="E385" s="51">
        <f t="shared" si="17"/>
        <v>0</v>
      </c>
      <c r="F385" s="52"/>
      <c r="G385" s="52"/>
      <c r="H385" s="52"/>
      <c r="I385" s="51" cm="1">
        <f t="array" ref="I385">_xlfn.SWITCH(D385,"C-Flute",(F385+G385)*2+15,"BC-Flute",(F385+G385)*2+11,0)</f>
        <v>0</v>
      </c>
      <c r="J385" s="51" cm="1">
        <f t="array" ref="J385">_xlfn.SWITCH(D385,"C-Flute",(G385+H385)-10,"BC-Flute",(G385+H385)-16,0)</f>
        <v>0</v>
      </c>
      <c r="K385" s="53">
        <f t="shared" si="18"/>
        <v>0</v>
      </c>
      <c r="L385" s="54">
        <f t="shared" si="19"/>
        <v>0</v>
      </c>
      <c r="M385" s="55">
        <f t="shared" si="20"/>
        <v>0</v>
      </c>
      <c r="N385" s="63"/>
    </row>
    <row r="386" spans="1:14">
      <c r="A386" s="43"/>
      <c r="B386" s="43"/>
      <c r="C386" s="36" t="s">
        <v>85</v>
      </c>
      <c r="D386" s="43"/>
      <c r="E386" s="51">
        <f t="shared" si="17"/>
        <v>0</v>
      </c>
      <c r="F386" s="52"/>
      <c r="G386" s="52"/>
      <c r="H386" s="52"/>
      <c r="I386" s="51" cm="1">
        <f t="array" ref="I386">_xlfn.SWITCH(D386,"C-Flute",(F386+G386)*2+15,"BC-Flute",(F386+G386)*2+11,0)</f>
        <v>0</v>
      </c>
      <c r="J386" s="51" cm="1">
        <f t="array" ref="J386">_xlfn.SWITCH(D386,"C-Flute",(G386+H386)-10,"BC-Flute",(G386+H386)-16,0)</f>
        <v>0</v>
      </c>
      <c r="K386" s="53">
        <f t="shared" si="18"/>
        <v>0</v>
      </c>
      <c r="L386" s="54">
        <f t="shared" si="19"/>
        <v>0</v>
      </c>
      <c r="M386" s="55">
        <f t="shared" si="20"/>
        <v>0</v>
      </c>
      <c r="N386" s="63"/>
    </row>
    <row r="387" spans="1:14">
      <c r="A387" s="43"/>
      <c r="B387" s="43"/>
      <c r="C387" s="36" t="s">
        <v>85</v>
      </c>
      <c r="D387" s="43"/>
      <c r="E387" s="51">
        <f t="shared" si="17"/>
        <v>0</v>
      </c>
      <c r="F387" s="52"/>
      <c r="G387" s="52"/>
      <c r="H387" s="52"/>
      <c r="I387" s="51" cm="1">
        <f t="array" ref="I387">_xlfn.SWITCH(D387,"C-Flute",(F387+G387)*2+15,"BC-Flute",(F387+G387)*2+11,0)</f>
        <v>0</v>
      </c>
      <c r="J387" s="51" cm="1">
        <f t="array" ref="J387">_xlfn.SWITCH(D387,"C-Flute",(G387+H387)-10,"BC-Flute",(G387+H387)-16,0)</f>
        <v>0</v>
      </c>
      <c r="K387" s="53">
        <f t="shared" si="18"/>
        <v>0</v>
      </c>
      <c r="L387" s="54">
        <f t="shared" si="19"/>
        <v>0</v>
      </c>
      <c r="M387" s="55">
        <f t="shared" si="20"/>
        <v>0</v>
      </c>
      <c r="N387" s="63"/>
    </row>
    <row r="388" spans="1:14">
      <c r="A388" s="43"/>
      <c r="B388" s="43"/>
      <c r="C388" s="36" t="s">
        <v>85</v>
      </c>
      <c r="D388" s="43"/>
      <c r="E388" s="51">
        <f t="shared" si="17"/>
        <v>0</v>
      </c>
      <c r="F388" s="52"/>
      <c r="G388" s="52"/>
      <c r="H388" s="52"/>
      <c r="I388" s="51" cm="1">
        <f t="array" ref="I388">_xlfn.SWITCH(D388,"C-Flute",(F388+G388)*2+15,"BC-Flute",(F388+G388)*2+11,0)</f>
        <v>0</v>
      </c>
      <c r="J388" s="51" cm="1">
        <f t="array" ref="J388">_xlfn.SWITCH(D388,"C-Flute",(G388+H388)-10,"BC-Flute",(G388+H388)-16,0)</f>
        <v>0</v>
      </c>
      <c r="K388" s="53">
        <f t="shared" si="18"/>
        <v>0</v>
      </c>
      <c r="L388" s="54">
        <f t="shared" si="19"/>
        <v>0</v>
      </c>
      <c r="M388" s="55">
        <f t="shared" si="20"/>
        <v>0</v>
      </c>
      <c r="N388" s="63"/>
    </row>
    <row r="389" spans="1:14">
      <c r="A389" s="43"/>
      <c r="B389" s="43"/>
      <c r="C389" s="36" t="s">
        <v>85</v>
      </c>
      <c r="D389" s="43"/>
      <c r="E389" s="51">
        <f t="shared" si="17"/>
        <v>0</v>
      </c>
      <c r="F389" s="52"/>
      <c r="G389" s="52"/>
      <c r="H389" s="52"/>
      <c r="I389" s="51" cm="1">
        <f t="array" ref="I389">_xlfn.SWITCH(D389,"C-Flute",(F389+G389)*2+15,"BC-Flute",(F389+G389)*2+11,0)</f>
        <v>0</v>
      </c>
      <c r="J389" s="51" cm="1">
        <f t="array" ref="J389">_xlfn.SWITCH(D389,"C-Flute",(G389+H389)-10,"BC-Flute",(G389+H389)-16,0)</f>
        <v>0</v>
      </c>
      <c r="K389" s="53">
        <f t="shared" si="18"/>
        <v>0</v>
      </c>
      <c r="L389" s="54">
        <f t="shared" si="19"/>
        <v>0</v>
      </c>
      <c r="M389" s="55">
        <f t="shared" si="20"/>
        <v>0</v>
      </c>
      <c r="N389" s="63"/>
    </row>
    <row r="390" spans="1:14">
      <c r="A390" s="43"/>
      <c r="B390" s="43"/>
      <c r="C390" s="36" t="s">
        <v>85</v>
      </c>
      <c r="D390" s="43"/>
      <c r="E390" s="51">
        <f t="shared" si="17"/>
        <v>0</v>
      </c>
      <c r="F390" s="52"/>
      <c r="G390" s="52"/>
      <c r="H390" s="52"/>
      <c r="I390" s="51" cm="1">
        <f t="array" ref="I390">_xlfn.SWITCH(D390,"C-Flute",(F390+G390)*2+15,"BC-Flute",(F390+G390)*2+11,0)</f>
        <v>0</v>
      </c>
      <c r="J390" s="51" cm="1">
        <f t="array" ref="J390">_xlfn.SWITCH(D390,"C-Flute",(G390+H390)-10,"BC-Flute",(G390+H390)-16,0)</f>
        <v>0</v>
      </c>
      <c r="K390" s="53">
        <f t="shared" si="18"/>
        <v>0</v>
      </c>
      <c r="L390" s="54">
        <f t="shared" si="19"/>
        <v>0</v>
      </c>
      <c r="M390" s="55">
        <f t="shared" si="20"/>
        <v>0</v>
      </c>
      <c r="N390" s="63"/>
    </row>
    <row r="391" spans="1:14">
      <c r="A391" s="43"/>
      <c r="B391" s="43"/>
      <c r="C391" s="36" t="s">
        <v>85</v>
      </c>
      <c r="D391" s="43"/>
      <c r="E391" s="51">
        <f t="shared" si="17"/>
        <v>0</v>
      </c>
      <c r="F391" s="52"/>
      <c r="G391" s="52"/>
      <c r="H391" s="52"/>
      <c r="I391" s="51" cm="1">
        <f t="array" ref="I391">_xlfn.SWITCH(D391,"C-Flute",(F391+G391)*2+15,"BC-Flute",(F391+G391)*2+11,0)</f>
        <v>0</v>
      </c>
      <c r="J391" s="51" cm="1">
        <f t="array" ref="J391">_xlfn.SWITCH(D391,"C-Flute",(G391+H391)-10,"BC-Flute",(G391+H391)-16,0)</f>
        <v>0</v>
      </c>
      <c r="K391" s="53">
        <f t="shared" si="18"/>
        <v>0</v>
      </c>
      <c r="L391" s="54">
        <f t="shared" si="19"/>
        <v>0</v>
      </c>
      <c r="M391" s="55">
        <f t="shared" si="20"/>
        <v>0</v>
      </c>
      <c r="N391" s="63"/>
    </row>
    <row r="392" spans="1:14">
      <c r="A392" s="43"/>
      <c r="B392" s="43"/>
      <c r="C392" s="36" t="s">
        <v>85</v>
      </c>
      <c r="D392" s="43"/>
      <c r="E392" s="51">
        <f t="shared" si="17"/>
        <v>0</v>
      </c>
      <c r="F392" s="52"/>
      <c r="G392" s="52"/>
      <c r="H392" s="52"/>
      <c r="I392" s="51" cm="1">
        <f t="array" ref="I392">_xlfn.SWITCH(D392,"C-Flute",(F392+G392)*2+15,"BC-Flute",(F392+G392)*2+11,0)</f>
        <v>0</v>
      </c>
      <c r="J392" s="51" cm="1">
        <f t="array" ref="J392">_xlfn.SWITCH(D392,"C-Flute",(G392+H392)-10,"BC-Flute",(G392+H392)-16,0)</f>
        <v>0</v>
      </c>
      <c r="K392" s="53">
        <f t="shared" si="18"/>
        <v>0</v>
      </c>
      <c r="L392" s="54">
        <f t="shared" si="19"/>
        <v>0</v>
      </c>
      <c r="M392" s="55">
        <f t="shared" si="20"/>
        <v>0</v>
      </c>
      <c r="N392" s="63"/>
    </row>
    <row r="393" spans="1:14">
      <c r="A393" s="43"/>
      <c r="B393" s="43"/>
      <c r="C393" s="36" t="s">
        <v>85</v>
      </c>
      <c r="D393" s="43"/>
      <c r="E393" s="51">
        <f t="shared" si="17"/>
        <v>0</v>
      </c>
      <c r="F393" s="52"/>
      <c r="G393" s="52"/>
      <c r="H393" s="52"/>
      <c r="I393" s="51" cm="1">
        <f t="array" ref="I393">_xlfn.SWITCH(D393,"C-Flute",(F393+G393)*2+15,"BC-Flute",(F393+G393)*2+11,0)</f>
        <v>0</v>
      </c>
      <c r="J393" s="51" cm="1">
        <f t="array" ref="J393">_xlfn.SWITCH(D393,"C-Flute",(G393+H393)-10,"BC-Flute",(G393+H393)-16,0)</f>
        <v>0</v>
      </c>
      <c r="K393" s="53">
        <f t="shared" si="18"/>
        <v>0</v>
      </c>
      <c r="L393" s="54">
        <f t="shared" si="19"/>
        <v>0</v>
      </c>
      <c r="M393" s="55">
        <f t="shared" si="20"/>
        <v>0</v>
      </c>
      <c r="N393" s="63"/>
    </row>
    <row r="394" spans="1:14">
      <c r="A394" s="43"/>
      <c r="B394" s="43"/>
      <c r="C394" s="36" t="s">
        <v>85</v>
      </c>
      <c r="D394" s="43"/>
      <c r="E394" s="51">
        <f t="shared" si="17"/>
        <v>0</v>
      </c>
      <c r="F394" s="52"/>
      <c r="G394" s="52"/>
      <c r="H394" s="52"/>
      <c r="I394" s="51" cm="1">
        <f t="array" ref="I394">_xlfn.SWITCH(D394,"C-Flute",(F394+G394)*2+15,"BC-Flute",(F394+G394)*2+11,0)</f>
        <v>0</v>
      </c>
      <c r="J394" s="51" cm="1">
        <f t="array" ref="J394">_xlfn.SWITCH(D394,"C-Flute",(G394+H394)-10,"BC-Flute",(G394+H394)-16,0)</f>
        <v>0</v>
      </c>
      <c r="K394" s="53">
        <f t="shared" si="18"/>
        <v>0</v>
      </c>
      <c r="L394" s="54">
        <f t="shared" si="19"/>
        <v>0</v>
      </c>
      <c r="M394" s="55">
        <f t="shared" si="20"/>
        <v>0</v>
      </c>
      <c r="N394" s="63"/>
    </row>
    <row r="395" spans="1:14">
      <c r="A395" s="43"/>
      <c r="B395" s="43"/>
      <c r="C395" s="36" t="s">
        <v>85</v>
      </c>
      <c r="D395" s="43"/>
      <c r="E395" s="51">
        <f t="shared" si="17"/>
        <v>0</v>
      </c>
      <c r="F395" s="52"/>
      <c r="G395" s="52"/>
      <c r="H395" s="52"/>
      <c r="I395" s="51" cm="1">
        <f t="array" ref="I395">_xlfn.SWITCH(D395,"C-Flute",(F395+G395)*2+15,"BC-Flute",(F395+G395)*2+11,0)</f>
        <v>0</v>
      </c>
      <c r="J395" s="51" cm="1">
        <f t="array" ref="J395">_xlfn.SWITCH(D395,"C-Flute",(G395+H395)-10,"BC-Flute",(G395+H395)-16,0)</f>
        <v>0</v>
      </c>
      <c r="K395" s="53">
        <f t="shared" si="18"/>
        <v>0</v>
      </c>
      <c r="L395" s="54">
        <f t="shared" si="19"/>
        <v>0</v>
      </c>
      <c r="M395" s="55">
        <f t="shared" si="20"/>
        <v>0</v>
      </c>
      <c r="N395" s="63"/>
    </row>
    <row r="396" spans="1:14">
      <c r="A396" s="43"/>
      <c r="B396" s="43"/>
      <c r="C396" s="36" t="s">
        <v>85</v>
      </c>
      <c r="D396" s="43"/>
      <c r="E396" s="51">
        <f t="shared" si="17"/>
        <v>0</v>
      </c>
      <c r="F396" s="52"/>
      <c r="G396" s="52"/>
      <c r="H396" s="52"/>
      <c r="I396" s="51" cm="1">
        <f t="array" ref="I396">_xlfn.SWITCH(D396,"C-Flute",(F396+G396)*2+15,"BC-Flute",(F396+G396)*2+11,0)</f>
        <v>0</v>
      </c>
      <c r="J396" s="51" cm="1">
        <f t="array" ref="J396">_xlfn.SWITCH(D396,"C-Flute",(G396+H396)-10,"BC-Flute",(G396+H396)-16,0)</f>
        <v>0</v>
      </c>
      <c r="K396" s="53">
        <f t="shared" si="18"/>
        <v>0</v>
      </c>
      <c r="L396" s="54">
        <f t="shared" si="19"/>
        <v>0</v>
      </c>
      <c r="M396" s="55">
        <f t="shared" si="20"/>
        <v>0</v>
      </c>
      <c r="N396" s="63"/>
    </row>
    <row r="397" spans="1:14">
      <c r="A397" s="43"/>
      <c r="B397" s="43"/>
      <c r="C397" s="36" t="s">
        <v>85</v>
      </c>
      <c r="D397" s="43"/>
      <c r="E397" s="51">
        <f t="shared" si="17"/>
        <v>0</v>
      </c>
      <c r="F397" s="52"/>
      <c r="G397" s="52"/>
      <c r="H397" s="52"/>
      <c r="I397" s="51" cm="1">
        <f t="array" ref="I397">_xlfn.SWITCH(D397,"C-Flute",(F397+G397)*2+15,"BC-Flute",(F397+G397)*2+11,0)</f>
        <v>0</v>
      </c>
      <c r="J397" s="51" cm="1">
        <f t="array" ref="J397">_xlfn.SWITCH(D397,"C-Flute",(G397+H397)-10,"BC-Flute",(G397+H397)-16,0)</f>
        <v>0</v>
      </c>
      <c r="K397" s="53">
        <f t="shared" si="18"/>
        <v>0</v>
      </c>
      <c r="L397" s="54">
        <f t="shared" si="19"/>
        <v>0</v>
      </c>
      <c r="M397" s="55">
        <f t="shared" si="20"/>
        <v>0</v>
      </c>
      <c r="N397" s="63"/>
    </row>
    <row r="398" spans="1:14">
      <c r="A398" s="43"/>
      <c r="B398" s="43"/>
      <c r="C398" s="36" t="s">
        <v>85</v>
      </c>
      <c r="D398" s="43"/>
      <c r="E398" s="51">
        <f t="shared" si="17"/>
        <v>0</v>
      </c>
      <c r="F398" s="52"/>
      <c r="G398" s="52"/>
      <c r="H398" s="52"/>
      <c r="I398" s="51" cm="1">
        <f t="array" ref="I398">_xlfn.SWITCH(D398,"C-Flute",(F398+G398)*2+15,"BC-Flute",(F398+G398)*2+11,0)</f>
        <v>0</v>
      </c>
      <c r="J398" s="51" cm="1">
        <f t="array" ref="J398">_xlfn.SWITCH(D398,"C-Flute",(G398+H398)-10,"BC-Flute",(G398+H398)-16,0)</f>
        <v>0</v>
      </c>
      <c r="K398" s="53">
        <f t="shared" si="18"/>
        <v>0</v>
      </c>
      <c r="L398" s="54">
        <f t="shared" si="19"/>
        <v>0</v>
      </c>
      <c r="M398" s="55">
        <f t="shared" si="20"/>
        <v>0</v>
      </c>
      <c r="N398" s="63"/>
    </row>
    <row r="399" spans="1:14">
      <c r="A399" s="43"/>
      <c r="B399" s="43"/>
      <c r="C399" s="36" t="s">
        <v>85</v>
      </c>
      <c r="D399" s="43"/>
      <c r="E399" s="51">
        <f t="shared" si="17"/>
        <v>0</v>
      </c>
      <c r="F399" s="52"/>
      <c r="G399" s="52"/>
      <c r="H399" s="52"/>
      <c r="I399" s="51" cm="1">
        <f t="array" ref="I399">_xlfn.SWITCH(D399,"C-Flute",(F399+G399)*2+15,"BC-Flute",(F399+G399)*2+11,0)</f>
        <v>0</v>
      </c>
      <c r="J399" s="51" cm="1">
        <f t="array" ref="J399">_xlfn.SWITCH(D399,"C-Flute",(G399+H399)-10,"BC-Flute",(G399+H399)-16,0)</f>
        <v>0</v>
      </c>
      <c r="K399" s="53">
        <f t="shared" si="18"/>
        <v>0</v>
      </c>
      <c r="L399" s="54">
        <f t="shared" si="19"/>
        <v>0</v>
      </c>
      <c r="M399" s="55">
        <f t="shared" si="20"/>
        <v>0</v>
      </c>
      <c r="N399" s="63"/>
    </row>
    <row r="400" spans="1:14">
      <c r="A400" s="43"/>
      <c r="B400" s="43"/>
      <c r="C400" s="36" t="s">
        <v>85</v>
      </c>
      <c r="D400" s="43"/>
      <c r="E400" s="51">
        <f t="shared" si="17"/>
        <v>0</v>
      </c>
      <c r="F400" s="52"/>
      <c r="G400" s="52"/>
      <c r="H400" s="52"/>
      <c r="I400" s="51" cm="1">
        <f t="array" ref="I400">_xlfn.SWITCH(D400,"C-Flute",(F400+G400)*2+15,"BC-Flute",(F400+G400)*2+11,0)</f>
        <v>0</v>
      </c>
      <c r="J400" s="51" cm="1">
        <f t="array" ref="J400">_xlfn.SWITCH(D400,"C-Flute",(G400+H400)-10,"BC-Flute",(G400+H400)-16,0)</f>
        <v>0</v>
      </c>
      <c r="K400" s="53">
        <f t="shared" si="18"/>
        <v>0</v>
      </c>
      <c r="L400" s="54">
        <f t="shared" si="19"/>
        <v>0</v>
      </c>
      <c r="M400" s="55">
        <f t="shared" si="20"/>
        <v>0</v>
      </c>
      <c r="N400" s="63"/>
    </row>
    <row r="401" spans="1:14">
      <c r="A401" s="43"/>
      <c r="B401" s="43"/>
      <c r="C401" s="36" t="s">
        <v>85</v>
      </c>
      <c r="D401" s="43"/>
      <c r="E401" s="51">
        <f t="shared" ref="E401:E464" si="21">IFERROR(VLOOKUP(D401,$I$3:$J$5,2,FALSE),0)</f>
        <v>0</v>
      </c>
      <c r="F401" s="52"/>
      <c r="G401" s="52"/>
      <c r="H401" s="52"/>
      <c r="I401" s="51" cm="1">
        <f t="array" ref="I401">_xlfn.SWITCH(D401,"C-Flute",(F401+G401)*2+15,"BC-Flute",(F401+G401)*2+11,0)</f>
        <v>0</v>
      </c>
      <c r="J401" s="51" cm="1">
        <f t="array" ref="J401">_xlfn.SWITCH(D401,"C-Flute",(G401+H401)-10,"BC-Flute",(G401+H401)-16,0)</f>
        <v>0</v>
      </c>
      <c r="K401" s="53">
        <f t="shared" si="18"/>
        <v>0</v>
      </c>
      <c r="L401" s="54">
        <f t="shared" si="19"/>
        <v>0</v>
      </c>
      <c r="M401" s="55">
        <f t="shared" si="20"/>
        <v>0</v>
      </c>
      <c r="N401" s="63"/>
    </row>
    <row r="402" spans="1:14">
      <c r="A402" s="43"/>
      <c r="B402" s="43"/>
      <c r="C402" s="36" t="s">
        <v>85</v>
      </c>
      <c r="D402" s="43"/>
      <c r="E402" s="51">
        <f t="shared" si="21"/>
        <v>0</v>
      </c>
      <c r="F402" s="52"/>
      <c r="G402" s="52"/>
      <c r="H402" s="52"/>
      <c r="I402" s="51" cm="1">
        <f t="array" ref="I402">_xlfn.SWITCH(D402,"C-Flute",(F402+G402)*2+15,"BC-Flute",(F402+G402)*2+11,0)</f>
        <v>0</v>
      </c>
      <c r="J402" s="51" cm="1">
        <f t="array" ref="J402">_xlfn.SWITCH(D402,"C-Flute",(G402+H402)-10,"BC-Flute",(G402+H402)-16,0)</f>
        <v>0</v>
      </c>
      <c r="K402" s="53">
        <f t="shared" ref="K402:K465" si="22">I402*J402*(1+10%)/1000000</f>
        <v>0</v>
      </c>
      <c r="L402" s="54">
        <f t="shared" ref="L402:L465" si="23">IFERROR(K402*IFERROR(VLOOKUP(D402,$I$3:$L$5,4,FALSE),"N/A"),0)</f>
        <v>0</v>
      </c>
      <c r="M402" s="55">
        <f t="shared" ref="M402:M465" si="24">IFERROR(L402/$M$4,0)</f>
        <v>0</v>
      </c>
      <c r="N402" s="63"/>
    </row>
    <row r="403" spans="1:14">
      <c r="A403" s="43"/>
      <c r="B403" s="43"/>
      <c r="C403" s="36" t="s">
        <v>85</v>
      </c>
      <c r="D403" s="43"/>
      <c r="E403" s="51">
        <f t="shared" si="21"/>
        <v>0</v>
      </c>
      <c r="F403" s="52"/>
      <c r="G403" s="52"/>
      <c r="H403" s="52"/>
      <c r="I403" s="51" cm="1">
        <f t="array" ref="I403">_xlfn.SWITCH(D403,"C-Flute",(F403+G403)*2+15,"BC-Flute",(F403+G403)*2+11,0)</f>
        <v>0</v>
      </c>
      <c r="J403" s="51" cm="1">
        <f t="array" ref="J403">_xlfn.SWITCH(D403,"C-Flute",(G403+H403)-10,"BC-Flute",(G403+H403)-16,0)</f>
        <v>0</v>
      </c>
      <c r="K403" s="53">
        <f t="shared" si="22"/>
        <v>0</v>
      </c>
      <c r="L403" s="54">
        <f t="shared" si="23"/>
        <v>0</v>
      </c>
      <c r="M403" s="55">
        <f t="shared" si="24"/>
        <v>0</v>
      </c>
      <c r="N403" s="63"/>
    </row>
    <row r="404" spans="1:14">
      <c r="A404" s="43"/>
      <c r="B404" s="43"/>
      <c r="C404" s="36" t="s">
        <v>85</v>
      </c>
      <c r="D404" s="43"/>
      <c r="E404" s="51">
        <f t="shared" si="21"/>
        <v>0</v>
      </c>
      <c r="F404" s="52"/>
      <c r="G404" s="52"/>
      <c r="H404" s="52"/>
      <c r="I404" s="51" cm="1">
        <f t="array" ref="I404">_xlfn.SWITCH(D404,"C-Flute",(F404+G404)*2+15,"BC-Flute",(F404+G404)*2+11,0)</f>
        <v>0</v>
      </c>
      <c r="J404" s="51" cm="1">
        <f t="array" ref="J404">_xlfn.SWITCH(D404,"C-Flute",(G404+H404)-10,"BC-Flute",(G404+H404)-16,0)</f>
        <v>0</v>
      </c>
      <c r="K404" s="53">
        <f t="shared" si="22"/>
        <v>0</v>
      </c>
      <c r="L404" s="54">
        <f t="shared" si="23"/>
        <v>0</v>
      </c>
      <c r="M404" s="55">
        <f t="shared" si="24"/>
        <v>0</v>
      </c>
      <c r="N404" s="63"/>
    </row>
    <row r="405" spans="1:14">
      <c r="A405" s="43"/>
      <c r="B405" s="43"/>
      <c r="C405" s="36" t="s">
        <v>85</v>
      </c>
      <c r="D405" s="43"/>
      <c r="E405" s="51">
        <f t="shared" si="21"/>
        <v>0</v>
      </c>
      <c r="F405" s="52"/>
      <c r="G405" s="52"/>
      <c r="H405" s="52"/>
      <c r="I405" s="51" cm="1">
        <f t="array" ref="I405">_xlfn.SWITCH(D405,"C-Flute",(F405+G405)*2+15,"BC-Flute",(F405+G405)*2+11,0)</f>
        <v>0</v>
      </c>
      <c r="J405" s="51" cm="1">
        <f t="array" ref="J405">_xlfn.SWITCH(D405,"C-Flute",(G405+H405)-10,"BC-Flute",(G405+H405)-16,0)</f>
        <v>0</v>
      </c>
      <c r="K405" s="53">
        <f t="shared" si="22"/>
        <v>0</v>
      </c>
      <c r="L405" s="54">
        <f t="shared" si="23"/>
        <v>0</v>
      </c>
      <c r="M405" s="55">
        <f t="shared" si="24"/>
        <v>0</v>
      </c>
      <c r="N405" s="63"/>
    </row>
    <row r="406" spans="1:14">
      <c r="A406" s="43"/>
      <c r="B406" s="43"/>
      <c r="C406" s="36" t="s">
        <v>85</v>
      </c>
      <c r="D406" s="43"/>
      <c r="E406" s="51">
        <f t="shared" si="21"/>
        <v>0</v>
      </c>
      <c r="F406" s="52"/>
      <c r="G406" s="52"/>
      <c r="H406" s="52"/>
      <c r="I406" s="51" cm="1">
        <f t="array" ref="I406">_xlfn.SWITCH(D406,"C-Flute",(F406+G406)*2+15,"BC-Flute",(F406+G406)*2+11,0)</f>
        <v>0</v>
      </c>
      <c r="J406" s="51" cm="1">
        <f t="array" ref="J406">_xlfn.SWITCH(D406,"C-Flute",(G406+H406)-10,"BC-Flute",(G406+H406)-16,0)</f>
        <v>0</v>
      </c>
      <c r="K406" s="53">
        <f t="shared" si="22"/>
        <v>0</v>
      </c>
      <c r="L406" s="54">
        <f t="shared" si="23"/>
        <v>0</v>
      </c>
      <c r="M406" s="55">
        <f t="shared" si="24"/>
        <v>0</v>
      </c>
      <c r="N406" s="63"/>
    </row>
    <row r="407" spans="1:14">
      <c r="A407" s="43"/>
      <c r="B407" s="43"/>
      <c r="C407" s="36" t="s">
        <v>85</v>
      </c>
      <c r="D407" s="43"/>
      <c r="E407" s="51">
        <f t="shared" si="21"/>
        <v>0</v>
      </c>
      <c r="F407" s="52"/>
      <c r="G407" s="52"/>
      <c r="H407" s="52"/>
      <c r="I407" s="51" cm="1">
        <f t="array" ref="I407">_xlfn.SWITCH(D407,"C-Flute",(F407+G407)*2+15,"BC-Flute",(F407+G407)*2+11,0)</f>
        <v>0</v>
      </c>
      <c r="J407" s="51" cm="1">
        <f t="array" ref="J407">_xlfn.SWITCH(D407,"C-Flute",(G407+H407)-10,"BC-Flute",(G407+H407)-16,0)</f>
        <v>0</v>
      </c>
      <c r="K407" s="53">
        <f t="shared" si="22"/>
        <v>0</v>
      </c>
      <c r="L407" s="54">
        <f t="shared" si="23"/>
        <v>0</v>
      </c>
      <c r="M407" s="55">
        <f t="shared" si="24"/>
        <v>0</v>
      </c>
      <c r="N407" s="63"/>
    </row>
    <row r="408" spans="1:14">
      <c r="A408" s="43"/>
      <c r="B408" s="43"/>
      <c r="C408" s="36" t="s">
        <v>85</v>
      </c>
      <c r="D408" s="43"/>
      <c r="E408" s="51">
        <f t="shared" si="21"/>
        <v>0</v>
      </c>
      <c r="F408" s="52"/>
      <c r="G408" s="52"/>
      <c r="H408" s="52"/>
      <c r="I408" s="51" cm="1">
        <f t="array" ref="I408">_xlfn.SWITCH(D408,"C-Flute",(F408+G408)*2+15,"BC-Flute",(F408+G408)*2+11,0)</f>
        <v>0</v>
      </c>
      <c r="J408" s="51" cm="1">
        <f t="array" ref="J408">_xlfn.SWITCH(D408,"C-Flute",(G408+H408)-10,"BC-Flute",(G408+H408)-16,0)</f>
        <v>0</v>
      </c>
      <c r="K408" s="53">
        <f t="shared" si="22"/>
        <v>0</v>
      </c>
      <c r="L408" s="54">
        <f t="shared" si="23"/>
        <v>0</v>
      </c>
      <c r="M408" s="55">
        <f t="shared" si="24"/>
        <v>0</v>
      </c>
      <c r="N408" s="63"/>
    </row>
    <row r="409" spans="1:14">
      <c r="A409" s="43"/>
      <c r="B409" s="43"/>
      <c r="C409" s="36" t="s">
        <v>85</v>
      </c>
      <c r="D409" s="43"/>
      <c r="E409" s="51">
        <f t="shared" si="21"/>
        <v>0</v>
      </c>
      <c r="F409" s="52"/>
      <c r="G409" s="52"/>
      <c r="H409" s="52"/>
      <c r="I409" s="51" cm="1">
        <f t="array" ref="I409">_xlfn.SWITCH(D409,"C-Flute",(F409+G409)*2+15,"BC-Flute",(F409+G409)*2+11,0)</f>
        <v>0</v>
      </c>
      <c r="J409" s="51" cm="1">
        <f t="array" ref="J409">_xlfn.SWITCH(D409,"C-Flute",(G409+H409)-10,"BC-Flute",(G409+H409)-16,0)</f>
        <v>0</v>
      </c>
      <c r="K409" s="53">
        <f t="shared" si="22"/>
        <v>0</v>
      </c>
      <c r="L409" s="54">
        <f t="shared" si="23"/>
        <v>0</v>
      </c>
      <c r="M409" s="55">
        <f t="shared" si="24"/>
        <v>0</v>
      </c>
      <c r="N409" s="63"/>
    </row>
    <row r="410" spans="1:14">
      <c r="A410" s="43"/>
      <c r="B410" s="43"/>
      <c r="C410" s="36" t="s">
        <v>85</v>
      </c>
      <c r="D410" s="43"/>
      <c r="E410" s="51">
        <f t="shared" si="21"/>
        <v>0</v>
      </c>
      <c r="F410" s="52"/>
      <c r="G410" s="52"/>
      <c r="H410" s="52"/>
      <c r="I410" s="51" cm="1">
        <f t="array" ref="I410">_xlfn.SWITCH(D410,"C-Flute",(F410+G410)*2+15,"BC-Flute",(F410+G410)*2+11,0)</f>
        <v>0</v>
      </c>
      <c r="J410" s="51" cm="1">
        <f t="array" ref="J410">_xlfn.SWITCH(D410,"C-Flute",(G410+H410)-10,"BC-Flute",(G410+H410)-16,0)</f>
        <v>0</v>
      </c>
      <c r="K410" s="53">
        <f t="shared" si="22"/>
        <v>0</v>
      </c>
      <c r="L410" s="54">
        <f t="shared" si="23"/>
        <v>0</v>
      </c>
      <c r="M410" s="55">
        <f t="shared" si="24"/>
        <v>0</v>
      </c>
      <c r="N410" s="63"/>
    </row>
    <row r="411" spans="1:14">
      <c r="A411" s="43"/>
      <c r="B411" s="43"/>
      <c r="C411" s="36" t="s">
        <v>85</v>
      </c>
      <c r="D411" s="43"/>
      <c r="E411" s="51">
        <f t="shared" si="21"/>
        <v>0</v>
      </c>
      <c r="F411" s="52"/>
      <c r="G411" s="52"/>
      <c r="H411" s="52"/>
      <c r="I411" s="51" cm="1">
        <f t="array" ref="I411">_xlfn.SWITCH(D411,"C-Flute",(F411+G411)*2+15,"BC-Flute",(F411+G411)*2+11,0)</f>
        <v>0</v>
      </c>
      <c r="J411" s="51" cm="1">
        <f t="array" ref="J411">_xlfn.SWITCH(D411,"C-Flute",(G411+H411)-10,"BC-Flute",(G411+H411)-16,0)</f>
        <v>0</v>
      </c>
      <c r="K411" s="53">
        <f t="shared" si="22"/>
        <v>0</v>
      </c>
      <c r="L411" s="54">
        <f t="shared" si="23"/>
        <v>0</v>
      </c>
      <c r="M411" s="55">
        <f t="shared" si="24"/>
        <v>0</v>
      </c>
      <c r="N411" s="63"/>
    </row>
    <row r="412" spans="1:14">
      <c r="A412" s="43"/>
      <c r="B412" s="43"/>
      <c r="C412" s="36" t="s">
        <v>85</v>
      </c>
      <c r="D412" s="43"/>
      <c r="E412" s="51">
        <f t="shared" si="21"/>
        <v>0</v>
      </c>
      <c r="F412" s="52"/>
      <c r="G412" s="52"/>
      <c r="H412" s="52"/>
      <c r="I412" s="51" cm="1">
        <f t="array" ref="I412">_xlfn.SWITCH(D412,"C-Flute",(F412+G412)*2+15,"BC-Flute",(F412+G412)*2+11,0)</f>
        <v>0</v>
      </c>
      <c r="J412" s="51" cm="1">
        <f t="array" ref="J412">_xlfn.SWITCH(D412,"C-Flute",(G412+H412)-10,"BC-Flute",(G412+H412)-16,0)</f>
        <v>0</v>
      </c>
      <c r="K412" s="53">
        <f t="shared" si="22"/>
        <v>0</v>
      </c>
      <c r="L412" s="54">
        <f t="shared" si="23"/>
        <v>0</v>
      </c>
      <c r="M412" s="55">
        <f t="shared" si="24"/>
        <v>0</v>
      </c>
      <c r="N412" s="63"/>
    </row>
    <row r="413" spans="1:14">
      <c r="A413" s="43"/>
      <c r="B413" s="43"/>
      <c r="C413" s="36" t="s">
        <v>85</v>
      </c>
      <c r="D413" s="43"/>
      <c r="E413" s="51">
        <f t="shared" si="21"/>
        <v>0</v>
      </c>
      <c r="F413" s="52"/>
      <c r="G413" s="52"/>
      <c r="H413" s="52"/>
      <c r="I413" s="51" cm="1">
        <f t="array" ref="I413">_xlfn.SWITCH(D413,"C-Flute",(F413+G413)*2+15,"BC-Flute",(F413+G413)*2+11,0)</f>
        <v>0</v>
      </c>
      <c r="J413" s="51" cm="1">
        <f t="array" ref="J413">_xlfn.SWITCH(D413,"C-Flute",(G413+H413)-10,"BC-Flute",(G413+H413)-16,0)</f>
        <v>0</v>
      </c>
      <c r="K413" s="53">
        <f t="shared" si="22"/>
        <v>0</v>
      </c>
      <c r="L413" s="54">
        <f t="shared" si="23"/>
        <v>0</v>
      </c>
      <c r="M413" s="55">
        <f t="shared" si="24"/>
        <v>0</v>
      </c>
      <c r="N413" s="63"/>
    </row>
    <row r="414" spans="1:14">
      <c r="A414" s="43"/>
      <c r="B414" s="43"/>
      <c r="C414" s="36" t="s">
        <v>85</v>
      </c>
      <c r="D414" s="43"/>
      <c r="E414" s="51">
        <f t="shared" si="21"/>
        <v>0</v>
      </c>
      <c r="F414" s="52"/>
      <c r="G414" s="52"/>
      <c r="H414" s="52"/>
      <c r="I414" s="51" cm="1">
        <f t="array" ref="I414">_xlfn.SWITCH(D414,"C-Flute",(F414+G414)*2+15,"BC-Flute",(F414+G414)*2+11,0)</f>
        <v>0</v>
      </c>
      <c r="J414" s="51" cm="1">
        <f t="array" ref="J414">_xlfn.SWITCH(D414,"C-Flute",(G414+H414)-10,"BC-Flute",(G414+H414)-16,0)</f>
        <v>0</v>
      </c>
      <c r="K414" s="53">
        <f t="shared" si="22"/>
        <v>0</v>
      </c>
      <c r="L414" s="54">
        <f t="shared" si="23"/>
        <v>0</v>
      </c>
      <c r="M414" s="55">
        <f t="shared" si="24"/>
        <v>0</v>
      </c>
      <c r="N414" s="63"/>
    </row>
    <row r="415" spans="1:14">
      <c r="A415" s="43"/>
      <c r="B415" s="43"/>
      <c r="C415" s="36" t="s">
        <v>85</v>
      </c>
      <c r="D415" s="43"/>
      <c r="E415" s="51">
        <f t="shared" si="21"/>
        <v>0</v>
      </c>
      <c r="F415" s="52"/>
      <c r="G415" s="52"/>
      <c r="H415" s="52"/>
      <c r="I415" s="51" cm="1">
        <f t="array" ref="I415">_xlfn.SWITCH(D415,"C-Flute",(F415+G415)*2+15,"BC-Flute",(F415+G415)*2+11,0)</f>
        <v>0</v>
      </c>
      <c r="J415" s="51" cm="1">
        <f t="array" ref="J415">_xlfn.SWITCH(D415,"C-Flute",(G415+H415)-10,"BC-Flute",(G415+H415)-16,0)</f>
        <v>0</v>
      </c>
      <c r="K415" s="53">
        <f t="shared" si="22"/>
        <v>0</v>
      </c>
      <c r="L415" s="54">
        <f t="shared" si="23"/>
        <v>0</v>
      </c>
      <c r="M415" s="55">
        <f t="shared" si="24"/>
        <v>0</v>
      </c>
      <c r="N415" s="63"/>
    </row>
    <row r="416" spans="1:14">
      <c r="A416" s="43"/>
      <c r="B416" s="43"/>
      <c r="C416" s="36" t="s">
        <v>85</v>
      </c>
      <c r="D416" s="43"/>
      <c r="E416" s="51">
        <f t="shared" si="21"/>
        <v>0</v>
      </c>
      <c r="F416" s="52"/>
      <c r="G416" s="52"/>
      <c r="H416" s="52"/>
      <c r="I416" s="51" cm="1">
        <f t="array" ref="I416">_xlfn.SWITCH(D416,"C-Flute",(F416+G416)*2+15,"BC-Flute",(F416+G416)*2+11,0)</f>
        <v>0</v>
      </c>
      <c r="J416" s="51" cm="1">
        <f t="array" ref="J416">_xlfn.SWITCH(D416,"C-Flute",(G416+H416)-10,"BC-Flute",(G416+H416)-16,0)</f>
        <v>0</v>
      </c>
      <c r="K416" s="53">
        <f t="shared" si="22"/>
        <v>0</v>
      </c>
      <c r="L416" s="54">
        <f t="shared" si="23"/>
        <v>0</v>
      </c>
      <c r="M416" s="55">
        <f t="shared" si="24"/>
        <v>0</v>
      </c>
      <c r="N416" s="63"/>
    </row>
    <row r="417" spans="1:14">
      <c r="A417" s="43"/>
      <c r="B417" s="43"/>
      <c r="C417" s="36" t="s">
        <v>85</v>
      </c>
      <c r="D417" s="43"/>
      <c r="E417" s="51">
        <f t="shared" si="21"/>
        <v>0</v>
      </c>
      <c r="F417" s="52"/>
      <c r="G417" s="52"/>
      <c r="H417" s="52"/>
      <c r="I417" s="51" cm="1">
        <f t="array" ref="I417">_xlfn.SWITCH(D417,"C-Flute",(F417+G417)*2+15,"BC-Flute",(F417+G417)*2+11,0)</f>
        <v>0</v>
      </c>
      <c r="J417" s="51" cm="1">
        <f t="array" ref="J417">_xlfn.SWITCH(D417,"C-Flute",(G417+H417)-10,"BC-Flute",(G417+H417)-16,0)</f>
        <v>0</v>
      </c>
      <c r="K417" s="53">
        <f t="shared" si="22"/>
        <v>0</v>
      </c>
      <c r="L417" s="54">
        <f t="shared" si="23"/>
        <v>0</v>
      </c>
      <c r="M417" s="55">
        <f t="shared" si="24"/>
        <v>0</v>
      </c>
      <c r="N417" s="63"/>
    </row>
    <row r="418" spans="1:14">
      <c r="A418" s="43"/>
      <c r="B418" s="43"/>
      <c r="C418" s="36" t="s">
        <v>85</v>
      </c>
      <c r="D418" s="43"/>
      <c r="E418" s="51">
        <f t="shared" si="21"/>
        <v>0</v>
      </c>
      <c r="F418" s="52"/>
      <c r="G418" s="52"/>
      <c r="H418" s="52"/>
      <c r="I418" s="51" cm="1">
        <f t="array" ref="I418">_xlfn.SWITCH(D418,"C-Flute",(F418+G418)*2+15,"BC-Flute",(F418+G418)*2+11,0)</f>
        <v>0</v>
      </c>
      <c r="J418" s="51" cm="1">
        <f t="array" ref="J418">_xlfn.SWITCH(D418,"C-Flute",(G418+H418)-10,"BC-Flute",(G418+H418)-16,0)</f>
        <v>0</v>
      </c>
      <c r="K418" s="53">
        <f t="shared" si="22"/>
        <v>0</v>
      </c>
      <c r="L418" s="54">
        <f t="shared" si="23"/>
        <v>0</v>
      </c>
      <c r="M418" s="55">
        <f t="shared" si="24"/>
        <v>0</v>
      </c>
      <c r="N418" s="63"/>
    </row>
    <row r="419" spans="1:14">
      <c r="A419" s="43"/>
      <c r="B419" s="43"/>
      <c r="C419" s="36" t="s">
        <v>85</v>
      </c>
      <c r="D419" s="43"/>
      <c r="E419" s="51">
        <f t="shared" si="21"/>
        <v>0</v>
      </c>
      <c r="F419" s="52"/>
      <c r="G419" s="52"/>
      <c r="H419" s="52"/>
      <c r="I419" s="51" cm="1">
        <f t="array" ref="I419">_xlfn.SWITCH(D419,"C-Flute",(F419+G419)*2+15,"BC-Flute",(F419+G419)*2+11,0)</f>
        <v>0</v>
      </c>
      <c r="J419" s="51" cm="1">
        <f t="array" ref="J419">_xlfn.SWITCH(D419,"C-Flute",(G419+H419)-10,"BC-Flute",(G419+H419)-16,0)</f>
        <v>0</v>
      </c>
      <c r="K419" s="53">
        <f t="shared" si="22"/>
        <v>0</v>
      </c>
      <c r="L419" s="54">
        <f t="shared" si="23"/>
        <v>0</v>
      </c>
      <c r="M419" s="55">
        <f t="shared" si="24"/>
        <v>0</v>
      </c>
      <c r="N419" s="63"/>
    </row>
    <row r="420" spans="1:14">
      <c r="A420" s="43"/>
      <c r="B420" s="43"/>
      <c r="C420" s="36" t="s">
        <v>85</v>
      </c>
      <c r="D420" s="43"/>
      <c r="E420" s="51">
        <f t="shared" si="21"/>
        <v>0</v>
      </c>
      <c r="F420" s="52"/>
      <c r="G420" s="52"/>
      <c r="H420" s="52"/>
      <c r="I420" s="51" cm="1">
        <f t="array" ref="I420">_xlfn.SWITCH(D420,"C-Flute",(F420+G420)*2+15,"BC-Flute",(F420+G420)*2+11,0)</f>
        <v>0</v>
      </c>
      <c r="J420" s="51" cm="1">
        <f t="array" ref="J420">_xlfn.SWITCH(D420,"C-Flute",(G420+H420)-10,"BC-Flute",(G420+H420)-16,0)</f>
        <v>0</v>
      </c>
      <c r="K420" s="53">
        <f t="shared" si="22"/>
        <v>0</v>
      </c>
      <c r="L420" s="54">
        <f t="shared" si="23"/>
        <v>0</v>
      </c>
      <c r="M420" s="55">
        <f t="shared" si="24"/>
        <v>0</v>
      </c>
      <c r="N420" s="63"/>
    </row>
    <row r="421" spans="1:14">
      <c r="A421" s="43"/>
      <c r="B421" s="43"/>
      <c r="C421" s="36" t="s">
        <v>85</v>
      </c>
      <c r="D421" s="43"/>
      <c r="E421" s="51">
        <f t="shared" si="21"/>
        <v>0</v>
      </c>
      <c r="F421" s="52"/>
      <c r="G421" s="52"/>
      <c r="H421" s="52"/>
      <c r="I421" s="51" cm="1">
        <f t="array" ref="I421">_xlfn.SWITCH(D421,"C-Flute",(F421+G421)*2+15,"BC-Flute",(F421+G421)*2+11,0)</f>
        <v>0</v>
      </c>
      <c r="J421" s="51" cm="1">
        <f t="array" ref="J421">_xlfn.SWITCH(D421,"C-Flute",(G421+H421)-10,"BC-Flute",(G421+H421)-16,0)</f>
        <v>0</v>
      </c>
      <c r="K421" s="53">
        <f t="shared" si="22"/>
        <v>0</v>
      </c>
      <c r="L421" s="54">
        <f t="shared" si="23"/>
        <v>0</v>
      </c>
      <c r="M421" s="55">
        <f t="shared" si="24"/>
        <v>0</v>
      </c>
      <c r="N421" s="63"/>
    </row>
    <row r="422" spans="1:14">
      <c r="A422" s="43"/>
      <c r="B422" s="43"/>
      <c r="C422" s="36" t="s">
        <v>85</v>
      </c>
      <c r="D422" s="43"/>
      <c r="E422" s="51">
        <f t="shared" si="21"/>
        <v>0</v>
      </c>
      <c r="F422" s="52"/>
      <c r="G422" s="52"/>
      <c r="H422" s="52"/>
      <c r="I422" s="51" cm="1">
        <f t="array" ref="I422">_xlfn.SWITCH(D422,"C-Flute",(F422+G422)*2+15,"BC-Flute",(F422+G422)*2+11,0)</f>
        <v>0</v>
      </c>
      <c r="J422" s="51" cm="1">
        <f t="array" ref="J422">_xlfn.SWITCH(D422,"C-Flute",(G422+H422)-10,"BC-Flute",(G422+H422)-16,0)</f>
        <v>0</v>
      </c>
      <c r="K422" s="53">
        <f t="shared" si="22"/>
        <v>0</v>
      </c>
      <c r="L422" s="54">
        <f t="shared" si="23"/>
        <v>0</v>
      </c>
      <c r="M422" s="55">
        <f t="shared" si="24"/>
        <v>0</v>
      </c>
      <c r="N422" s="63"/>
    </row>
    <row r="423" spans="1:14">
      <c r="A423" s="43"/>
      <c r="B423" s="43"/>
      <c r="C423" s="36" t="s">
        <v>85</v>
      </c>
      <c r="D423" s="43"/>
      <c r="E423" s="51">
        <f t="shared" si="21"/>
        <v>0</v>
      </c>
      <c r="F423" s="52"/>
      <c r="G423" s="52"/>
      <c r="H423" s="52"/>
      <c r="I423" s="51" cm="1">
        <f t="array" ref="I423">_xlfn.SWITCH(D423,"C-Flute",(F423+G423)*2+15,"BC-Flute",(F423+G423)*2+11,0)</f>
        <v>0</v>
      </c>
      <c r="J423" s="51" cm="1">
        <f t="array" ref="J423">_xlfn.SWITCH(D423,"C-Flute",(G423+H423)-10,"BC-Flute",(G423+H423)-16,0)</f>
        <v>0</v>
      </c>
      <c r="K423" s="53">
        <f t="shared" si="22"/>
        <v>0</v>
      </c>
      <c r="L423" s="54">
        <f t="shared" si="23"/>
        <v>0</v>
      </c>
      <c r="M423" s="55">
        <f t="shared" si="24"/>
        <v>0</v>
      </c>
      <c r="N423" s="63"/>
    </row>
    <row r="424" spans="1:14">
      <c r="A424" s="43"/>
      <c r="B424" s="43"/>
      <c r="C424" s="36" t="s">
        <v>85</v>
      </c>
      <c r="D424" s="43"/>
      <c r="E424" s="51">
        <f t="shared" si="21"/>
        <v>0</v>
      </c>
      <c r="F424" s="52"/>
      <c r="G424" s="52"/>
      <c r="H424" s="52"/>
      <c r="I424" s="51" cm="1">
        <f t="array" ref="I424">_xlfn.SWITCH(D424,"C-Flute",(F424+G424)*2+15,"BC-Flute",(F424+G424)*2+11,0)</f>
        <v>0</v>
      </c>
      <c r="J424" s="51" cm="1">
        <f t="array" ref="J424">_xlfn.SWITCH(D424,"C-Flute",(G424+H424)-10,"BC-Flute",(G424+H424)-16,0)</f>
        <v>0</v>
      </c>
      <c r="K424" s="53">
        <f t="shared" si="22"/>
        <v>0</v>
      </c>
      <c r="L424" s="54">
        <f t="shared" si="23"/>
        <v>0</v>
      </c>
      <c r="M424" s="55">
        <f t="shared" si="24"/>
        <v>0</v>
      </c>
      <c r="N424" s="63"/>
    </row>
    <row r="425" spans="1:14">
      <c r="A425" s="43"/>
      <c r="B425" s="43"/>
      <c r="C425" s="36" t="s">
        <v>85</v>
      </c>
      <c r="D425" s="43"/>
      <c r="E425" s="51">
        <f t="shared" si="21"/>
        <v>0</v>
      </c>
      <c r="F425" s="52"/>
      <c r="G425" s="52"/>
      <c r="H425" s="52"/>
      <c r="I425" s="51" cm="1">
        <f t="array" ref="I425">_xlfn.SWITCH(D425,"C-Flute",(F425+G425)*2+15,"BC-Flute",(F425+G425)*2+11,0)</f>
        <v>0</v>
      </c>
      <c r="J425" s="51" cm="1">
        <f t="array" ref="J425">_xlfn.SWITCH(D425,"C-Flute",(G425+H425)-10,"BC-Flute",(G425+H425)-16,0)</f>
        <v>0</v>
      </c>
      <c r="K425" s="53">
        <f t="shared" si="22"/>
        <v>0</v>
      </c>
      <c r="L425" s="54">
        <f t="shared" si="23"/>
        <v>0</v>
      </c>
      <c r="M425" s="55">
        <f t="shared" si="24"/>
        <v>0</v>
      </c>
      <c r="N425" s="63"/>
    </row>
    <row r="426" spans="1:14">
      <c r="A426" s="43"/>
      <c r="B426" s="43"/>
      <c r="C426" s="36" t="s">
        <v>85</v>
      </c>
      <c r="D426" s="43"/>
      <c r="E426" s="51">
        <f t="shared" si="21"/>
        <v>0</v>
      </c>
      <c r="F426" s="52"/>
      <c r="G426" s="52"/>
      <c r="H426" s="52"/>
      <c r="I426" s="51" cm="1">
        <f t="array" ref="I426">_xlfn.SWITCH(D426,"C-Flute",(F426+G426)*2+15,"BC-Flute",(F426+G426)*2+11,0)</f>
        <v>0</v>
      </c>
      <c r="J426" s="51" cm="1">
        <f t="array" ref="J426">_xlfn.SWITCH(D426,"C-Flute",(G426+H426)-10,"BC-Flute",(G426+H426)-16,0)</f>
        <v>0</v>
      </c>
      <c r="K426" s="53">
        <f t="shared" si="22"/>
        <v>0</v>
      </c>
      <c r="L426" s="54">
        <f t="shared" si="23"/>
        <v>0</v>
      </c>
      <c r="M426" s="55">
        <f t="shared" si="24"/>
        <v>0</v>
      </c>
      <c r="N426" s="63"/>
    </row>
    <row r="427" spans="1:14">
      <c r="A427" s="43"/>
      <c r="B427" s="43"/>
      <c r="C427" s="36" t="s">
        <v>85</v>
      </c>
      <c r="D427" s="43"/>
      <c r="E427" s="51">
        <f t="shared" si="21"/>
        <v>0</v>
      </c>
      <c r="F427" s="52"/>
      <c r="G427" s="52"/>
      <c r="H427" s="52"/>
      <c r="I427" s="51" cm="1">
        <f t="array" ref="I427">_xlfn.SWITCH(D427,"C-Flute",(F427+G427)*2+15,"BC-Flute",(F427+G427)*2+11,0)</f>
        <v>0</v>
      </c>
      <c r="J427" s="51" cm="1">
        <f t="array" ref="J427">_xlfn.SWITCH(D427,"C-Flute",(G427+H427)-10,"BC-Flute",(G427+H427)-16,0)</f>
        <v>0</v>
      </c>
      <c r="K427" s="53">
        <f t="shared" si="22"/>
        <v>0</v>
      </c>
      <c r="L427" s="54">
        <f t="shared" si="23"/>
        <v>0</v>
      </c>
      <c r="M427" s="55">
        <f t="shared" si="24"/>
        <v>0</v>
      </c>
      <c r="N427" s="63"/>
    </row>
    <row r="428" spans="1:14">
      <c r="A428" s="43"/>
      <c r="B428" s="43"/>
      <c r="C428" s="36" t="s">
        <v>85</v>
      </c>
      <c r="D428" s="43"/>
      <c r="E428" s="51">
        <f t="shared" si="21"/>
        <v>0</v>
      </c>
      <c r="F428" s="52"/>
      <c r="G428" s="52"/>
      <c r="H428" s="52"/>
      <c r="I428" s="51" cm="1">
        <f t="array" ref="I428">_xlfn.SWITCH(D428,"C-Flute",(F428+G428)*2+15,"BC-Flute",(F428+G428)*2+11,0)</f>
        <v>0</v>
      </c>
      <c r="J428" s="51" cm="1">
        <f t="array" ref="J428">_xlfn.SWITCH(D428,"C-Flute",(G428+H428)-10,"BC-Flute",(G428+H428)-16,0)</f>
        <v>0</v>
      </c>
      <c r="K428" s="53">
        <f t="shared" si="22"/>
        <v>0</v>
      </c>
      <c r="L428" s="54">
        <f t="shared" si="23"/>
        <v>0</v>
      </c>
      <c r="M428" s="55">
        <f t="shared" si="24"/>
        <v>0</v>
      </c>
      <c r="N428" s="63"/>
    </row>
    <row r="429" spans="1:14">
      <c r="A429" s="43"/>
      <c r="B429" s="43"/>
      <c r="C429" s="36" t="s">
        <v>85</v>
      </c>
      <c r="D429" s="43"/>
      <c r="E429" s="51">
        <f t="shared" si="21"/>
        <v>0</v>
      </c>
      <c r="F429" s="52"/>
      <c r="G429" s="52"/>
      <c r="H429" s="52"/>
      <c r="I429" s="51" cm="1">
        <f t="array" ref="I429">_xlfn.SWITCH(D429,"C-Flute",(F429+G429)*2+15,"BC-Flute",(F429+G429)*2+11,0)</f>
        <v>0</v>
      </c>
      <c r="J429" s="51" cm="1">
        <f t="array" ref="J429">_xlfn.SWITCH(D429,"C-Flute",(G429+H429)-10,"BC-Flute",(G429+H429)-16,0)</f>
        <v>0</v>
      </c>
      <c r="K429" s="53">
        <f t="shared" si="22"/>
        <v>0</v>
      </c>
      <c r="L429" s="54">
        <f t="shared" si="23"/>
        <v>0</v>
      </c>
      <c r="M429" s="55">
        <f t="shared" si="24"/>
        <v>0</v>
      </c>
      <c r="N429" s="63"/>
    </row>
    <row r="430" spans="1:14">
      <c r="A430" s="43"/>
      <c r="B430" s="43"/>
      <c r="C430" s="36" t="s">
        <v>85</v>
      </c>
      <c r="D430" s="43"/>
      <c r="E430" s="51">
        <f t="shared" si="21"/>
        <v>0</v>
      </c>
      <c r="F430" s="52"/>
      <c r="G430" s="52"/>
      <c r="H430" s="52"/>
      <c r="I430" s="51" cm="1">
        <f t="array" ref="I430">_xlfn.SWITCH(D430,"C-Flute",(F430+G430)*2+15,"BC-Flute",(F430+G430)*2+11,0)</f>
        <v>0</v>
      </c>
      <c r="J430" s="51" cm="1">
        <f t="array" ref="J430">_xlfn.SWITCH(D430,"C-Flute",(G430+H430)-10,"BC-Flute",(G430+H430)-16,0)</f>
        <v>0</v>
      </c>
      <c r="K430" s="53">
        <f t="shared" si="22"/>
        <v>0</v>
      </c>
      <c r="L430" s="54">
        <f t="shared" si="23"/>
        <v>0</v>
      </c>
      <c r="M430" s="55">
        <f t="shared" si="24"/>
        <v>0</v>
      </c>
      <c r="N430" s="63"/>
    </row>
    <row r="431" spans="1:14">
      <c r="A431" s="43"/>
      <c r="B431" s="43"/>
      <c r="C431" s="36" t="s">
        <v>85</v>
      </c>
      <c r="D431" s="43"/>
      <c r="E431" s="51">
        <f t="shared" si="21"/>
        <v>0</v>
      </c>
      <c r="F431" s="52"/>
      <c r="G431" s="52"/>
      <c r="H431" s="52"/>
      <c r="I431" s="51" cm="1">
        <f t="array" ref="I431">_xlfn.SWITCH(D431,"C-Flute",(F431+G431)*2+15,"BC-Flute",(F431+G431)*2+11,0)</f>
        <v>0</v>
      </c>
      <c r="J431" s="51" cm="1">
        <f t="array" ref="J431">_xlfn.SWITCH(D431,"C-Flute",(G431+H431)-10,"BC-Flute",(G431+H431)-16,0)</f>
        <v>0</v>
      </c>
      <c r="K431" s="53">
        <f t="shared" si="22"/>
        <v>0</v>
      </c>
      <c r="L431" s="54">
        <f t="shared" si="23"/>
        <v>0</v>
      </c>
      <c r="M431" s="55">
        <f t="shared" si="24"/>
        <v>0</v>
      </c>
      <c r="N431" s="63"/>
    </row>
    <row r="432" spans="1:14">
      <c r="A432" s="43"/>
      <c r="B432" s="43"/>
      <c r="C432" s="36" t="s">
        <v>85</v>
      </c>
      <c r="D432" s="43"/>
      <c r="E432" s="51">
        <f t="shared" si="21"/>
        <v>0</v>
      </c>
      <c r="F432" s="52"/>
      <c r="G432" s="52"/>
      <c r="H432" s="52"/>
      <c r="I432" s="51" cm="1">
        <f t="array" ref="I432">_xlfn.SWITCH(D432,"C-Flute",(F432+G432)*2+15,"BC-Flute",(F432+G432)*2+11,0)</f>
        <v>0</v>
      </c>
      <c r="J432" s="51" cm="1">
        <f t="array" ref="J432">_xlfn.SWITCH(D432,"C-Flute",(G432+H432)-10,"BC-Flute",(G432+H432)-16,0)</f>
        <v>0</v>
      </c>
      <c r="K432" s="53">
        <f t="shared" si="22"/>
        <v>0</v>
      </c>
      <c r="L432" s="54">
        <f t="shared" si="23"/>
        <v>0</v>
      </c>
      <c r="M432" s="55">
        <f t="shared" si="24"/>
        <v>0</v>
      </c>
      <c r="N432" s="63"/>
    </row>
    <row r="433" spans="1:14">
      <c r="A433" s="43"/>
      <c r="B433" s="43"/>
      <c r="C433" s="36" t="s">
        <v>85</v>
      </c>
      <c r="D433" s="43"/>
      <c r="E433" s="51">
        <f t="shared" si="21"/>
        <v>0</v>
      </c>
      <c r="F433" s="52"/>
      <c r="G433" s="52"/>
      <c r="H433" s="52"/>
      <c r="I433" s="51" cm="1">
        <f t="array" ref="I433">_xlfn.SWITCH(D433,"C-Flute",(F433+G433)*2+15,"BC-Flute",(F433+G433)*2+11,0)</f>
        <v>0</v>
      </c>
      <c r="J433" s="51" cm="1">
        <f t="array" ref="J433">_xlfn.SWITCH(D433,"C-Flute",(G433+H433)-10,"BC-Flute",(G433+H433)-16,0)</f>
        <v>0</v>
      </c>
      <c r="K433" s="53">
        <f t="shared" si="22"/>
        <v>0</v>
      </c>
      <c r="L433" s="54">
        <f t="shared" si="23"/>
        <v>0</v>
      </c>
      <c r="M433" s="55">
        <f t="shared" si="24"/>
        <v>0</v>
      </c>
      <c r="N433" s="63"/>
    </row>
    <row r="434" spans="1:14">
      <c r="A434" s="43"/>
      <c r="B434" s="43"/>
      <c r="C434" s="36" t="s">
        <v>85</v>
      </c>
      <c r="D434" s="43"/>
      <c r="E434" s="51">
        <f t="shared" si="21"/>
        <v>0</v>
      </c>
      <c r="F434" s="52"/>
      <c r="G434" s="52"/>
      <c r="H434" s="52"/>
      <c r="I434" s="51" cm="1">
        <f t="array" ref="I434">_xlfn.SWITCH(D434,"C-Flute",(F434+G434)*2+15,"BC-Flute",(F434+G434)*2+11,0)</f>
        <v>0</v>
      </c>
      <c r="J434" s="51" cm="1">
        <f t="array" ref="J434">_xlfn.SWITCH(D434,"C-Flute",(G434+H434)-10,"BC-Flute",(G434+H434)-16,0)</f>
        <v>0</v>
      </c>
      <c r="K434" s="53">
        <f t="shared" si="22"/>
        <v>0</v>
      </c>
      <c r="L434" s="54">
        <f t="shared" si="23"/>
        <v>0</v>
      </c>
      <c r="M434" s="55">
        <f t="shared" si="24"/>
        <v>0</v>
      </c>
      <c r="N434" s="63"/>
    </row>
    <row r="435" spans="1:14">
      <c r="A435" s="43"/>
      <c r="B435" s="43"/>
      <c r="C435" s="36" t="s">
        <v>85</v>
      </c>
      <c r="D435" s="43"/>
      <c r="E435" s="51">
        <f t="shared" si="21"/>
        <v>0</v>
      </c>
      <c r="F435" s="52"/>
      <c r="G435" s="52"/>
      <c r="H435" s="52"/>
      <c r="I435" s="51" cm="1">
        <f t="array" ref="I435">_xlfn.SWITCH(D435,"C-Flute",(F435+G435)*2+15,"BC-Flute",(F435+G435)*2+11,0)</f>
        <v>0</v>
      </c>
      <c r="J435" s="51" cm="1">
        <f t="array" ref="J435">_xlfn.SWITCH(D435,"C-Flute",(G435+H435)-10,"BC-Flute",(G435+H435)-16,0)</f>
        <v>0</v>
      </c>
      <c r="K435" s="53">
        <f t="shared" si="22"/>
        <v>0</v>
      </c>
      <c r="L435" s="54">
        <f t="shared" si="23"/>
        <v>0</v>
      </c>
      <c r="M435" s="55">
        <f t="shared" si="24"/>
        <v>0</v>
      </c>
      <c r="N435" s="63"/>
    </row>
    <row r="436" spans="1:14">
      <c r="A436" s="43"/>
      <c r="B436" s="43"/>
      <c r="C436" s="36" t="s">
        <v>85</v>
      </c>
      <c r="D436" s="43"/>
      <c r="E436" s="51">
        <f t="shared" si="21"/>
        <v>0</v>
      </c>
      <c r="F436" s="52"/>
      <c r="G436" s="52"/>
      <c r="H436" s="52"/>
      <c r="I436" s="51" cm="1">
        <f t="array" ref="I436">_xlfn.SWITCH(D436,"C-Flute",(F436+G436)*2+15,"BC-Flute",(F436+G436)*2+11,0)</f>
        <v>0</v>
      </c>
      <c r="J436" s="51" cm="1">
        <f t="array" ref="J436">_xlfn.SWITCH(D436,"C-Flute",(G436+H436)-10,"BC-Flute",(G436+H436)-16,0)</f>
        <v>0</v>
      </c>
      <c r="K436" s="53">
        <f t="shared" si="22"/>
        <v>0</v>
      </c>
      <c r="L436" s="54">
        <f t="shared" si="23"/>
        <v>0</v>
      </c>
      <c r="M436" s="55">
        <f t="shared" si="24"/>
        <v>0</v>
      </c>
      <c r="N436" s="63"/>
    </row>
    <row r="437" spans="1:14">
      <c r="A437" s="43"/>
      <c r="B437" s="43"/>
      <c r="C437" s="36" t="s">
        <v>85</v>
      </c>
      <c r="D437" s="43"/>
      <c r="E437" s="51">
        <f t="shared" si="21"/>
        <v>0</v>
      </c>
      <c r="F437" s="52"/>
      <c r="G437" s="52"/>
      <c r="H437" s="52"/>
      <c r="I437" s="51" cm="1">
        <f t="array" ref="I437">_xlfn.SWITCH(D437,"C-Flute",(F437+G437)*2+15,"BC-Flute",(F437+G437)*2+11,0)</f>
        <v>0</v>
      </c>
      <c r="J437" s="51" cm="1">
        <f t="array" ref="J437">_xlfn.SWITCH(D437,"C-Flute",(G437+H437)-10,"BC-Flute",(G437+H437)-16,0)</f>
        <v>0</v>
      </c>
      <c r="K437" s="53">
        <f t="shared" si="22"/>
        <v>0</v>
      </c>
      <c r="L437" s="54">
        <f t="shared" si="23"/>
        <v>0</v>
      </c>
      <c r="M437" s="55">
        <f t="shared" si="24"/>
        <v>0</v>
      </c>
      <c r="N437" s="63"/>
    </row>
    <row r="438" spans="1:14">
      <c r="A438" s="43"/>
      <c r="B438" s="43"/>
      <c r="C438" s="36" t="s">
        <v>85</v>
      </c>
      <c r="D438" s="43"/>
      <c r="E438" s="51">
        <f t="shared" si="21"/>
        <v>0</v>
      </c>
      <c r="F438" s="52"/>
      <c r="G438" s="52"/>
      <c r="H438" s="52"/>
      <c r="I438" s="51" cm="1">
        <f t="array" ref="I438">_xlfn.SWITCH(D438,"C-Flute",(F438+G438)*2+15,"BC-Flute",(F438+G438)*2+11,0)</f>
        <v>0</v>
      </c>
      <c r="J438" s="51" cm="1">
        <f t="array" ref="J438">_xlfn.SWITCH(D438,"C-Flute",(G438+H438)-10,"BC-Flute",(G438+H438)-16,0)</f>
        <v>0</v>
      </c>
      <c r="K438" s="53">
        <f t="shared" si="22"/>
        <v>0</v>
      </c>
      <c r="L438" s="54">
        <f t="shared" si="23"/>
        <v>0</v>
      </c>
      <c r="M438" s="55">
        <f t="shared" si="24"/>
        <v>0</v>
      </c>
      <c r="N438" s="63"/>
    </row>
    <row r="439" spans="1:14">
      <c r="A439" s="43"/>
      <c r="B439" s="43"/>
      <c r="C439" s="36" t="s">
        <v>85</v>
      </c>
      <c r="D439" s="43"/>
      <c r="E439" s="51">
        <f t="shared" si="21"/>
        <v>0</v>
      </c>
      <c r="F439" s="52"/>
      <c r="G439" s="52"/>
      <c r="H439" s="52"/>
      <c r="I439" s="51" cm="1">
        <f t="array" ref="I439">_xlfn.SWITCH(D439,"C-Flute",(F439+G439)*2+15,"BC-Flute",(F439+G439)*2+11,0)</f>
        <v>0</v>
      </c>
      <c r="J439" s="51" cm="1">
        <f t="array" ref="J439">_xlfn.SWITCH(D439,"C-Flute",(G439+H439)-10,"BC-Flute",(G439+H439)-16,0)</f>
        <v>0</v>
      </c>
      <c r="K439" s="53">
        <f t="shared" si="22"/>
        <v>0</v>
      </c>
      <c r="L439" s="54">
        <f t="shared" si="23"/>
        <v>0</v>
      </c>
      <c r="M439" s="55">
        <f t="shared" si="24"/>
        <v>0</v>
      </c>
      <c r="N439" s="63"/>
    </row>
    <row r="440" spans="1:14">
      <c r="A440" s="43"/>
      <c r="B440" s="43"/>
      <c r="C440" s="36" t="s">
        <v>85</v>
      </c>
      <c r="D440" s="43"/>
      <c r="E440" s="51">
        <f t="shared" si="21"/>
        <v>0</v>
      </c>
      <c r="F440" s="52"/>
      <c r="G440" s="52"/>
      <c r="H440" s="52"/>
      <c r="I440" s="51" cm="1">
        <f t="array" ref="I440">_xlfn.SWITCH(D440,"C-Flute",(F440+G440)*2+15,"BC-Flute",(F440+G440)*2+11,0)</f>
        <v>0</v>
      </c>
      <c r="J440" s="51" cm="1">
        <f t="array" ref="J440">_xlfn.SWITCH(D440,"C-Flute",(G440+H440)-10,"BC-Flute",(G440+H440)-16,0)</f>
        <v>0</v>
      </c>
      <c r="K440" s="53">
        <f t="shared" si="22"/>
        <v>0</v>
      </c>
      <c r="L440" s="54">
        <f t="shared" si="23"/>
        <v>0</v>
      </c>
      <c r="M440" s="55">
        <f t="shared" si="24"/>
        <v>0</v>
      </c>
      <c r="N440" s="63"/>
    </row>
    <row r="441" spans="1:14">
      <c r="A441" s="43"/>
      <c r="B441" s="43"/>
      <c r="C441" s="36" t="s">
        <v>85</v>
      </c>
      <c r="D441" s="43"/>
      <c r="E441" s="51">
        <f t="shared" si="21"/>
        <v>0</v>
      </c>
      <c r="F441" s="52"/>
      <c r="G441" s="52"/>
      <c r="H441" s="52"/>
      <c r="I441" s="51" cm="1">
        <f t="array" ref="I441">_xlfn.SWITCH(D441,"C-Flute",(F441+G441)*2+15,"BC-Flute",(F441+G441)*2+11,0)</f>
        <v>0</v>
      </c>
      <c r="J441" s="51" cm="1">
        <f t="array" ref="J441">_xlfn.SWITCH(D441,"C-Flute",(G441+H441)-10,"BC-Flute",(G441+H441)-16,0)</f>
        <v>0</v>
      </c>
      <c r="K441" s="53">
        <f t="shared" si="22"/>
        <v>0</v>
      </c>
      <c r="L441" s="54">
        <f t="shared" si="23"/>
        <v>0</v>
      </c>
      <c r="M441" s="55">
        <f t="shared" si="24"/>
        <v>0</v>
      </c>
      <c r="N441" s="63"/>
    </row>
    <row r="442" spans="1:14">
      <c r="A442" s="43"/>
      <c r="B442" s="43"/>
      <c r="C442" s="36" t="s">
        <v>85</v>
      </c>
      <c r="D442" s="43"/>
      <c r="E442" s="51">
        <f t="shared" si="21"/>
        <v>0</v>
      </c>
      <c r="F442" s="52"/>
      <c r="G442" s="52"/>
      <c r="H442" s="52"/>
      <c r="I442" s="51" cm="1">
        <f t="array" ref="I442">_xlfn.SWITCH(D442,"C-Flute",(F442+G442)*2+15,"BC-Flute",(F442+G442)*2+11,0)</f>
        <v>0</v>
      </c>
      <c r="J442" s="51" cm="1">
        <f t="array" ref="J442">_xlfn.SWITCH(D442,"C-Flute",(G442+H442)-10,"BC-Flute",(G442+H442)-16,0)</f>
        <v>0</v>
      </c>
      <c r="K442" s="53">
        <f t="shared" si="22"/>
        <v>0</v>
      </c>
      <c r="L442" s="54">
        <f t="shared" si="23"/>
        <v>0</v>
      </c>
      <c r="M442" s="55">
        <f t="shared" si="24"/>
        <v>0</v>
      </c>
      <c r="N442" s="63"/>
    </row>
    <row r="443" spans="1:14">
      <c r="A443" s="43"/>
      <c r="B443" s="43"/>
      <c r="C443" s="36" t="s">
        <v>85</v>
      </c>
      <c r="D443" s="43"/>
      <c r="E443" s="51">
        <f t="shared" si="21"/>
        <v>0</v>
      </c>
      <c r="F443" s="52"/>
      <c r="G443" s="52"/>
      <c r="H443" s="52"/>
      <c r="I443" s="51" cm="1">
        <f t="array" ref="I443">_xlfn.SWITCH(D443,"C-Flute",(F443+G443)*2+15,"BC-Flute",(F443+G443)*2+11,0)</f>
        <v>0</v>
      </c>
      <c r="J443" s="51" cm="1">
        <f t="array" ref="J443">_xlfn.SWITCH(D443,"C-Flute",(G443+H443)-10,"BC-Flute",(G443+H443)-16,0)</f>
        <v>0</v>
      </c>
      <c r="K443" s="53">
        <f t="shared" si="22"/>
        <v>0</v>
      </c>
      <c r="L443" s="54">
        <f t="shared" si="23"/>
        <v>0</v>
      </c>
      <c r="M443" s="55">
        <f t="shared" si="24"/>
        <v>0</v>
      </c>
      <c r="N443" s="63"/>
    </row>
    <row r="444" spans="1:14">
      <c r="A444" s="43"/>
      <c r="B444" s="43"/>
      <c r="C444" s="36" t="s">
        <v>85</v>
      </c>
      <c r="D444" s="43"/>
      <c r="E444" s="51">
        <f t="shared" si="21"/>
        <v>0</v>
      </c>
      <c r="F444" s="52"/>
      <c r="G444" s="52"/>
      <c r="H444" s="52"/>
      <c r="I444" s="51" cm="1">
        <f t="array" ref="I444">_xlfn.SWITCH(D444,"C-Flute",(F444+G444)*2+15,"BC-Flute",(F444+G444)*2+11,0)</f>
        <v>0</v>
      </c>
      <c r="J444" s="51" cm="1">
        <f t="array" ref="J444">_xlfn.SWITCH(D444,"C-Flute",(G444+H444)-10,"BC-Flute",(G444+H444)-16,0)</f>
        <v>0</v>
      </c>
      <c r="K444" s="53">
        <f t="shared" si="22"/>
        <v>0</v>
      </c>
      <c r="L444" s="54">
        <f t="shared" si="23"/>
        <v>0</v>
      </c>
      <c r="M444" s="55">
        <f t="shared" si="24"/>
        <v>0</v>
      </c>
      <c r="N444" s="63"/>
    </row>
    <row r="445" spans="1:14">
      <c r="A445" s="43"/>
      <c r="B445" s="43"/>
      <c r="C445" s="36" t="s">
        <v>85</v>
      </c>
      <c r="D445" s="43"/>
      <c r="E445" s="51">
        <f t="shared" si="21"/>
        <v>0</v>
      </c>
      <c r="F445" s="52"/>
      <c r="G445" s="52"/>
      <c r="H445" s="52"/>
      <c r="I445" s="51" cm="1">
        <f t="array" ref="I445">_xlfn.SWITCH(D445,"C-Flute",(F445+G445)*2+15,"BC-Flute",(F445+G445)*2+11,0)</f>
        <v>0</v>
      </c>
      <c r="J445" s="51" cm="1">
        <f t="array" ref="J445">_xlfn.SWITCH(D445,"C-Flute",(G445+H445)-10,"BC-Flute",(G445+H445)-16,0)</f>
        <v>0</v>
      </c>
      <c r="K445" s="53">
        <f t="shared" si="22"/>
        <v>0</v>
      </c>
      <c r="L445" s="54">
        <f t="shared" si="23"/>
        <v>0</v>
      </c>
      <c r="M445" s="55">
        <f t="shared" si="24"/>
        <v>0</v>
      </c>
      <c r="N445" s="63"/>
    </row>
    <row r="446" spans="1:14">
      <c r="A446" s="43"/>
      <c r="B446" s="43"/>
      <c r="C446" s="36" t="s">
        <v>85</v>
      </c>
      <c r="D446" s="43"/>
      <c r="E446" s="51">
        <f t="shared" si="21"/>
        <v>0</v>
      </c>
      <c r="F446" s="52"/>
      <c r="G446" s="52"/>
      <c r="H446" s="52"/>
      <c r="I446" s="51" cm="1">
        <f t="array" ref="I446">_xlfn.SWITCH(D446,"C-Flute",(F446+G446)*2+15,"BC-Flute",(F446+G446)*2+11,0)</f>
        <v>0</v>
      </c>
      <c r="J446" s="51" cm="1">
        <f t="array" ref="J446">_xlfn.SWITCH(D446,"C-Flute",(G446+H446)-10,"BC-Flute",(G446+H446)-16,0)</f>
        <v>0</v>
      </c>
      <c r="K446" s="53">
        <f t="shared" si="22"/>
        <v>0</v>
      </c>
      <c r="L446" s="54">
        <f t="shared" si="23"/>
        <v>0</v>
      </c>
      <c r="M446" s="55">
        <f t="shared" si="24"/>
        <v>0</v>
      </c>
      <c r="N446" s="63"/>
    </row>
    <row r="447" spans="1:14">
      <c r="A447" s="43"/>
      <c r="B447" s="43"/>
      <c r="C447" s="36" t="s">
        <v>85</v>
      </c>
      <c r="D447" s="43"/>
      <c r="E447" s="51">
        <f t="shared" si="21"/>
        <v>0</v>
      </c>
      <c r="F447" s="52"/>
      <c r="G447" s="52"/>
      <c r="H447" s="52"/>
      <c r="I447" s="51" cm="1">
        <f t="array" ref="I447">_xlfn.SWITCH(D447,"C-Flute",(F447+G447)*2+15,"BC-Flute",(F447+G447)*2+11,0)</f>
        <v>0</v>
      </c>
      <c r="J447" s="51" cm="1">
        <f t="array" ref="J447">_xlfn.SWITCH(D447,"C-Flute",(G447+H447)-10,"BC-Flute",(G447+H447)-16,0)</f>
        <v>0</v>
      </c>
      <c r="K447" s="53">
        <f t="shared" si="22"/>
        <v>0</v>
      </c>
      <c r="L447" s="54">
        <f t="shared" si="23"/>
        <v>0</v>
      </c>
      <c r="M447" s="55">
        <f t="shared" si="24"/>
        <v>0</v>
      </c>
      <c r="N447" s="63"/>
    </row>
    <row r="448" spans="1:14">
      <c r="A448" s="43"/>
      <c r="B448" s="43"/>
      <c r="C448" s="36" t="s">
        <v>85</v>
      </c>
      <c r="D448" s="43"/>
      <c r="E448" s="51">
        <f t="shared" si="21"/>
        <v>0</v>
      </c>
      <c r="F448" s="52"/>
      <c r="G448" s="52"/>
      <c r="H448" s="52"/>
      <c r="I448" s="51" cm="1">
        <f t="array" ref="I448">_xlfn.SWITCH(D448,"C-Flute",(F448+G448)*2+15,"BC-Flute",(F448+G448)*2+11,0)</f>
        <v>0</v>
      </c>
      <c r="J448" s="51" cm="1">
        <f t="array" ref="J448">_xlfn.SWITCH(D448,"C-Flute",(G448+H448)-10,"BC-Flute",(G448+H448)-16,0)</f>
        <v>0</v>
      </c>
      <c r="K448" s="53">
        <f t="shared" si="22"/>
        <v>0</v>
      </c>
      <c r="L448" s="54">
        <f t="shared" si="23"/>
        <v>0</v>
      </c>
      <c r="M448" s="55">
        <f t="shared" si="24"/>
        <v>0</v>
      </c>
      <c r="N448" s="63"/>
    </row>
    <row r="449" spans="1:14">
      <c r="A449" s="43"/>
      <c r="B449" s="43"/>
      <c r="C449" s="36" t="s">
        <v>85</v>
      </c>
      <c r="D449" s="43"/>
      <c r="E449" s="51">
        <f t="shared" si="21"/>
        <v>0</v>
      </c>
      <c r="F449" s="52"/>
      <c r="G449" s="52"/>
      <c r="H449" s="52"/>
      <c r="I449" s="51" cm="1">
        <f t="array" ref="I449">_xlfn.SWITCH(D449,"C-Flute",(F449+G449)*2+15,"BC-Flute",(F449+G449)*2+11,0)</f>
        <v>0</v>
      </c>
      <c r="J449" s="51" cm="1">
        <f t="array" ref="J449">_xlfn.SWITCH(D449,"C-Flute",(G449+H449)-10,"BC-Flute",(G449+H449)-16,0)</f>
        <v>0</v>
      </c>
      <c r="K449" s="53">
        <f t="shared" si="22"/>
        <v>0</v>
      </c>
      <c r="L449" s="54">
        <f t="shared" si="23"/>
        <v>0</v>
      </c>
      <c r="M449" s="55">
        <f t="shared" si="24"/>
        <v>0</v>
      </c>
      <c r="N449" s="63"/>
    </row>
    <row r="450" spans="1:14">
      <c r="A450" s="43"/>
      <c r="B450" s="43"/>
      <c r="C450" s="36" t="s">
        <v>85</v>
      </c>
      <c r="D450" s="43"/>
      <c r="E450" s="51">
        <f t="shared" si="21"/>
        <v>0</v>
      </c>
      <c r="F450" s="52"/>
      <c r="G450" s="52"/>
      <c r="H450" s="52"/>
      <c r="I450" s="51" cm="1">
        <f t="array" ref="I450">_xlfn.SWITCH(D450,"C-Flute",(F450+G450)*2+15,"BC-Flute",(F450+G450)*2+11,0)</f>
        <v>0</v>
      </c>
      <c r="J450" s="51" cm="1">
        <f t="array" ref="J450">_xlfn.SWITCH(D450,"C-Flute",(G450+H450)-10,"BC-Flute",(G450+H450)-16,0)</f>
        <v>0</v>
      </c>
      <c r="K450" s="53">
        <f t="shared" si="22"/>
        <v>0</v>
      </c>
      <c r="L450" s="54">
        <f t="shared" si="23"/>
        <v>0</v>
      </c>
      <c r="M450" s="55">
        <f t="shared" si="24"/>
        <v>0</v>
      </c>
      <c r="N450" s="63"/>
    </row>
    <row r="451" spans="1:14">
      <c r="A451" s="43"/>
      <c r="B451" s="43"/>
      <c r="C451" s="36" t="s">
        <v>85</v>
      </c>
      <c r="D451" s="43"/>
      <c r="E451" s="51">
        <f t="shared" si="21"/>
        <v>0</v>
      </c>
      <c r="F451" s="52"/>
      <c r="G451" s="52"/>
      <c r="H451" s="52"/>
      <c r="I451" s="51" cm="1">
        <f t="array" ref="I451">_xlfn.SWITCH(D451,"C-Flute",(F451+G451)*2+15,"BC-Flute",(F451+G451)*2+11,0)</f>
        <v>0</v>
      </c>
      <c r="J451" s="51" cm="1">
        <f t="array" ref="J451">_xlfn.SWITCH(D451,"C-Flute",(G451+H451)-10,"BC-Flute",(G451+H451)-16,0)</f>
        <v>0</v>
      </c>
      <c r="K451" s="53">
        <f t="shared" si="22"/>
        <v>0</v>
      </c>
      <c r="L451" s="54">
        <f t="shared" si="23"/>
        <v>0</v>
      </c>
      <c r="M451" s="55">
        <f t="shared" si="24"/>
        <v>0</v>
      </c>
      <c r="N451" s="63"/>
    </row>
    <row r="452" spans="1:14">
      <c r="A452" s="43"/>
      <c r="B452" s="43"/>
      <c r="C452" s="36" t="s">
        <v>85</v>
      </c>
      <c r="D452" s="43"/>
      <c r="E452" s="51">
        <f t="shared" si="21"/>
        <v>0</v>
      </c>
      <c r="F452" s="52"/>
      <c r="G452" s="52"/>
      <c r="H452" s="52"/>
      <c r="I452" s="51" cm="1">
        <f t="array" ref="I452">_xlfn.SWITCH(D452,"C-Flute",(F452+G452)*2+15,"BC-Flute",(F452+G452)*2+11,0)</f>
        <v>0</v>
      </c>
      <c r="J452" s="51" cm="1">
        <f t="array" ref="J452">_xlfn.SWITCH(D452,"C-Flute",(G452+H452)-10,"BC-Flute",(G452+H452)-16,0)</f>
        <v>0</v>
      </c>
      <c r="K452" s="53">
        <f t="shared" si="22"/>
        <v>0</v>
      </c>
      <c r="L452" s="54">
        <f t="shared" si="23"/>
        <v>0</v>
      </c>
      <c r="M452" s="55">
        <f t="shared" si="24"/>
        <v>0</v>
      </c>
      <c r="N452" s="63"/>
    </row>
    <row r="453" spans="1:14">
      <c r="A453" s="43"/>
      <c r="B453" s="43"/>
      <c r="C453" s="36" t="s">
        <v>85</v>
      </c>
      <c r="D453" s="43"/>
      <c r="E453" s="51">
        <f t="shared" si="21"/>
        <v>0</v>
      </c>
      <c r="F453" s="52"/>
      <c r="G453" s="52"/>
      <c r="H453" s="52"/>
      <c r="I453" s="51" cm="1">
        <f t="array" ref="I453">_xlfn.SWITCH(D453,"C-Flute",(F453+G453)*2+15,"BC-Flute",(F453+G453)*2+11,0)</f>
        <v>0</v>
      </c>
      <c r="J453" s="51" cm="1">
        <f t="array" ref="J453">_xlfn.SWITCH(D453,"C-Flute",(G453+H453)-10,"BC-Flute",(G453+H453)-16,0)</f>
        <v>0</v>
      </c>
      <c r="K453" s="53">
        <f t="shared" si="22"/>
        <v>0</v>
      </c>
      <c r="L453" s="54">
        <f t="shared" si="23"/>
        <v>0</v>
      </c>
      <c r="M453" s="55">
        <f t="shared" si="24"/>
        <v>0</v>
      </c>
      <c r="N453" s="63"/>
    </row>
    <row r="454" spans="1:14">
      <c r="A454" s="43"/>
      <c r="B454" s="43"/>
      <c r="C454" s="36" t="s">
        <v>85</v>
      </c>
      <c r="D454" s="43"/>
      <c r="E454" s="51">
        <f t="shared" si="21"/>
        <v>0</v>
      </c>
      <c r="F454" s="52"/>
      <c r="G454" s="52"/>
      <c r="H454" s="52"/>
      <c r="I454" s="51" cm="1">
        <f t="array" ref="I454">_xlfn.SWITCH(D454,"C-Flute",(F454+G454)*2+15,"BC-Flute",(F454+G454)*2+11,0)</f>
        <v>0</v>
      </c>
      <c r="J454" s="51" cm="1">
        <f t="array" ref="J454">_xlfn.SWITCH(D454,"C-Flute",(G454+H454)-10,"BC-Flute",(G454+H454)-16,0)</f>
        <v>0</v>
      </c>
      <c r="K454" s="53">
        <f t="shared" si="22"/>
        <v>0</v>
      </c>
      <c r="L454" s="54">
        <f t="shared" si="23"/>
        <v>0</v>
      </c>
      <c r="M454" s="55">
        <f t="shared" si="24"/>
        <v>0</v>
      </c>
      <c r="N454" s="63"/>
    </row>
    <row r="455" spans="1:14">
      <c r="A455" s="43"/>
      <c r="B455" s="43"/>
      <c r="C455" s="36" t="s">
        <v>85</v>
      </c>
      <c r="D455" s="43"/>
      <c r="E455" s="51">
        <f t="shared" si="21"/>
        <v>0</v>
      </c>
      <c r="F455" s="52"/>
      <c r="G455" s="52"/>
      <c r="H455" s="52"/>
      <c r="I455" s="51" cm="1">
        <f t="array" ref="I455">_xlfn.SWITCH(D455,"C-Flute",(F455+G455)*2+15,"BC-Flute",(F455+G455)*2+11,0)</f>
        <v>0</v>
      </c>
      <c r="J455" s="51" cm="1">
        <f t="array" ref="J455">_xlfn.SWITCH(D455,"C-Flute",(G455+H455)-10,"BC-Flute",(G455+H455)-16,0)</f>
        <v>0</v>
      </c>
      <c r="K455" s="53">
        <f t="shared" si="22"/>
        <v>0</v>
      </c>
      <c r="L455" s="54">
        <f t="shared" si="23"/>
        <v>0</v>
      </c>
      <c r="M455" s="55">
        <f t="shared" si="24"/>
        <v>0</v>
      </c>
      <c r="N455" s="63"/>
    </row>
    <row r="456" spans="1:14">
      <c r="A456" s="43"/>
      <c r="B456" s="43"/>
      <c r="C456" s="36" t="s">
        <v>85</v>
      </c>
      <c r="D456" s="43"/>
      <c r="E456" s="51">
        <f t="shared" si="21"/>
        <v>0</v>
      </c>
      <c r="F456" s="52"/>
      <c r="G456" s="52"/>
      <c r="H456" s="52"/>
      <c r="I456" s="51" cm="1">
        <f t="array" ref="I456">_xlfn.SWITCH(D456,"C-Flute",(F456+G456)*2+15,"BC-Flute",(F456+G456)*2+11,0)</f>
        <v>0</v>
      </c>
      <c r="J456" s="51" cm="1">
        <f t="array" ref="J456">_xlfn.SWITCH(D456,"C-Flute",(G456+H456)-10,"BC-Flute",(G456+H456)-16,0)</f>
        <v>0</v>
      </c>
      <c r="K456" s="53">
        <f t="shared" si="22"/>
        <v>0</v>
      </c>
      <c r="L456" s="54">
        <f t="shared" si="23"/>
        <v>0</v>
      </c>
      <c r="M456" s="55">
        <f t="shared" si="24"/>
        <v>0</v>
      </c>
      <c r="N456" s="63"/>
    </row>
    <row r="457" spans="1:14">
      <c r="A457" s="43"/>
      <c r="B457" s="43"/>
      <c r="C457" s="36" t="s">
        <v>85</v>
      </c>
      <c r="D457" s="43"/>
      <c r="E457" s="51">
        <f t="shared" si="21"/>
        <v>0</v>
      </c>
      <c r="F457" s="52"/>
      <c r="G457" s="52"/>
      <c r="H457" s="52"/>
      <c r="I457" s="51" cm="1">
        <f t="array" ref="I457">_xlfn.SWITCH(D457,"C-Flute",(F457+G457)*2+15,"BC-Flute",(F457+G457)*2+11,0)</f>
        <v>0</v>
      </c>
      <c r="J457" s="51" cm="1">
        <f t="array" ref="J457">_xlfn.SWITCH(D457,"C-Flute",(G457+H457)-10,"BC-Flute",(G457+H457)-16,0)</f>
        <v>0</v>
      </c>
      <c r="K457" s="53">
        <f t="shared" si="22"/>
        <v>0</v>
      </c>
      <c r="L457" s="54">
        <f t="shared" si="23"/>
        <v>0</v>
      </c>
      <c r="M457" s="55">
        <f t="shared" si="24"/>
        <v>0</v>
      </c>
      <c r="N457" s="63"/>
    </row>
    <row r="458" spans="1:14">
      <c r="A458" s="43"/>
      <c r="B458" s="43"/>
      <c r="C458" s="36" t="s">
        <v>85</v>
      </c>
      <c r="D458" s="43"/>
      <c r="E458" s="51">
        <f t="shared" si="21"/>
        <v>0</v>
      </c>
      <c r="F458" s="52"/>
      <c r="G458" s="52"/>
      <c r="H458" s="52"/>
      <c r="I458" s="51" cm="1">
        <f t="array" ref="I458">_xlfn.SWITCH(D458,"C-Flute",(F458+G458)*2+15,"BC-Flute",(F458+G458)*2+11,0)</f>
        <v>0</v>
      </c>
      <c r="J458" s="51" cm="1">
        <f t="array" ref="J458">_xlfn.SWITCH(D458,"C-Flute",(G458+H458)-10,"BC-Flute",(G458+H458)-16,0)</f>
        <v>0</v>
      </c>
      <c r="K458" s="53">
        <f t="shared" si="22"/>
        <v>0</v>
      </c>
      <c r="L458" s="54">
        <f t="shared" si="23"/>
        <v>0</v>
      </c>
      <c r="M458" s="55">
        <f t="shared" si="24"/>
        <v>0</v>
      </c>
      <c r="N458" s="63"/>
    </row>
    <row r="459" spans="1:14">
      <c r="A459" s="43"/>
      <c r="B459" s="43"/>
      <c r="C459" s="36" t="s">
        <v>85</v>
      </c>
      <c r="D459" s="43"/>
      <c r="E459" s="51">
        <f t="shared" si="21"/>
        <v>0</v>
      </c>
      <c r="F459" s="52"/>
      <c r="G459" s="52"/>
      <c r="H459" s="52"/>
      <c r="I459" s="51" cm="1">
        <f t="array" ref="I459">_xlfn.SWITCH(D459,"C-Flute",(F459+G459)*2+15,"BC-Flute",(F459+G459)*2+11,0)</f>
        <v>0</v>
      </c>
      <c r="J459" s="51" cm="1">
        <f t="array" ref="J459">_xlfn.SWITCH(D459,"C-Flute",(G459+H459)-10,"BC-Flute",(G459+H459)-16,0)</f>
        <v>0</v>
      </c>
      <c r="K459" s="53">
        <f t="shared" si="22"/>
        <v>0</v>
      </c>
      <c r="L459" s="54">
        <f t="shared" si="23"/>
        <v>0</v>
      </c>
      <c r="M459" s="55">
        <f t="shared" si="24"/>
        <v>0</v>
      </c>
      <c r="N459" s="63"/>
    </row>
    <row r="460" spans="1:14">
      <c r="A460" s="43"/>
      <c r="B460" s="43"/>
      <c r="C460" s="36" t="s">
        <v>85</v>
      </c>
      <c r="D460" s="43"/>
      <c r="E460" s="51">
        <f t="shared" si="21"/>
        <v>0</v>
      </c>
      <c r="F460" s="52"/>
      <c r="G460" s="52"/>
      <c r="H460" s="52"/>
      <c r="I460" s="51" cm="1">
        <f t="array" ref="I460">_xlfn.SWITCH(D460,"C-Flute",(F460+G460)*2+15,"BC-Flute",(F460+G460)*2+11,0)</f>
        <v>0</v>
      </c>
      <c r="J460" s="51" cm="1">
        <f t="array" ref="J460">_xlfn.SWITCH(D460,"C-Flute",(G460+H460)-10,"BC-Flute",(G460+H460)-16,0)</f>
        <v>0</v>
      </c>
      <c r="K460" s="53">
        <f t="shared" si="22"/>
        <v>0</v>
      </c>
      <c r="L460" s="54">
        <f t="shared" si="23"/>
        <v>0</v>
      </c>
      <c r="M460" s="55">
        <f t="shared" si="24"/>
        <v>0</v>
      </c>
      <c r="N460" s="63"/>
    </row>
    <row r="461" spans="1:14">
      <c r="A461" s="43"/>
      <c r="B461" s="43"/>
      <c r="C461" s="36" t="s">
        <v>85</v>
      </c>
      <c r="D461" s="43"/>
      <c r="E461" s="51">
        <f t="shared" si="21"/>
        <v>0</v>
      </c>
      <c r="F461" s="52"/>
      <c r="G461" s="52"/>
      <c r="H461" s="52"/>
      <c r="I461" s="51" cm="1">
        <f t="array" ref="I461">_xlfn.SWITCH(D461,"C-Flute",(F461+G461)*2+15,"BC-Flute",(F461+G461)*2+11,0)</f>
        <v>0</v>
      </c>
      <c r="J461" s="51" cm="1">
        <f t="array" ref="J461">_xlfn.SWITCH(D461,"C-Flute",(G461+H461)-10,"BC-Flute",(G461+H461)-16,0)</f>
        <v>0</v>
      </c>
      <c r="K461" s="53">
        <f t="shared" si="22"/>
        <v>0</v>
      </c>
      <c r="L461" s="54">
        <f t="shared" si="23"/>
        <v>0</v>
      </c>
      <c r="M461" s="55">
        <f t="shared" si="24"/>
        <v>0</v>
      </c>
      <c r="N461" s="63"/>
    </row>
    <row r="462" spans="1:14">
      <c r="A462" s="43"/>
      <c r="B462" s="43"/>
      <c r="C462" s="36" t="s">
        <v>85</v>
      </c>
      <c r="D462" s="43"/>
      <c r="E462" s="51">
        <f t="shared" si="21"/>
        <v>0</v>
      </c>
      <c r="F462" s="52"/>
      <c r="G462" s="52"/>
      <c r="H462" s="52"/>
      <c r="I462" s="51" cm="1">
        <f t="array" ref="I462">_xlfn.SWITCH(D462,"C-Flute",(F462+G462)*2+15,"BC-Flute",(F462+G462)*2+11,0)</f>
        <v>0</v>
      </c>
      <c r="J462" s="51" cm="1">
        <f t="array" ref="J462">_xlfn.SWITCH(D462,"C-Flute",(G462+H462)-10,"BC-Flute",(G462+H462)-16,0)</f>
        <v>0</v>
      </c>
      <c r="K462" s="53">
        <f t="shared" si="22"/>
        <v>0</v>
      </c>
      <c r="L462" s="54">
        <f t="shared" si="23"/>
        <v>0</v>
      </c>
      <c r="M462" s="55">
        <f t="shared" si="24"/>
        <v>0</v>
      </c>
      <c r="N462" s="63"/>
    </row>
    <row r="463" spans="1:14">
      <c r="A463" s="43"/>
      <c r="B463" s="43"/>
      <c r="C463" s="36" t="s">
        <v>85</v>
      </c>
      <c r="D463" s="43"/>
      <c r="E463" s="51">
        <f t="shared" si="21"/>
        <v>0</v>
      </c>
      <c r="F463" s="52"/>
      <c r="G463" s="52"/>
      <c r="H463" s="52"/>
      <c r="I463" s="51" cm="1">
        <f t="array" ref="I463">_xlfn.SWITCH(D463,"C-Flute",(F463+G463)*2+15,"BC-Flute",(F463+G463)*2+11,0)</f>
        <v>0</v>
      </c>
      <c r="J463" s="51" cm="1">
        <f t="array" ref="J463">_xlfn.SWITCH(D463,"C-Flute",(G463+H463)-10,"BC-Flute",(G463+H463)-16,0)</f>
        <v>0</v>
      </c>
      <c r="K463" s="53">
        <f t="shared" si="22"/>
        <v>0</v>
      </c>
      <c r="L463" s="54">
        <f t="shared" si="23"/>
        <v>0</v>
      </c>
      <c r="M463" s="55">
        <f t="shared" si="24"/>
        <v>0</v>
      </c>
      <c r="N463" s="63"/>
    </row>
    <row r="464" spans="1:14">
      <c r="A464" s="43"/>
      <c r="B464" s="43"/>
      <c r="C464" s="36" t="s">
        <v>85</v>
      </c>
      <c r="D464" s="43"/>
      <c r="E464" s="51">
        <f t="shared" si="21"/>
        <v>0</v>
      </c>
      <c r="F464" s="52"/>
      <c r="G464" s="52"/>
      <c r="H464" s="52"/>
      <c r="I464" s="51" cm="1">
        <f t="array" ref="I464">_xlfn.SWITCH(D464,"C-Flute",(F464+G464)*2+15,"BC-Flute",(F464+G464)*2+11,0)</f>
        <v>0</v>
      </c>
      <c r="J464" s="51" cm="1">
        <f t="array" ref="J464">_xlfn.SWITCH(D464,"C-Flute",(G464+H464)-10,"BC-Flute",(G464+H464)-16,0)</f>
        <v>0</v>
      </c>
      <c r="K464" s="53">
        <f t="shared" si="22"/>
        <v>0</v>
      </c>
      <c r="L464" s="54">
        <f t="shared" si="23"/>
        <v>0</v>
      </c>
      <c r="M464" s="55">
        <f t="shared" si="24"/>
        <v>0</v>
      </c>
      <c r="N464" s="63"/>
    </row>
    <row r="465" spans="1:14">
      <c r="A465" s="43"/>
      <c r="B465" s="43"/>
      <c r="C465" s="36" t="s">
        <v>85</v>
      </c>
      <c r="D465" s="43"/>
      <c r="E465" s="51">
        <f t="shared" ref="E465:E528" si="25">IFERROR(VLOOKUP(D465,$I$3:$J$5,2,FALSE),0)</f>
        <v>0</v>
      </c>
      <c r="F465" s="52"/>
      <c r="G465" s="52"/>
      <c r="H465" s="52"/>
      <c r="I465" s="51" cm="1">
        <f t="array" ref="I465">_xlfn.SWITCH(D465,"C-Flute",(F465+G465)*2+15,"BC-Flute",(F465+G465)*2+11,0)</f>
        <v>0</v>
      </c>
      <c r="J465" s="51" cm="1">
        <f t="array" ref="J465">_xlfn.SWITCH(D465,"C-Flute",(G465+H465)-10,"BC-Flute",(G465+H465)-16,0)</f>
        <v>0</v>
      </c>
      <c r="K465" s="53">
        <f t="shared" si="22"/>
        <v>0</v>
      </c>
      <c r="L465" s="54">
        <f t="shared" si="23"/>
        <v>0</v>
      </c>
      <c r="M465" s="55">
        <f t="shared" si="24"/>
        <v>0</v>
      </c>
      <c r="N465" s="63"/>
    </row>
    <row r="466" spans="1:14">
      <c r="A466" s="43"/>
      <c r="B466" s="43"/>
      <c r="C466" s="36" t="s">
        <v>85</v>
      </c>
      <c r="D466" s="43"/>
      <c r="E466" s="51">
        <f t="shared" si="25"/>
        <v>0</v>
      </c>
      <c r="F466" s="52"/>
      <c r="G466" s="52"/>
      <c r="H466" s="52"/>
      <c r="I466" s="51" cm="1">
        <f t="array" ref="I466">_xlfn.SWITCH(D466,"C-Flute",(F466+G466)*2+15,"BC-Flute",(F466+G466)*2+11,0)</f>
        <v>0</v>
      </c>
      <c r="J466" s="51" cm="1">
        <f t="array" ref="J466">_xlfn.SWITCH(D466,"C-Flute",(G466+H466)-10,"BC-Flute",(G466+H466)-16,0)</f>
        <v>0</v>
      </c>
      <c r="K466" s="53">
        <f t="shared" ref="K466:K529" si="26">I466*J466*(1+10%)/1000000</f>
        <v>0</v>
      </c>
      <c r="L466" s="54">
        <f t="shared" ref="L466:L529" si="27">IFERROR(K466*IFERROR(VLOOKUP(D466,$I$3:$L$5,4,FALSE),"N/A"),0)</f>
        <v>0</v>
      </c>
      <c r="M466" s="55">
        <f t="shared" ref="M466:M529" si="28">IFERROR(L466/$M$4,0)</f>
        <v>0</v>
      </c>
      <c r="N466" s="63"/>
    </row>
    <row r="467" spans="1:14">
      <c r="A467" s="43"/>
      <c r="B467" s="43"/>
      <c r="C467" s="36" t="s">
        <v>85</v>
      </c>
      <c r="D467" s="43"/>
      <c r="E467" s="51">
        <f t="shared" si="25"/>
        <v>0</v>
      </c>
      <c r="F467" s="52"/>
      <c r="G467" s="52"/>
      <c r="H467" s="52"/>
      <c r="I467" s="51" cm="1">
        <f t="array" ref="I467">_xlfn.SWITCH(D467,"C-Flute",(F467+G467)*2+15,"BC-Flute",(F467+G467)*2+11,0)</f>
        <v>0</v>
      </c>
      <c r="J467" s="51" cm="1">
        <f t="array" ref="J467">_xlfn.SWITCH(D467,"C-Flute",(G467+H467)-10,"BC-Flute",(G467+H467)-16,0)</f>
        <v>0</v>
      </c>
      <c r="K467" s="53">
        <f t="shared" si="26"/>
        <v>0</v>
      </c>
      <c r="L467" s="54">
        <f t="shared" si="27"/>
        <v>0</v>
      </c>
      <c r="M467" s="55">
        <f t="shared" si="28"/>
        <v>0</v>
      </c>
      <c r="N467" s="63"/>
    </row>
    <row r="468" spans="1:14">
      <c r="A468" s="43"/>
      <c r="B468" s="43"/>
      <c r="C468" s="36" t="s">
        <v>85</v>
      </c>
      <c r="D468" s="43"/>
      <c r="E468" s="51">
        <f t="shared" si="25"/>
        <v>0</v>
      </c>
      <c r="F468" s="52"/>
      <c r="G468" s="52"/>
      <c r="H468" s="52"/>
      <c r="I468" s="51" cm="1">
        <f t="array" ref="I468">_xlfn.SWITCH(D468,"C-Flute",(F468+G468)*2+15,"BC-Flute",(F468+G468)*2+11,0)</f>
        <v>0</v>
      </c>
      <c r="J468" s="51" cm="1">
        <f t="array" ref="J468">_xlfn.SWITCH(D468,"C-Flute",(G468+H468)-10,"BC-Flute",(G468+H468)-16,0)</f>
        <v>0</v>
      </c>
      <c r="K468" s="53">
        <f t="shared" si="26"/>
        <v>0</v>
      </c>
      <c r="L468" s="54">
        <f t="shared" si="27"/>
        <v>0</v>
      </c>
      <c r="M468" s="55">
        <f t="shared" si="28"/>
        <v>0</v>
      </c>
      <c r="N468" s="63"/>
    </row>
    <row r="469" spans="1:14">
      <c r="A469" s="43"/>
      <c r="B469" s="43"/>
      <c r="C469" s="36" t="s">
        <v>85</v>
      </c>
      <c r="D469" s="43"/>
      <c r="E469" s="51">
        <f t="shared" si="25"/>
        <v>0</v>
      </c>
      <c r="F469" s="52"/>
      <c r="G469" s="52"/>
      <c r="H469" s="52"/>
      <c r="I469" s="51" cm="1">
        <f t="array" ref="I469">_xlfn.SWITCH(D469,"C-Flute",(F469+G469)*2+15,"BC-Flute",(F469+G469)*2+11,0)</f>
        <v>0</v>
      </c>
      <c r="J469" s="51" cm="1">
        <f t="array" ref="J469">_xlfn.SWITCH(D469,"C-Flute",(G469+H469)-10,"BC-Flute",(G469+H469)-16,0)</f>
        <v>0</v>
      </c>
      <c r="K469" s="53">
        <f t="shared" si="26"/>
        <v>0</v>
      </c>
      <c r="L469" s="54">
        <f t="shared" si="27"/>
        <v>0</v>
      </c>
      <c r="M469" s="55">
        <f t="shared" si="28"/>
        <v>0</v>
      </c>
      <c r="N469" s="63"/>
    </row>
    <row r="470" spans="1:14">
      <c r="A470" s="43"/>
      <c r="B470" s="43"/>
      <c r="C470" s="36" t="s">
        <v>85</v>
      </c>
      <c r="D470" s="43"/>
      <c r="E470" s="51">
        <f t="shared" si="25"/>
        <v>0</v>
      </c>
      <c r="F470" s="52"/>
      <c r="G470" s="52"/>
      <c r="H470" s="52"/>
      <c r="I470" s="51" cm="1">
        <f t="array" ref="I470">_xlfn.SWITCH(D470,"C-Flute",(F470+G470)*2+15,"BC-Flute",(F470+G470)*2+11,0)</f>
        <v>0</v>
      </c>
      <c r="J470" s="51" cm="1">
        <f t="array" ref="J470">_xlfn.SWITCH(D470,"C-Flute",(G470+H470)-10,"BC-Flute",(G470+H470)-16,0)</f>
        <v>0</v>
      </c>
      <c r="K470" s="53">
        <f t="shared" si="26"/>
        <v>0</v>
      </c>
      <c r="L470" s="54">
        <f t="shared" si="27"/>
        <v>0</v>
      </c>
      <c r="M470" s="55">
        <f t="shared" si="28"/>
        <v>0</v>
      </c>
      <c r="N470" s="63"/>
    </row>
    <row r="471" spans="1:14">
      <c r="A471" s="43"/>
      <c r="B471" s="43"/>
      <c r="C471" s="36" t="s">
        <v>85</v>
      </c>
      <c r="D471" s="43"/>
      <c r="E471" s="51">
        <f t="shared" si="25"/>
        <v>0</v>
      </c>
      <c r="F471" s="52"/>
      <c r="G471" s="52"/>
      <c r="H471" s="52"/>
      <c r="I471" s="51" cm="1">
        <f t="array" ref="I471">_xlfn.SWITCH(D471,"C-Flute",(F471+G471)*2+15,"BC-Flute",(F471+G471)*2+11,0)</f>
        <v>0</v>
      </c>
      <c r="J471" s="51" cm="1">
        <f t="array" ref="J471">_xlfn.SWITCH(D471,"C-Flute",(G471+H471)-10,"BC-Flute",(G471+H471)-16,0)</f>
        <v>0</v>
      </c>
      <c r="K471" s="53">
        <f t="shared" si="26"/>
        <v>0</v>
      </c>
      <c r="L471" s="54">
        <f t="shared" si="27"/>
        <v>0</v>
      </c>
      <c r="M471" s="55">
        <f t="shared" si="28"/>
        <v>0</v>
      </c>
      <c r="N471" s="63"/>
    </row>
    <row r="472" spans="1:14">
      <c r="A472" s="43"/>
      <c r="B472" s="43"/>
      <c r="C472" s="36" t="s">
        <v>85</v>
      </c>
      <c r="D472" s="43"/>
      <c r="E472" s="51">
        <f t="shared" si="25"/>
        <v>0</v>
      </c>
      <c r="F472" s="52"/>
      <c r="G472" s="52"/>
      <c r="H472" s="52"/>
      <c r="I472" s="51" cm="1">
        <f t="array" ref="I472">_xlfn.SWITCH(D472,"C-Flute",(F472+G472)*2+15,"BC-Flute",(F472+G472)*2+11,0)</f>
        <v>0</v>
      </c>
      <c r="J472" s="51" cm="1">
        <f t="array" ref="J472">_xlfn.SWITCH(D472,"C-Flute",(G472+H472)-10,"BC-Flute",(G472+H472)-16,0)</f>
        <v>0</v>
      </c>
      <c r="K472" s="53">
        <f t="shared" si="26"/>
        <v>0</v>
      </c>
      <c r="L472" s="54">
        <f t="shared" si="27"/>
        <v>0</v>
      </c>
      <c r="M472" s="55">
        <f t="shared" si="28"/>
        <v>0</v>
      </c>
      <c r="N472" s="63"/>
    </row>
    <row r="473" spans="1:14">
      <c r="A473" s="43"/>
      <c r="B473" s="43"/>
      <c r="C473" s="36" t="s">
        <v>85</v>
      </c>
      <c r="D473" s="43"/>
      <c r="E473" s="51">
        <f t="shared" si="25"/>
        <v>0</v>
      </c>
      <c r="F473" s="52"/>
      <c r="G473" s="52"/>
      <c r="H473" s="52"/>
      <c r="I473" s="51" cm="1">
        <f t="array" ref="I473">_xlfn.SWITCH(D473,"C-Flute",(F473+G473)*2+15,"BC-Flute",(F473+G473)*2+11,0)</f>
        <v>0</v>
      </c>
      <c r="J473" s="51" cm="1">
        <f t="array" ref="J473">_xlfn.SWITCH(D473,"C-Flute",(G473+H473)-10,"BC-Flute",(G473+H473)-16,0)</f>
        <v>0</v>
      </c>
      <c r="K473" s="53">
        <f t="shared" si="26"/>
        <v>0</v>
      </c>
      <c r="L473" s="54">
        <f t="shared" si="27"/>
        <v>0</v>
      </c>
      <c r="M473" s="55">
        <f t="shared" si="28"/>
        <v>0</v>
      </c>
      <c r="N473" s="63"/>
    </row>
    <row r="474" spans="1:14">
      <c r="A474" s="43"/>
      <c r="B474" s="43"/>
      <c r="C474" s="36" t="s">
        <v>85</v>
      </c>
      <c r="D474" s="43"/>
      <c r="E474" s="51">
        <f t="shared" si="25"/>
        <v>0</v>
      </c>
      <c r="F474" s="52"/>
      <c r="G474" s="52"/>
      <c r="H474" s="52"/>
      <c r="I474" s="51" cm="1">
        <f t="array" ref="I474">_xlfn.SWITCH(D474,"C-Flute",(F474+G474)*2+15,"BC-Flute",(F474+G474)*2+11,0)</f>
        <v>0</v>
      </c>
      <c r="J474" s="51" cm="1">
        <f t="array" ref="J474">_xlfn.SWITCH(D474,"C-Flute",(G474+H474)-10,"BC-Flute",(G474+H474)-16,0)</f>
        <v>0</v>
      </c>
      <c r="K474" s="53">
        <f t="shared" si="26"/>
        <v>0</v>
      </c>
      <c r="L474" s="54">
        <f t="shared" si="27"/>
        <v>0</v>
      </c>
      <c r="M474" s="55">
        <f t="shared" si="28"/>
        <v>0</v>
      </c>
      <c r="N474" s="63"/>
    </row>
    <row r="475" spans="1:14">
      <c r="A475" s="43"/>
      <c r="B475" s="43"/>
      <c r="C475" s="36" t="s">
        <v>85</v>
      </c>
      <c r="D475" s="43"/>
      <c r="E475" s="51">
        <f t="shared" si="25"/>
        <v>0</v>
      </c>
      <c r="F475" s="52"/>
      <c r="G475" s="52"/>
      <c r="H475" s="52"/>
      <c r="I475" s="51" cm="1">
        <f t="array" ref="I475">_xlfn.SWITCH(D475,"C-Flute",(F475+G475)*2+15,"BC-Flute",(F475+G475)*2+11,0)</f>
        <v>0</v>
      </c>
      <c r="J475" s="51" cm="1">
        <f t="array" ref="J475">_xlfn.SWITCH(D475,"C-Flute",(G475+H475)-10,"BC-Flute",(G475+H475)-16,0)</f>
        <v>0</v>
      </c>
      <c r="K475" s="53">
        <f t="shared" si="26"/>
        <v>0</v>
      </c>
      <c r="L475" s="54">
        <f t="shared" si="27"/>
        <v>0</v>
      </c>
      <c r="M475" s="55">
        <f t="shared" si="28"/>
        <v>0</v>
      </c>
      <c r="N475" s="63"/>
    </row>
    <row r="476" spans="1:14">
      <c r="A476" s="43"/>
      <c r="B476" s="43"/>
      <c r="C476" s="36" t="s">
        <v>85</v>
      </c>
      <c r="D476" s="43"/>
      <c r="E476" s="51">
        <f t="shared" si="25"/>
        <v>0</v>
      </c>
      <c r="F476" s="52"/>
      <c r="G476" s="52"/>
      <c r="H476" s="52"/>
      <c r="I476" s="51" cm="1">
        <f t="array" ref="I476">_xlfn.SWITCH(D476,"C-Flute",(F476+G476)*2+15,"BC-Flute",(F476+G476)*2+11,0)</f>
        <v>0</v>
      </c>
      <c r="J476" s="51" cm="1">
        <f t="array" ref="J476">_xlfn.SWITCH(D476,"C-Flute",(G476+H476)-10,"BC-Flute",(G476+H476)-16,0)</f>
        <v>0</v>
      </c>
      <c r="K476" s="53">
        <f t="shared" si="26"/>
        <v>0</v>
      </c>
      <c r="L476" s="54">
        <f t="shared" si="27"/>
        <v>0</v>
      </c>
      <c r="M476" s="55">
        <f t="shared" si="28"/>
        <v>0</v>
      </c>
      <c r="N476" s="63"/>
    </row>
    <row r="477" spans="1:14">
      <c r="A477" s="43"/>
      <c r="B477" s="43"/>
      <c r="C477" s="36" t="s">
        <v>85</v>
      </c>
      <c r="D477" s="43"/>
      <c r="E477" s="51">
        <f t="shared" si="25"/>
        <v>0</v>
      </c>
      <c r="F477" s="52"/>
      <c r="G477" s="52"/>
      <c r="H477" s="52"/>
      <c r="I477" s="51" cm="1">
        <f t="array" ref="I477">_xlfn.SWITCH(D477,"C-Flute",(F477+G477)*2+15,"BC-Flute",(F477+G477)*2+11,0)</f>
        <v>0</v>
      </c>
      <c r="J477" s="51" cm="1">
        <f t="array" ref="J477">_xlfn.SWITCH(D477,"C-Flute",(G477+H477)-10,"BC-Flute",(G477+H477)-16,0)</f>
        <v>0</v>
      </c>
      <c r="K477" s="53">
        <f t="shared" si="26"/>
        <v>0</v>
      </c>
      <c r="L477" s="54">
        <f t="shared" si="27"/>
        <v>0</v>
      </c>
      <c r="M477" s="55">
        <f t="shared" si="28"/>
        <v>0</v>
      </c>
      <c r="N477" s="63"/>
    </row>
    <row r="478" spans="1:14">
      <c r="A478" s="43"/>
      <c r="B478" s="43"/>
      <c r="C478" s="36" t="s">
        <v>85</v>
      </c>
      <c r="D478" s="43"/>
      <c r="E478" s="51">
        <f t="shared" si="25"/>
        <v>0</v>
      </c>
      <c r="F478" s="52"/>
      <c r="G478" s="52"/>
      <c r="H478" s="52"/>
      <c r="I478" s="51" cm="1">
        <f t="array" ref="I478">_xlfn.SWITCH(D478,"C-Flute",(F478+G478)*2+15,"BC-Flute",(F478+G478)*2+11,0)</f>
        <v>0</v>
      </c>
      <c r="J478" s="51" cm="1">
        <f t="array" ref="J478">_xlfn.SWITCH(D478,"C-Flute",(G478+H478)-10,"BC-Flute",(G478+H478)-16,0)</f>
        <v>0</v>
      </c>
      <c r="K478" s="53">
        <f t="shared" si="26"/>
        <v>0</v>
      </c>
      <c r="L478" s="54">
        <f t="shared" si="27"/>
        <v>0</v>
      </c>
      <c r="M478" s="55">
        <f t="shared" si="28"/>
        <v>0</v>
      </c>
      <c r="N478" s="63"/>
    </row>
    <row r="479" spans="1:14">
      <c r="A479" s="43"/>
      <c r="B479" s="43"/>
      <c r="C479" s="36" t="s">
        <v>85</v>
      </c>
      <c r="D479" s="43"/>
      <c r="E479" s="51">
        <f t="shared" si="25"/>
        <v>0</v>
      </c>
      <c r="F479" s="52"/>
      <c r="G479" s="52"/>
      <c r="H479" s="52"/>
      <c r="I479" s="51" cm="1">
        <f t="array" ref="I479">_xlfn.SWITCH(D479,"C-Flute",(F479+G479)*2+15,"BC-Flute",(F479+G479)*2+11,0)</f>
        <v>0</v>
      </c>
      <c r="J479" s="51" cm="1">
        <f t="array" ref="J479">_xlfn.SWITCH(D479,"C-Flute",(G479+H479)-10,"BC-Flute",(G479+H479)-16,0)</f>
        <v>0</v>
      </c>
      <c r="K479" s="53">
        <f t="shared" si="26"/>
        <v>0</v>
      </c>
      <c r="L479" s="54">
        <f t="shared" si="27"/>
        <v>0</v>
      </c>
      <c r="M479" s="55">
        <f t="shared" si="28"/>
        <v>0</v>
      </c>
      <c r="N479" s="63"/>
    </row>
    <row r="480" spans="1:14">
      <c r="A480" s="43"/>
      <c r="B480" s="43"/>
      <c r="C480" s="36" t="s">
        <v>85</v>
      </c>
      <c r="D480" s="43"/>
      <c r="E480" s="51">
        <f t="shared" si="25"/>
        <v>0</v>
      </c>
      <c r="F480" s="52"/>
      <c r="G480" s="52"/>
      <c r="H480" s="52"/>
      <c r="I480" s="51" cm="1">
        <f t="array" ref="I480">_xlfn.SWITCH(D480,"C-Flute",(F480+G480)*2+15,"BC-Flute",(F480+G480)*2+11,0)</f>
        <v>0</v>
      </c>
      <c r="J480" s="51" cm="1">
        <f t="array" ref="J480">_xlfn.SWITCH(D480,"C-Flute",(G480+H480)-10,"BC-Flute",(G480+H480)-16,0)</f>
        <v>0</v>
      </c>
      <c r="K480" s="53">
        <f t="shared" si="26"/>
        <v>0</v>
      </c>
      <c r="L480" s="54">
        <f t="shared" si="27"/>
        <v>0</v>
      </c>
      <c r="M480" s="55">
        <f t="shared" si="28"/>
        <v>0</v>
      </c>
      <c r="N480" s="63"/>
    </row>
    <row r="481" spans="1:14">
      <c r="A481" s="43"/>
      <c r="B481" s="43"/>
      <c r="C481" s="36" t="s">
        <v>85</v>
      </c>
      <c r="D481" s="43"/>
      <c r="E481" s="51">
        <f t="shared" si="25"/>
        <v>0</v>
      </c>
      <c r="F481" s="52"/>
      <c r="G481" s="52"/>
      <c r="H481" s="52"/>
      <c r="I481" s="51" cm="1">
        <f t="array" ref="I481">_xlfn.SWITCH(D481,"C-Flute",(F481+G481)*2+15,"BC-Flute",(F481+G481)*2+11,0)</f>
        <v>0</v>
      </c>
      <c r="J481" s="51" cm="1">
        <f t="array" ref="J481">_xlfn.SWITCH(D481,"C-Flute",(G481+H481)-10,"BC-Flute",(G481+H481)-16,0)</f>
        <v>0</v>
      </c>
      <c r="K481" s="53">
        <f t="shared" si="26"/>
        <v>0</v>
      </c>
      <c r="L481" s="54">
        <f t="shared" si="27"/>
        <v>0</v>
      </c>
      <c r="M481" s="55">
        <f t="shared" si="28"/>
        <v>0</v>
      </c>
      <c r="N481" s="63"/>
    </row>
    <row r="482" spans="1:14">
      <c r="A482" s="43"/>
      <c r="B482" s="43"/>
      <c r="C482" s="36" t="s">
        <v>85</v>
      </c>
      <c r="D482" s="43"/>
      <c r="E482" s="51">
        <f t="shared" si="25"/>
        <v>0</v>
      </c>
      <c r="F482" s="52"/>
      <c r="G482" s="52"/>
      <c r="H482" s="52"/>
      <c r="I482" s="51" cm="1">
        <f t="array" ref="I482">_xlfn.SWITCH(D482,"C-Flute",(F482+G482)*2+15,"BC-Flute",(F482+G482)*2+11,0)</f>
        <v>0</v>
      </c>
      <c r="J482" s="51" cm="1">
        <f t="array" ref="J482">_xlfn.SWITCH(D482,"C-Flute",(G482+H482)-10,"BC-Flute",(G482+H482)-16,0)</f>
        <v>0</v>
      </c>
      <c r="K482" s="53">
        <f t="shared" si="26"/>
        <v>0</v>
      </c>
      <c r="L482" s="54">
        <f t="shared" si="27"/>
        <v>0</v>
      </c>
      <c r="M482" s="55">
        <f t="shared" si="28"/>
        <v>0</v>
      </c>
      <c r="N482" s="63"/>
    </row>
    <row r="483" spans="1:14">
      <c r="A483" s="43"/>
      <c r="B483" s="43"/>
      <c r="C483" s="36" t="s">
        <v>85</v>
      </c>
      <c r="D483" s="43"/>
      <c r="E483" s="51">
        <f t="shared" si="25"/>
        <v>0</v>
      </c>
      <c r="F483" s="52"/>
      <c r="G483" s="52"/>
      <c r="H483" s="52"/>
      <c r="I483" s="51" cm="1">
        <f t="array" ref="I483">_xlfn.SWITCH(D483,"C-Flute",(F483+G483)*2+15,"BC-Flute",(F483+G483)*2+11,0)</f>
        <v>0</v>
      </c>
      <c r="J483" s="51" cm="1">
        <f t="array" ref="J483">_xlfn.SWITCH(D483,"C-Flute",(G483+H483)-10,"BC-Flute",(G483+H483)-16,0)</f>
        <v>0</v>
      </c>
      <c r="K483" s="53">
        <f t="shared" si="26"/>
        <v>0</v>
      </c>
      <c r="L483" s="54">
        <f t="shared" si="27"/>
        <v>0</v>
      </c>
      <c r="M483" s="55">
        <f t="shared" si="28"/>
        <v>0</v>
      </c>
      <c r="N483" s="63"/>
    </row>
    <row r="484" spans="1:14">
      <c r="A484" s="43"/>
      <c r="B484" s="43"/>
      <c r="C484" s="36" t="s">
        <v>85</v>
      </c>
      <c r="D484" s="43"/>
      <c r="E484" s="51">
        <f t="shared" si="25"/>
        <v>0</v>
      </c>
      <c r="F484" s="52"/>
      <c r="G484" s="52"/>
      <c r="H484" s="52"/>
      <c r="I484" s="51" cm="1">
        <f t="array" ref="I484">_xlfn.SWITCH(D484,"C-Flute",(F484+G484)*2+15,"BC-Flute",(F484+G484)*2+11,0)</f>
        <v>0</v>
      </c>
      <c r="J484" s="51" cm="1">
        <f t="array" ref="J484">_xlfn.SWITCH(D484,"C-Flute",(G484+H484)-10,"BC-Flute",(G484+H484)-16,0)</f>
        <v>0</v>
      </c>
      <c r="K484" s="53">
        <f t="shared" si="26"/>
        <v>0</v>
      </c>
      <c r="L484" s="54">
        <f t="shared" si="27"/>
        <v>0</v>
      </c>
      <c r="M484" s="55">
        <f t="shared" si="28"/>
        <v>0</v>
      </c>
      <c r="N484" s="63"/>
    </row>
    <row r="485" spans="1:14">
      <c r="A485" s="43"/>
      <c r="B485" s="43"/>
      <c r="C485" s="36" t="s">
        <v>85</v>
      </c>
      <c r="D485" s="43"/>
      <c r="E485" s="51">
        <f t="shared" si="25"/>
        <v>0</v>
      </c>
      <c r="F485" s="52"/>
      <c r="G485" s="52"/>
      <c r="H485" s="52"/>
      <c r="I485" s="51" cm="1">
        <f t="array" ref="I485">_xlfn.SWITCH(D485,"C-Flute",(F485+G485)*2+15,"BC-Flute",(F485+G485)*2+11,0)</f>
        <v>0</v>
      </c>
      <c r="J485" s="51" cm="1">
        <f t="array" ref="J485">_xlfn.SWITCH(D485,"C-Flute",(G485+H485)-10,"BC-Flute",(G485+H485)-16,0)</f>
        <v>0</v>
      </c>
      <c r="K485" s="53">
        <f t="shared" si="26"/>
        <v>0</v>
      </c>
      <c r="L485" s="54">
        <f t="shared" si="27"/>
        <v>0</v>
      </c>
      <c r="M485" s="55">
        <f t="shared" si="28"/>
        <v>0</v>
      </c>
      <c r="N485" s="63"/>
    </row>
    <row r="486" spans="1:14">
      <c r="A486" s="43"/>
      <c r="B486" s="43"/>
      <c r="C486" s="36" t="s">
        <v>85</v>
      </c>
      <c r="D486" s="43"/>
      <c r="E486" s="51">
        <f t="shared" si="25"/>
        <v>0</v>
      </c>
      <c r="F486" s="52"/>
      <c r="G486" s="52"/>
      <c r="H486" s="52"/>
      <c r="I486" s="51" cm="1">
        <f t="array" ref="I486">_xlfn.SWITCH(D486,"C-Flute",(F486+G486)*2+15,"BC-Flute",(F486+G486)*2+11,0)</f>
        <v>0</v>
      </c>
      <c r="J486" s="51" cm="1">
        <f t="array" ref="J486">_xlfn.SWITCH(D486,"C-Flute",(G486+H486)-10,"BC-Flute",(G486+H486)-16,0)</f>
        <v>0</v>
      </c>
      <c r="K486" s="53">
        <f t="shared" si="26"/>
        <v>0</v>
      </c>
      <c r="L486" s="54">
        <f t="shared" si="27"/>
        <v>0</v>
      </c>
      <c r="M486" s="55">
        <f t="shared" si="28"/>
        <v>0</v>
      </c>
      <c r="N486" s="63"/>
    </row>
    <row r="487" spans="1:14">
      <c r="A487" s="43"/>
      <c r="B487" s="43"/>
      <c r="C487" s="36" t="s">
        <v>85</v>
      </c>
      <c r="D487" s="43"/>
      <c r="E487" s="51">
        <f t="shared" si="25"/>
        <v>0</v>
      </c>
      <c r="F487" s="52"/>
      <c r="G487" s="52"/>
      <c r="H487" s="52"/>
      <c r="I487" s="51" cm="1">
        <f t="array" ref="I487">_xlfn.SWITCH(D487,"C-Flute",(F487+G487)*2+15,"BC-Flute",(F487+G487)*2+11,0)</f>
        <v>0</v>
      </c>
      <c r="J487" s="51" cm="1">
        <f t="array" ref="J487">_xlfn.SWITCH(D487,"C-Flute",(G487+H487)-10,"BC-Flute",(G487+H487)-16,0)</f>
        <v>0</v>
      </c>
      <c r="K487" s="53">
        <f t="shared" si="26"/>
        <v>0</v>
      </c>
      <c r="L487" s="54">
        <f t="shared" si="27"/>
        <v>0</v>
      </c>
      <c r="M487" s="55">
        <f t="shared" si="28"/>
        <v>0</v>
      </c>
      <c r="N487" s="63"/>
    </row>
    <row r="488" spans="1:14">
      <c r="A488" s="43"/>
      <c r="B488" s="43"/>
      <c r="C488" s="36" t="s">
        <v>85</v>
      </c>
      <c r="D488" s="43"/>
      <c r="E488" s="51">
        <f t="shared" si="25"/>
        <v>0</v>
      </c>
      <c r="F488" s="52"/>
      <c r="G488" s="52"/>
      <c r="H488" s="52"/>
      <c r="I488" s="51" cm="1">
        <f t="array" ref="I488">_xlfn.SWITCH(D488,"C-Flute",(F488+G488)*2+15,"BC-Flute",(F488+G488)*2+11,0)</f>
        <v>0</v>
      </c>
      <c r="J488" s="51" cm="1">
        <f t="array" ref="J488">_xlfn.SWITCH(D488,"C-Flute",(G488+H488)-10,"BC-Flute",(G488+H488)-16,0)</f>
        <v>0</v>
      </c>
      <c r="K488" s="53">
        <f t="shared" si="26"/>
        <v>0</v>
      </c>
      <c r="L488" s="54">
        <f t="shared" si="27"/>
        <v>0</v>
      </c>
      <c r="M488" s="55">
        <f t="shared" si="28"/>
        <v>0</v>
      </c>
      <c r="N488" s="63"/>
    </row>
    <row r="489" spans="1:14">
      <c r="A489" s="43"/>
      <c r="B489" s="43"/>
      <c r="C489" s="36" t="s">
        <v>85</v>
      </c>
      <c r="D489" s="43"/>
      <c r="E489" s="51">
        <f t="shared" si="25"/>
        <v>0</v>
      </c>
      <c r="F489" s="52"/>
      <c r="G489" s="52"/>
      <c r="H489" s="52"/>
      <c r="I489" s="51" cm="1">
        <f t="array" ref="I489">_xlfn.SWITCH(D489,"C-Flute",(F489+G489)*2+15,"BC-Flute",(F489+G489)*2+11,0)</f>
        <v>0</v>
      </c>
      <c r="J489" s="51" cm="1">
        <f t="array" ref="J489">_xlfn.SWITCH(D489,"C-Flute",(G489+H489)-10,"BC-Flute",(G489+H489)-16,0)</f>
        <v>0</v>
      </c>
      <c r="K489" s="53">
        <f t="shared" si="26"/>
        <v>0</v>
      </c>
      <c r="L489" s="54">
        <f t="shared" si="27"/>
        <v>0</v>
      </c>
      <c r="M489" s="55">
        <f t="shared" si="28"/>
        <v>0</v>
      </c>
      <c r="N489" s="63"/>
    </row>
    <row r="490" spans="1:14">
      <c r="A490" s="43"/>
      <c r="B490" s="43"/>
      <c r="C490" s="36" t="s">
        <v>85</v>
      </c>
      <c r="D490" s="43"/>
      <c r="E490" s="51">
        <f t="shared" si="25"/>
        <v>0</v>
      </c>
      <c r="F490" s="52"/>
      <c r="G490" s="52"/>
      <c r="H490" s="52"/>
      <c r="I490" s="51" cm="1">
        <f t="array" ref="I490">_xlfn.SWITCH(D490,"C-Flute",(F490+G490)*2+15,"BC-Flute",(F490+G490)*2+11,0)</f>
        <v>0</v>
      </c>
      <c r="J490" s="51" cm="1">
        <f t="array" ref="J490">_xlfn.SWITCH(D490,"C-Flute",(G490+H490)-10,"BC-Flute",(G490+H490)-16,0)</f>
        <v>0</v>
      </c>
      <c r="K490" s="53">
        <f t="shared" si="26"/>
        <v>0</v>
      </c>
      <c r="L490" s="54">
        <f t="shared" si="27"/>
        <v>0</v>
      </c>
      <c r="M490" s="55">
        <f t="shared" si="28"/>
        <v>0</v>
      </c>
      <c r="N490" s="63"/>
    </row>
    <row r="491" spans="1:14">
      <c r="A491" s="43"/>
      <c r="B491" s="43"/>
      <c r="C491" s="36" t="s">
        <v>85</v>
      </c>
      <c r="D491" s="43"/>
      <c r="E491" s="51">
        <f t="shared" si="25"/>
        <v>0</v>
      </c>
      <c r="F491" s="52"/>
      <c r="G491" s="52"/>
      <c r="H491" s="52"/>
      <c r="I491" s="51" cm="1">
        <f t="array" ref="I491">_xlfn.SWITCH(D491,"C-Flute",(F491+G491)*2+15,"BC-Flute",(F491+G491)*2+11,0)</f>
        <v>0</v>
      </c>
      <c r="J491" s="51" cm="1">
        <f t="array" ref="J491">_xlfn.SWITCH(D491,"C-Flute",(G491+H491)-10,"BC-Flute",(G491+H491)-16,0)</f>
        <v>0</v>
      </c>
      <c r="K491" s="53">
        <f t="shared" si="26"/>
        <v>0</v>
      </c>
      <c r="L491" s="54">
        <f t="shared" si="27"/>
        <v>0</v>
      </c>
      <c r="M491" s="55">
        <f t="shared" si="28"/>
        <v>0</v>
      </c>
      <c r="N491" s="63"/>
    </row>
    <row r="492" spans="1:14">
      <c r="A492" s="43"/>
      <c r="B492" s="43"/>
      <c r="C492" s="36" t="s">
        <v>85</v>
      </c>
      <c r="D492" s="43"/>
      <c r="E492" s="51">
        <f t="shared" si="25"/>
        <v>0</v>
      </c>
      <c r="F492" s="52"/>
      <c r="G492" s="52"/>
      <c r="H492" s="52"/>
      <c r="I492" s="51" cm="1">
        <f t="array" ref="I492">_xlfn.SWITCH(D492,"C-Flute",(F492+G492)*2+15,"BC-Flute",(F492+G492)*2+11,0)</f>
        <v>0</v>
      </c>
      <c r="J492" s="51" cm="1">
        <f t="array" ref="J492">_xlfn.SWITCH(D492,"C-Flute",(G492+H492)-10,"BC-Flute",(G492+H492)-16,0)</f>
        <v>0</v>
      </c>
      <c r="K492" s="53">
        <f t="shared" si="26"/>
        <v>0</v>
      </c>
      <c r="L492" s="54">
        <f t="shared" si="27"/>
        <v>0</v>
      </c>
      <c r="M492" s="55">
        <f t="shared" si="28"/>
        <v>0</v>
      </c>
      <c r="N492" s="63"/>
    </row>
    <row r="493" spans="1:14">
      <c r="A493" s="43"/>
      <c r="B493" s="43"/>
      <c r="C493" s="36" t="s">
        <v>85</v>
      </c>
      <c r="D493" s="43"/>
      <c r="E493" s="51">
        <f t="shared" si="25"/>
        <v>0</v>
      </c>
      <c r="F493" s="52"/>
      <c r="G493" s="52"/>
      <c r="H493" s="52"/>
      <c r="I493" s="51" cm="1">
        <f t="array" ref="I493">_xlfn.SWITCH(D493,"C-Flute",(F493+G493)*2+15,"BC-Flute",(F493+G493)*2+11,0)</f>
        <v>0</v>
      </c>
      <c r="J493" s="51" cm="1">
        <f t="array" ref="J493">_xlfn.SWITCH(D493,"C-Flute",(G493+H493)-10,"BC-Flute",(G493+H493)-16,0)</f>
        <v>0</v>
      </c>
      <c r="K493" s="53">
        <f t="shared" si="26"/>
        <v>0</v>
      </c>
      <c r="L493" s="54">
        <f t="shared" si="27"/>
        <v>0</v>
      </c>
      <c r="M493" s="55">
        <f t="shared" si="28"/>
        <v>0</v>
      </c>
      <c r="N493" s="63"/>
    </row>
    <row r="494" spans="1:14">
      <c r="A494" s="43"/>
      <c r="B494" s="43"/>
      <c r="C494" s="36" t="s">
        <v>85</v>
      </c>
      <c r="D494" s="43"/>
      <c r="E494" s="51">
        <f t="shared" si="25"/>
        <v>0</v>
      </c>
      <c r="F494" s="52"/>
      <c r="G494" s="52"/>
      <c r="H494" s="52"/>
      <c r="I494" s="51" cm="1">
        <f t="array" ref="I494">_xlfn.SWITCH(D494,"C-Flute",(F494+G494)*2+15,"BC-Flute",(F494+G494)*2+11,0)</f>
        <v>0</v>
      </c>
      <c r="J494" s="51" cm="1">
        <f t="array" ref="J494">_xlfn.SWITCH(D494,"C-Flute",(G494+H494)-10,"BC-Flute",(G494+H494)-16,0)</f>
        <v>0</v>
      </c>
      <c r="K494" s="53">
        <f t="shared" si="26"/>
        <v>0</v>
      </c>
      <c r="L494" s="54">
        <f t="shared" si="27"/>
        <v>0</v>
      </c>
      <c r="M494" s="55">
        <f t="shared" si="28"/>
        <v>0</v>
      </c>
      <c r="N494" s="63"/>
    </row>
    <row r="495" spans="1:14">
      <c r="A495" s="43"/>
      <c r="B495" s="43"/>
      <c r="C495" s="36" t="s">
        <v>85</v>
      </c>
      <c r="D495" s="43"/>
      <c r="E495" s="51">
        <f t="shared" si="25"/>
        <v>0</v>
      </c>
      <c r="F495" s="52"/>
      <c r="G495" s="52"/>
      <c r="H495" s="52"/>
      <c r="I495" s="51" cm="1">
        <f t="array" ref="I495">_xlfn.SWITCH(D495,"C-Flute",(F495+G495)*2+15,"BC-Flute",(F495+G495)*2+11,0)</f>
        <v>0</v>
      </c>
      <c r="J495" s="51" cm="1">
        <f t="array" ref="J495">_xlfn.SWITCH(D495,"C-Flute",(G495+H495)-10,"BC-Flute",(G495+H495)-16,0)</f>
        <v>0</v>
      </c>
      <c r="K495" s="53">
        <f t="shared" si="26"/>
        <v>0</v>
      </c>
      <c r="L495" s="54">
        <f t="shared" si="27"/>
        <v>0</v>
      </c>
      <c r="M495" s="55">
        <f t="shared" si="28"/>
        <v>0</v>
      </c>
      <c r="N495" s="63"/>
    </row>
    <row r="496" spans="1:14">
      <c r="A496" s="43"/>
      <c r="B496" s="43"/>
      <c r="C496" s="36" t="s">
        <v>85</v>
      </c>
      <c r="D496" s="43"/>
      <c r="E496" s="51">
        <f t="shared" si="25"/>
        <v>0</v>
      </c>
      <c r="F496" s="52"/>
      <c r="G496" s="52"/>
      <c r="H496" s="52"/>
      <c r="I496" s="51" cm="1">
        <f t="array" ref="I496">_xlfn.SWITCH(D496,"C-Flute",(F496+G496)*2+15,"BC-Flute",(F496+G496)*2+11,0)</f>
        <v>0</v>
      </c>
      <c r="J496" s="51" cm="1">
        <f t="array" ref="J496">_xlfn.SWITCH(D496,"C-Flute",(G496+H496)-10,"BC-Flute",(G496+H496)-16,0)</f>
        <v>0</v>
      </c>
      <c r="K496" s="53">
        <f t="shared" si="26"/>
        <v>0</v>
      </c>
      <c r="L496" s="54">
        <f t="shared" si="27"/>
        <v>0</v>
      </c>
      <c r="M496" s="55">
        <f t="shared" si="28"/>
        <v>0</v>
      </c>
      <c r="N496" s="63"/>
    </row>
    <row r="497" spans="1:14">
      <c r="A497" s="43"/>
      <c r="B497" s="43"/>
      <c r="C497" s="36" t="s">
        <v>85</v>
      </c>
      <c r="D497" s="43"/>
      <c r="E497" s="51">
        <f t="shared" si="25"/>
        <v>0</v>
      </c>
      <c r="F497" s="52"/>
      <c r="G497" s="52"/>
      <c r="H497" s="52"/>
      <c r="I497" s="51" cm="1">
        <f t="array" ref="I497">_xlfn.SWITCH(D497,"C-Flute",(F497+G497)*2+15,"BC-Flute",(F497+G497)*2+11,0)</f>
        <v>0</v>
      </c>
      <c r="J497" s="51" cm="1">
        <f t="array" ref="J497">_xlfn.SWITCH(D497,"C-Flute",(G497+H497)-10,"BC-Flute",(G497+H497)-16,0)</f>
        <v>0</v>
      </c>
      <c r="K497" s="53">
        <f t="shared" si="26"/>
        <v>0</v>
      </c>
      <c r="L497" s="54">
        <f t="shared" si="27"/>
        <v>0</v>
      </c>
      <c r="M497" s="55">
        <f t="shared" si="28"/>
        <v>0</v>
      </c>
      <c r="N497" s="63"/>
    </row>
    <row r="498" spans="1:14">
      <c r="A498" s="43"/>
      <c r="B498" s="43"/>
      <c r="C498" s="36" t="s">
        <v>85</v>
      </c>
      <c r="D498" s="43"/>
      <c r="E498" s="51">
        <f t="shared" si="25"/>
        <v>0</v>
      </c>
      <c r="F498" s="52"/>
      <c r="G498" s="52"/>
      <c r="H498" s="52"/>
      <c r="I498" s="51" cm="1">
        <f t="array" ref="I498">_xlfn.SWITCH(D498,"C-Flute",(F498+G498)*2+15,"BC-Flute",(F498+G498)*2+11,0)</f>
        <v>0</v>
      </c>
      <c r="J498" s="51" cm="1">
        <f t="array" ref="J498">_xlfn.SWITCH(D498,"C-Flute",(G498+H498)-10,"BC-Flute",(G498+H498)-16,0)</f>
        <v>0</v>
      </c>
      <c r="K498" s="53">
        <f t="shared" si="26"/>
        <v>0</v>
      </c>
      <c r="L498" s="54">
        <f t="shared" si="27"/>
        <v>0</v>
      </c>
      <c r="M498" s="55">
        <f t="shared" si="28"/>
        <v>0</v>
      </c>
      <c r="N498" s="63"/>
    </row>
    <row r="499" spans="1:14">
      <c r="A499" s="43"/>
      <c r="B499" s="43"/>
      <c r="C499" s="36" t="s">
        <v>85</v>
      </c>
      <c r="D499" s="43"/>
      <c r="E499" s="51">
        <f t="shared" si="25"/>
        <v>0</v>
      </c>
      <c r="F499" s="52"/>
      <c r="G499" s="52"/>
      <c r="H499" s="52"/>
      <c r="I499" s="51" cm="1">
        <f t="array" ref="I499">_xlfn.SWITCH(D499,"C-Flute",(F499+G499)*2+15,"BC-Flute",(F499+G499)*2+11,0)</f>
        <v>0</v>
      </c>
      <c r="J499" s="51" cm="1">
        <f t="array" ref="J499">_xlfn.SWITCH(D499,"C-Flute",(G499+H499)-10,"BC-Flute",(G499+H499)-16,0)</f>
        <v>0</v>
      </c>
      <c r="K499" s="53">
        <f t="shared" si="26"/>
        <v>0</v>
      </c>
      <c r="L499" s="54">
        <f t="shared" si="27"/>
        <v>0</v>
      </c>
      <c r="M499" s="55">
        <f t="shared" si="28"/>
        <v>0</v>
      </c>
      <c r="N499" s="63"/>
    </row>
    <row r="500" spans="1:14">
      <c r="A500" s="43"/>
      <c r="B500" s="43"/>
      <c r="C500" s="36" t="s">
        <v>85</v>
      </c>
      <c r="D500" s="43"/>
      <c r="E500" s="51">
        <f t="shared" si="25"/>
        <v>0</v>
      </c>
      <c r="F500" s="52"/>
      <c r="G500" s="52"/>
      <c r="H500" s="52"/>
      <c r="I500" s="51" cm="1">
        <f t="array" ref="I500">_xlfn.SWITCH(D500,"C-Flute",(F500+G500)*2+15,"BC-Flute",(F500+G500)*2+11,0)</f>
        <v>0</v>
      </c>
      <c r="J500" s="51" cm="1">
        <f t="array" ref="J500">_xlfn.SWITCH(D500,"C-Flute",(G500+H500)-10,"BC-Flute",(G500+H500)-16,0)</f>
        <v>0</v>
      </c>
      <c r="K500" s="53">
        <f t="shared" si="26"/>
        <v>0</v>
      </c>
      <c r="L500" s="54">
        <f t="shared" si="27"/>
        <v>0</v>
      </c>
      <c r="M500" s="55">
        <f t="shared" si="28"/>
        <v>0</v>
      </c>
      <c r="N500" s="63"/>
    </row>
    <row r="501" spans="1:14">
      <c r="A501" s="43"/>
      <c r="B501" s="43"/>
      <c r="C501" s="36" t="s">
        <v>85</v>
      </c>
      <c r="D501" s="43"/>
      <c r="E501" s="51">
        <f t="shared" si="25"/>
        <v>0</v>
      </c>
      <c r="F501" s="52"/>
      <c r="G501" s="52"/>
      <c r="H501" s="52"/>
      <c r="I501" s="51" cm="1">
        <f t="array" ref="I501">_xlfn.SWITCH(D501,"C-Flute",(F501+G501)*2+15,"BC-Flute",(F501+G501)*2+11,0)</f>
        <v>0</v>
      </c>
      <c r="J501" s="51" cm="1">
        <f t="array" ref="J501">_xlfn.SWITCH(D501,"C-Flute",(G501+H501)-10,"BC-Flute",(G501+H501)-16,0)</f>
        <v>0</v>
      </c>
      <c r="K501" s="53">
        <f t="shared" si="26"/>
        <v>0</v>
      </c>
      <c r="L501" s="54">
        <f t="shared" si="27"/>
        <v>0</v>
      </c>
      <c r="M501" s="55">
        <f t="shared" si="28"/>
        <v>0</v>
      </c>
      <c r="N501" s="63"/>
    </row>
    <row r="502" spans="1:14">
      <c r="A502" s="43"/>
      <c r="B502" s="43"/>
      <c r="C502" s="36" t="s">
        <v>85</v>
      </c>
      <c r="D502" s="43"/>
      <c r="E502" s="51">
        <f t="shared" si="25"/>
        <v>0</v>
      </c>
      <c r="F502" s="52"/>
      <c r="G502" s="52"/>
      <c r="H502" s="52"/>
      <c r="I502" s="51" cm="1">
        <f t="array" ref="I502">_xlfn.SWITCH(D502,"C-Flute",(F502+G502)*2+15,"BC-Flute",(F502+G502)*2+11,0)</f>
        <v>0</v>
      </c>
      <c r="J502" s="51" cm="1">
        <f t="array" ref="J502">_xlfn.SWITCH(D502,"C-Flute",(G502+H502)-10,"BC-Flute",(G502+H502)-16,0)</f>
        <v>0</v>
      </c>
      <c r="K502" s="53">
        <f t="shared" si="26"/>
        <v>0</v>
      </c>
      <c r="L502" s="54">
        <f t="shared" si="27"/>
        <v>0</v>
      </c>
      <c r="M502" s="55">
        <f t="shared" si="28"/>
        <v>0</v>
      </c>
      <c r="N502" s="63"/>
    </row>
    <row r="503" spans="1:14">
      <c r="A503" s="43"/>
      <c r="B503" s="43"/>
      <c r="C503" s="36" t="s">
        <v>85</v>
      </c>
      <c r="D503" s="43"/>
      <c r="E503" s="51">
        <f t="shared" si="25"/>
        <v>0</v>
      </c>
      <c r="F503" s="52"/>
      <c r="G503" s="52"/>
      <c r="H503" s="52"/>
      <c r="I503" s="51" cm="1">
        <f t="array" ref="I503">_xlfn.SWITCH(D503,"C-Flute",(F503+G503)*2+15,"BC-Flute",(F503+G503)*2+11,0)</f>
        <v>0</v>
      </c>
      <c r="J503" s="51" cm="1">
        <f t="array" ref="J503">_xlfn.SWITCH(D503,"C-Flute",(G503+H503)-10,"BC-Flute",(G503+H503)-16,0)</f>
        <v>0</v>
      </c>
      <c r="K503" s="53">
        <f t="shared" si="26"/>
        <v>0</v>
      </c>
      <c r="L503" s="54">
        <f t="shared" si="27"/>
        <v>0</v>
      </c>
      <c r="M503" s="55">
        <f t="shared" si="28"/>
        <v>0</v>
      </c>
      <c r="N503" s="63"/>
    </row>
    <row r="504" spans="1:14">
      <c r="A504" s="43"/>
      <c r="B504" s="43"/>
      <c r="C504" s="36" t="s">
        <v>85</v>
      </c>
      <c r="D504" s="43"/>
      <c r="E504" s="51">
        <f t="shared" si="25"/>
        <v>0</v>
      </c>
      <c r="F504" s="52"/>
      <c r="G504" s="52"/>
      <c r="H504" s="52"/>
      <c r="I504" s="51" cm="1">
        <f t="array" ref="I504">_xlfn.SWITCH(D504,"C-Flute",(F504+G504)*2+15,"BC-Flute",(F504+G504)*2+11,0)</f>
        <v>0</v>
      </c>
      <c r="J504" s="51" cm="1">
        <f t="array" ref="J504">_xlfn.SWITCH(D504,"C-Flute",(G504+H504)-10,"BC-Flute",(G504+H504)-16,0)</f>
        <v>0</v>
      </c>
      <c r="K504" s="53">
        <f t="shared" si="26"/>
        <v>0</v>
      </c>
      <c r="L504" s="54">
        <f t="shared" si="27"/>
        <v>0</v>
      </c>
      <c r="M504" s="55">
        <f t="shared" si="28"/>
        <v>0</v>
      </c>
      <c r="N504" s="63"/>
    </row>
    <row r="505" spans="1:14">
      <c r="A505" s="43"/>
      <c r="B505" s="43"/>
      <c r="C505" s="36" t="s">
        <v>85</v>
      </c>
      <c r="D505" s="43"/>
      <c r="E505" s="51">
        <f t="shared" si="25"/>
        <v>0</v>
      </c>
      <c r="F505" s="52"/>
      <c r="G505" s="52"/>
      <c r="H505" s="52"/>
      <c r="I505" s="51" cm="1">
        <f t="array" ref="I505">_xlfn.SWITCH(D505,"C-Flute",(F505+G505)*2+15,"BC-Flute",(F505+G505)*2+11,0)</f>
        <v>0</v>
      </c>
      <c r="J505" s="51" cm="1">
        <f t="array" ref="J505">_xlfn.SWITCH(D505,"C-Flute",(G505+H505)-10,"BC-Flute",(G505+H505)-16,0)</f>
        <v>0</v>
      </c>
      <c r="K505" s="53">
        <f t="shared" si="26"/>
        <v>0</v>
      </c>
      <c r="L505" s="54">
        <f t="shared" si="27"/>
        <v>0</v>
      </c>
      <c r="M505" s="55">
        <f t="shared" si="28"/>
        <v>0</v>
      </c>
      <c r="N505" s="63"/>
    </row>
    <row r="506" spans="1:14">
      <c r="A506" s="43"/>
      <c r="B506" s="43"/>
      <c r="C506" s="36" t="s">
        <v>85</v>
      </c>
      <c r="D506" s="43"/>
      <c r="E506" s="51">
        <f t="shared" si="25"/>
        <v>0</v>
      </c>
      <c r="F506" s="52"/>
      <c r="G506" s="52"/>
      <c r="H506" s="52"/>
      <c r="I506" s="51" cm="1">
        <f t="array" ref="I506">_xlfn.SWITCH(D506,"C-Flute",(F506+G506)*2+15,"BC-Flute",(F506+G506)*2+11,0)</f>
        <v>0</v>
      </c>
      <c r="J506" s="51" cm="1">
        <f t="array" ref="J506">_xlfn.SWITCH(D506,"C-Flute",(G506+H506)-10,"BC-Flute",(G506+H506)-16,0)</f>
        <v>0</v>
      </c>
      <c r="K506" s="53">
        <f t="shared" si="26"/>
        <v>0</v>
      </c>
      <c r="L506" s="54">
        <f t="shared" si="27"/>
        <v>0</v>
      </c>
      <c r="M506" s="55">
        <f t="shared" si="28"/>
        <v>0</v>
      </c>
      <c r="N506" s="63"/>
    </row>
    <row r="507" spans="1:14">
      <c r="A507" s="43"/>
      <c r="B507" s="43"/>
      <c r="C507" s="36" t="s">
        <v>85</v>
      </c>
      <c r="D507" s="43"/>
      <c r="E507" s="51">
        <f t="shared" si="25"/>
        <v>0</v>
      </c>
      <c r="F507" s="52"/>
      <c r="G507" s="52"/>
      <c r="H507" s="52"/>
      <c r="I507" s="51" cm="1">
        <f t="array" ref="I507">_xlfn.SWITCH(D507,"C-Flute",(F507+G507)*2+15,"BC-Flute",(F507+G507)*2+11,0)</f>
        <v>0</v>
      </c>
      <c r="J507" s="51" cm="1">
        <f t="array" ref="J507">_xlfn.SWITCH(D507,"C-Flute",(G507+H507)-10,"BC-Flute",(G507+H507)-16,0)</f>
        <v>0</v>
      </c>
      <c r="K507" s="53">
        <f t="shared" si="26"/>
        <v>0</v>
      </c>
      <c r="L507" s="54">
        <f t="shared" si="27"/>
        <v>0</v>
      </c>
      <c r="M507" s="55">
        <f t="shared" si="28"/>
        <v>0</v>
      </c>
      <c r="N507" s="63"/>
    </row>
    <row r="508" spans="1:14">
      <c r="A508" s="43"/>
      <c r="B508" s="43"/>
      <c r="C508" s="36" t="s">
        <v>85</v>
      </c>
      <c r="D508" s="43"/>
      <c r="E508" s="51">
        <f t="shared" si="25"/>
        <v>0</v>
      </c>
      <c r="F508" s="52"/>
      <c r="G508" s="52"/>
      <c r="H508" s="52"/>
      <c r="I508" s="51" cm="1">
        <f t="array" ref="I508">_xlfn.SWITCH(D508,"C-Flute",(F508+G508)*2+15,"BC-Flute",(F508+G508)*2+11,0)</f>
        <v>0</v>
      </c>
      <c r="J508" s="51" cm="1">
        <f t="array" ref="J508">_xlfn.SWITCH(D508,"C-Flute",(G508+H508)-10,"BC-Flute",(G508+H508)-16,0)</f>
        <v>0</v>
      </c>
      <c r="K508" s="53">
        <f t="shared" si="26"/>
        <v>0</v>
      </c>
      <c r="L508" s="54">
        <f t="shared" si="27"/>
        <v>0</v>
      </c>
      <c r="M508" s="55">
        <f t="shared" si="28"/>
        <v>0</v>
      </c>
      <c r="N508" s="63"/>
    </row>
    <row r="509" spans="1:14">
      <c r="A509" s="43"/>
      <c r="B509" s="43"/>
      <c r="C509" s="36" t="s">
        <v>85</v>
      </c>
      <c r="D509" s="43"/>
      <c r="E509" s="51">
        <f t="shared" si="25"/>
        <v>0</v>
      </c>
      <c r="F509" s="52"/>
      <c r="G509" s="52"/>
      <c r="H509" s="52"/>
      <c r="I509" s="51" cm="1">
        <f t="array" ref="I509">_xlfn.SWITCH(D509,"C-Flute",(F509+G509)*2+15,"BC-Flute",(F509+G509)*2+11,0)</f>
        <v>0</v>
      </c>
      <c r="J509" s="51" cm="1">
        <f t="array" ref="J509">_xlfn.SWITCH(D509,"C-Flute",(G509+H509)-10,"BC-Flute",(G509+H509)-16,0)</f>
        <v>0</v>
      </c>
      <c r="K509" s="53">
        <f t="shared" si="26"/>
        <v>0</v>
      </c>
      <c r="L509" s="54">
        <f t="shared" si="27"/>
        <v>0</v>
      </c>
      <c r="M509" s="55">
        <f t="shared" si="28"/>
        <v>0</v>
      </c>
      <c r="N509" s="63"/>
    </row>
    <row r="510" spans="1:14">
      <c r="A510" s="43"/>
      <c r="B510" s="43"/>
      <c r="C510" s="36" t="s">
        <v>85</v>
      </c>
      <c r="D510" s="43"/>
      <c r="E510" s="51">
        <f t="shared" si="25"/>
        <v>0</v>
      </c>
      <c r="F510" s="52"/>
      <c r="G510" s="52"/>
      <c r="H510" s="52"/>
      <c r="I510" s="51" cm="1">
        <f t="array" ref="I510">_xlfn.SWITCH(D510,"C-Flute",(F510+G510)*2+15,"BC-Flute",(F510+G510)*2+11,0)</f>
        <v>0</v>
      </c>
      <c r="J510" s="51" cm="1">
        <f t="array" ref="J510">_xlfn.SWITCH(D510,"C-Flute",(G510+H510)-10,"BC-Flute",(G510+H510)-16,0)</f>
        <v>0</v>
      </c>
      <c r="K510" s="53">
        <f t="shared" si="26"/>
        <v>0</v>
      </c>
      <c r="L510" s="54">
        <f t="shared" si="27"/>
        <v>0</v>
      </c>
      <c r="M510" s="55">
        <f t="shared" si="28"/>
        <v>0</v>
      </c>
      <c r="N510" s="63"/>
    </row>
    <row r="511" spans="1:14">
      <c r="A511" s="43"/>
      <c r="B511" s="43"/>
      <c r="C511" s="36" t="s">
        <v>85</v>
      </c>
      <c r="D511" s="43"/>
      <c r="E511" s="51">
        <f t="shared" si="25"/>
        <v>0</v>
      </c>
      <c r="F511" s="52"/>
      <c r="G511" s="52"/>
      <c r="H511" s="52"/>
      <c r="I511" s="51" cm="1">
        <f t="array" ref="I511">_xlfn.SWITCH(D511,"C-Flute",(F511+G511)*2+15,"BC-Flute",(F511+G511)*2+11,0)</f>
        <v>0</v>
      </c>
      <c r="J511" s="51" cm="1">
        <f t="array" ref="J511">_xlfn.SWITCH(D511,"C-Flute",(G511+H511)-10,"BC-Flute",(G511+H511)-16,0)</f>
        <v>0</v>
      </c>
      <c r="K511" s="53">
        <f t="shared" si="26"/>
        <v>0</v>
      </c>
      <c r="L511" s="54">
        <f t="shared" si="27"/>
        <v>0</v>
      </c>
      <c r="M511" s="55">
        <f t="shared" si="28"/>
        <v>0</v>
      </c>
      <c r="N511" s="63"/>
    </row>
    <row r="512" spans="1:14">
      <c r="A512" s="43"/>
      <c r="B512" s="43"/>
      <c r="C512" s="36" t="s">
        <v>85</v>
      </c>
      <c r="D512" s="43"/>
      <c r="E512" s="51">
        <f t="shared" si="25"/>
        <v>0</v>
      </c>
      <c r="F512" s="52"/>
      <c r="G512" s="52"/>
      <c r="H512" s="52"/>
      <c r="I512" s="51" cm="1">
        <f t="array" ref="I512">_xlfn.SWITCH(D512,"C-Flute",(F512+G512)*2+15,"BC-Flute",(F512+G512)*2+11,0)</f>
        <v>0</v>
      </c>
      <c r="J512" s="51" cm="1">
        <f t="array" ref="J512">_xlfn.SWITCH(D512,"C-Flute",(G512+H512)-10,"BC-Flute",(G512+H512)-16,0)</f>
        <v>0</v>
      </c>
      <c r="K512" s="53">
        <f t="shared" si="26"/>
        <v>0</v>
      </c>
      <c r="L512" s="54">
        <f t="shared" si="27"/>
        <v>0</v>
      </c>
      <c r="M512" s="55">
        <f t="shared" si="28"/>
        <v>0</v>
      </c>
      <c r="N512" s="63"/>
    </row>
    <row r="513" spans="1:14">
      <c r="A513" s="43"/>
      <c r="B513" s="43"/>
      <c r="C513" s="36" t="s">
        <v>85</v>
      </c>
      <c r="D513" s="43"/>
      <c r="E513" s="51">
        <f t="shared" si="25"/>
        <v>0</v>
      </c>
      <c r="F513" s="52"/>
      <c r="G513" s="52"/>
      <c r="H513" s="52"/>
      <c r="I513" s="51" cm="1">
        <f t="array" ref="I513">_xlfn.SWITCH(D513,"C-Flute",(F513+G513)*2+15,"BC-Flute",(F513+G513)*2+11,0)</f>
        <v>0</v>
      </c>
      <c r="J513" s="51" cm="1">
        <f t="array" ref="J513">_xlfn.SWITCH(D513,"C-Flute",(G513+H513)-10,"BC-Flute",(G513+H513)-16,0)</f>
        <v>0</v>
      </c>
      <c r="K513" s="53">
        <f t="shared" si="26"/>
        <v>0</v>
      </c>
      <c r="L513" s="54">
        <f t="shared" si="27"/>
        <v>0</v>
      </c>
      <c r="M513" s="55">
        <f t="shared" si="28"/>
        <v>0</v>
      </c>
      <c r="N513" s="63"/>
    </row>
    <row r="514" spans="1:14">
      <c r="A514" s="43"/>
      <c r="B514" s="43"/>
      <c r="C514" s="36" t="s">
        <v>85</v>
      </c>
      <c r="D514" s="43"/>
      <c r="E514" s="51">
        <f t="shared" si="25"/>
        <v>0</v>
      </c>
      <c r="F514" s="52"/>
      <c r="G514" s="52"/>
      <c r="H514" s="52"/>
      <c r="I514" s="51" cm="1">
        <f t="array" ref="I514">_xlfn.SWITCH(D514,"C-Flute",(F514+G514)*2+15,"BC-Flute",(F514+G514)*2+11,0)</f>
        <v>0</v>
      </c>
      <c r="J514" s="51" cm="1">
        <f t="array" ref="J514">_xlfn.SWITCH(D514,"C-Flute",(G514+H514)-10,"BC-Flute",(G514+H514)-16,0)</f>
        <v>0</v>
      </c>
      <c r="K514" s="53">
        <f t="shared" si="26"/>
        <v>0</v>
      </c>
      <c r="L514" s="54">
        <f t="shared" si="27"/>
        <v>0</v>
      </c>
      <c r="M514" s="55">
        <f t="shared" si="28"/>
        <v>0</v>
      </c>
      <c r="N514" s="63"/>
    </row>
    <row r="515" spans="1:14">
      <c r="A515" s="43"/>
      <c r="B515" s="43"/>
      <c r="C515" s="36" t="s">
        <v>85</v>
      </c>
      <c r="D515" s="43"/>
      <c r="E515" s="51">
        <f t="shared" si="25"/>
        <v>0</v>
      </c>
      <c r="F515" s="52"/>
      <c r="G515" s="52"/>
      <c r="H515" s="52"/>
      <c r="I515" s="51" cm="1">
        <f t="array" ref="I515">_xlfn.SWITCH(D515,"C-Flute",(F515+G515)*2+15,"BC-Flute",(F515+G515)*2+11,0)</f>
        <v>0</v>
      </c>
      <c r="J515" s="51" cm="1">
        <f t="array" ref="J515">_xlfn.SWITCH(D515,"C-Flute",(G515+H515)-10,"BC-Flute",(G515+H515)-16,0)</f>
        <v>0</v>
      </c>
      <c r="K515" s="53">
        <f t="shared" si="26"/>
        <v>0</v>
      </c>
      <c r="L515" s="54">
        <f t="shared" si="27"/>
        <v>0</v>
      </c>
      <c r="M515" s="55">
        <f t="shared" si="28"/>
        <v>0</v>
      </c>
      <c r="N515" s="63"/>
    </row>
    <row r="516" spans="1:14">
      <c r="A516" s="43"/>
      <c r="B516" s="43"/>
      <c r="C516" s="36" t="s">
        <v>85</v>
      </c>
      <c r="D516" s="43"/>
      <c r="E516" s="51">
        <f t="shared" si="25"/>
        <v>0</v>
      </c>
      <c r="F516" s="52"/>
      <c r="G516" s="52"/>
      <c r="H516" s="52"/>
      <c r="I516" s="51" cm="1">
        <f t="array" ref="I516">_xlfn.SWITCH(D516,"C-Flute",(F516+G516)*2+15,"BC-Flute",(F516+G516)*2+11,0)</f>
        <v>0</v>
      </c>
      <c r="J516" s="51" cm="1">
        <f t="array" ref="J516">_xlfn.SWITCH(D516,"C-Flute",(G516+H516)-10,"BC-Flute",(G516+H516)-16,0)</f>
        <v>0</v>
      </c>
      <c r="K516" s="53">
        <f t="shared" si="26"/>
        <v>0</v>
      </c>
      <c r="L516" s="54">
        <f t="shared" si="27"/>
        <v>0</v>
      </c>
      <c r="M516" s="55">
        <f t="shared" si="28"/>
        <v>0</v>
      </c>
      <c r="N516" s="63"/>
    </row>
    <row r="517" spans="1:14">
      <c r="A517" s="43"/>
      <c r="B517" s="43"/>
      <c r="C517" s="36" t="s">
        <v>85</v>
      </c>
      <c r="D517" s="43"/>
      <c r="E517" s="51">
        <f t="shared" si="25"/>
        <v>0</v>
      </c>
      <c r="F517" s="52"/>
      <c r="G517" s="52"/>
      <c r="H517" s="52"/>
      <c r="I517" s="51" cm="1">
        <f t="array" ref="I517">_xlfn.SWITCH(D517,"C-Flute",(F517+G517)*2+15,"BC-Flute",(F517+G517)*2+11,0)</f>
        <v>0</v>
      </c>
      <c r="J517" s="51" cm="1">
        <f t="array" ref="J517">_xlfn.SWITCH(D517,"C-Flute",(G517+H517)-10,"BC-Flute",(G517+H517)-16,0)</f>
        <v>0</v>
      </c>
      <c r="K517" s="53">
        <f t="shared" si="26"/>
        <v>0</v>
      </c>
      <c r="L517" s="54">
        <f t="shared" si="27"/>
        <v>0</v>
      </c>
      <c r="M517" s="55">
        <f t="shared" si="28"/>
        <v>0</v>
      </c>
      <c r="N517" s="63"/>
    </row>
    <row r="518" spans="1:14">
      <c r="A518" s="43"/>
      <c r="B518" s="43"/>
      <c r="C518" s="36" t="s">
        <v>85</v>
      </c>
      <c r="D518" s="43"/>
      <c r="E518" s="51">
        <f t="shared" si="25"/>
        <v>0</v>
      </c>
      <c r="F518" s="52"/>
      <c r="G518" s="52"/>
      <c r="H518" s="52"/>
      <c r="I518" s="51" cm="1">
        <f t="array" ref="I518">_xlfn.SWITCH(D518,"C-Flute",(F518+G518)*2+15,"BC-Flute",(F518+G518)*2+11,0)</f>
        <v>0</v>
      </c>
      <c r="J518" s="51" cm="1">
        <f t="array" ref="J518">_xlfn.SWITCH(D518,"C-Flute",(G518+H518)-10,"BC-Flute",(G518+H518)-16,0)</f>
        <v>0</v>
      </c>
      <c r="K518" s="53">
        <f t="shared" si="26"/>
        <v>0</v>
      </c>
      <c r="L518" s="54">
        <f t="shared" si="27"/>
        <v>0</v>
      </c>
      <c r="M518" s="55">
        <f t="shared" si="28"/>
        <v>0</v>
      </c>
      <c r="N518" s="63"/>
    </row>
    <row r="519" spans="1:14">
      <c r="A519" s="43"/>
      <c r="B519" s="43"/>
      <c r="C519" s="36" t="s">
        <v>85</v>
      </c>
      <c r="D519" s="43"/>
      <c r="E519" s="51">
        <f t="shared" si="25"/>
        <v>0</v>
      </c>
      <c r="F519" s="52"/>
      <c r="G519" s="52"/>
      <c r="H519" s="52"/>
      <c r="I519" s="51" cm="1">
        <f t="array" ref="I519">_xlfn.SWITCH(D519,"C-Flute",(F519+G519)*2+15,"BC-Flute",(F519+G519)*2+11,0)</f>
        <v>0</v>
      </c>
      <c r="J519" s="51" cm="1">
        <f t="array" ref="J519">_xlfn.SWITCH(D519,"C-Flute",(G519+H519)-10,"BC-Flute",(G519+H519)-16,0)</f>
        <v>0</v>
      </c>
      <c r="K519" s="53">
        <f t="shared" si="26"/>
        <v>0</v>
      </c>
      <c r="L519" s="54">
        <f t="shared" si="27"/>
        <v>0</v>
      </c>
      <c r="M519" s="55">
        <f t="shared" si="28"/>
        <v>0</v>
      </c>
      <c r="N519" s="63"/>
    </row>
    <row r="520" spans="1:14">
      <c r="A520" s="43"/>
      <c r="B520" s="43"/>
      <c r="C520" s="36" t="s">
        <v>85</v>
      </c>
      <c r="D520" s="43"/>
      <c r="E520" s="51">
        <f t="shared" si="25"/>
        <v>0</v>
      </c>
      <c r="F520" s="52"/>
      <c r="G520" s="52"/>
      <c r="H520" s="52"/>
      <c r="I520" s="51" cm="1">
        <f t="array" ref="I520">_xlfn.SWITCH(D520,"C-Flute",(F520+G520)*2+15,"BC-Flute",(F520+G520)*2+11,0)</f>
        <v>0</v>
      </c>
      <c r="J520" s="51" cm="1">
        <f t="array" ref="J520">_xlfn.SWITCH(D520,"C-Flute",(G520+H520)-10,"BC-Flute",(G520+H520)-16,0)</f>
        <v>0</v>
      </c>
      <c r="K520" s="53">
        <f t="shared" si="26"/>
        <v>0</v>
      </c>
      <c r="L520" s="54">
        <f t="shared" si="27"/>
        <v>0</v>
      </c>
      <c r="M520" s="55">
        <f t="shared" si="28"/>
        <v>0</v>
      </c>
      <c r="N520" s="63"/>
    </row>
    <row r="521" spans="1:14">
      <c r="A521" s="43"/>
      <c r="B521" s="43"/>
      <c r="C521" s="36" t="s">
        <v>85</v>
      </c>
      <c r="D521" s="43"/>
      <c r="E521" s="51">
        <f t="shared" si="25"/>
        <v>0</v>
      </c>
      <c r="F521" s="52"/>
      <c r="G521" s="52"/>
      <c r="H521" s="52"/>
      <c r="I521" s="51" cm="1">
        <f t="array" ref="I521">_xlfn.SWITCH(D521,"C-Flute",(F521+G521)*2+15,"BC-Flute",(F521+G521)*2+11,0)</f>
        <v>0</v>
      </c>
      <c r="J521" s="51" cm="1">
        <f t="array" ref="J521">_xlfn.SWITCH(D521,"C-Flute",(G521+H521)-10,"BC-Flute",(G521+H521)-16,0)</f>
        <v>0</v>
      </c>
      <c r="K521" s="53">
        <f t="shared" si="26"/>
        <v>0</v>
      </c>
      <c r="L521" s="54">
        <f t="shared" si="27"/>
        <v>0</v>
      </c>
      <c r="M521" s="55">
        <f t="shared" si="28"/>
        <v>0</v>
      </c>
      <c r="N521" s="63"/>
    </row>
    <row r="522" spans="1:14">
      <c r="A522" s="43"/>
      <c r="B522" s="43"/>
      <c r="C522" s="36" t="s">
        <v>85</v>
      </c>
      <c r="D522" s="43"/>
      <c r="E522" s="51">
        <f t="shared" si="25"/>
        <v>0</v>
      </c>
      <c r="F522" s="52"/>
      <c r="G522" s="52"/>
      <c r="H522" s="52"/>
      <c r="I522" s="51" cm="1">
        <f t="array" ref="I522">_xlfn.SWITCH(D522,"C-Flute",(F522+G522)*2+15,"BC-Flute",(F522+G522)*2+11,0)</f>
        <v>0</v>
      </c>
      <c r="J522" s="51" cm="1">
        <f t="array" ref="J522">_xlfn.SWITCH(D522,"C-Flute",(G522+H522)-10,"BC-Flute",(G522+H522)-16,0)</f>
        <v>0</v>
      </c>
      <c r="K522" s="53">
        <f t="shared" si="26"/>
        <v>0</v>
      </c>
      <c r="L522" s="54">
        <f t="shared" si="27"/>
        <v>0</v>
      </c>
      <c r="M522" s="55">
        <f t="shared" si="28"/>
        <v>0</v>
      </c>
      <c r="N522" s="63"/>
    </row>
    <row r="523" spans="1:14">
      <c r="A523" s="43"/>
      <c r="B523" s="43"/>
      <c r="C523" s="36" t="s">
        <v>85</v>
      </c>
      <c r="D523" s="43"/>
      <c r="E523" s="51">
        <f t="shared" si="25"/>
        <v>0</v>
      </c>
      <c r="F523" s="52"/>
      <c r="G523" s="52"/>
      <c r="H523" s="52"/>
      <c r="I523" s="51" cm="1">
        <f t="array" ref="I523">_xlfn.SWITCH(D523,"C-Flute",(F523+G523)*2+15,"BC-Flute",(F523+G523)*2+11,0)</f>
        <v>0</v>
      </c>
      <c r="J523" s="51" cm="1">
        <f t="array" ref="J523">_xlfn.SWITCH(D523,"C-Flute",(G523+H523)-10,"BC-Flute",(G523+H523)-16,0)</f>
        <v>0</v>
      </c>
      <c r="K523" s="53">
        <f t="shared" si="26"/>
        <v>0</v>
      </c>
      <c r="L523" s="54">
        <f t="shared" si="27"/>
        <v>0</v>
      </c>
      <c r="M523" s="55">
        <f t="shared" si="28"/>
        <v>0</v>
      </c>
      <c r="N523" s="63"/>
    </row>
    <row r="524" spans="1:14">
      <c r="A524" s="43"/>
      <c r="B524" s="43"/>
      <c r="C524" s="36" t="s">
        <v>85</v>
      </c>
      <c r="D524" s="43"/>
      <c r="E524" s="51">
        <f t="shared" si="25"/>
        <v>0</v>
      </c>
      <c r="F524" s="52"/>
      <c r="G524" s="52"/>
      <c r="H524" s="52"/>
      <c r="I524" s="51" cm="1">
        <f t="array" ref="I524">_xlfn.SWITCH(D524,"C-Flute",(F524+G524)*2+15,"BC-Flute",(F524+G524)*2+11,0)</f>
        <v>0</v>
      </c>
      <c r="J524" s="51" cm="1">
        <f t="array" ref="J524">_xlfn.SWITCH(D524,"C-Flute",(G524+H524)-10,"BC-Flute",(G524+H524)-16,0)</f>
        <v>0</v>
      </c>
      <c r="K524" s="53">
        <f t="shared" si="26"/>
        <v>0</v>
      </c>
      <c r="L524" s="54">
        <f t="shared" si="27"/>
        <v>0</v>
      </c>
      <c r="M524" s="55">
        <f t="shared" si="28"/>
        <v>0</v>
      </c>
      <c r="N524" s="63"/>
    </row>
    <row r="525" spans="1:14">
      <c r="A525" s="43"/>
      <c r="B525" s="43"/>
      <c r="C525" s="36" t="s">
        <v>85</v>
      </c>
      <c r="D525" s="43"/>
      <c r="E525" s="51">
        <f t="shared" si="25"/>
        <v>0</v>
      </c>
      <c r="F525" s="52"/>
      <c r="G525" s="52"/>
      <c r="H525" s="52"/>
      <c r="I525" s="51" cm="1">
        <f t="array" ref="I525">_xlfn.SWITCH(D525,"C-Flute",(F525+G525)*2+15,"BC-Flute",(F525+G525)*2+11,0)</f>
        <v>0</v>
      </c>
      <c r="J525" s="51" cm="1">
        <f t="array" ref="J525">_xlfn.SWITCH(D525,"C-Flute",(G525+H525)-10,"BC-Flute",(G525+H525)-16,0)</f>
        <v>0</v>
      </c>
      <c r="K525" s="53">
        <f t="shared" si="26"/>
        <v>0</v>
      </c>
      <c r="L525" s="54">
        <f t="shared" si="27"/>
        <v>0</v>
      </c>
      <c r="M525" s="55">
        <f t="shared" si="28"/>
        <v>0</v>
      </c>
      <c r="N525" s="63"/>
    </row>
    <row r="526" spans="1:14">
      <c r="A526" s="43"/>
      <c r="B526" s="43"/>
      <c r="C526" s="36" t="s">
        <v>85</v>
      </c>
      <c r="D526" s="43"/>
      <c r="E526" s="51">
        <f t="shared" si="25"/>
        <v>0</v>
      </c>
      <c r="F526" s="52"/>
      <c r="G526" s="52"/>
      <c r="H526" s="52"/>
      <c r="I526" s="51" cm="1">
        <f t="array" ref="I526">_xlfn.SWITCH(D526,"C-Flute",(F526+G526)*2+15,"BC-Flute",(F526+G526)*2+11,0)</f>
        <v>0</v>
      </c>
      <c r="J526" s="51" cm="1">
        <f t="array" ref="J526">_xlfn.SWITCH(D526,"C-Flute",(G526+H526)-10,"BC-Flute",(G526+H526)-16,0)</f>
        <v>0</v>
      </c>
      <c r="K526" s="53">
        <f t="shared" si="26"/>
        <v>0</v>
      </c>
      <c r="L526" s="54">
        <f t="shared" si="27"/>
        <v>0</v>
      </c>
      <c r="M526" s="55">
        <f t="shared" si="28"/>
        <v>0</v>
      </c>
      <c r="N526" s="63"/>
    </row>
    <row r="527" spans="1:14">
      <c r="A527" s="43"/>
      <c r="B527" s="43"/>
      <c r="C527" s="36" t="s">
        <v>85</v>
      </c>
      <c r="D527" s="43"/>
      <c r="E527" s="51">
        <f t="shared" si="25"/>
        <v>0</v>
      </c>
      <c r="F527" s="52"/>
      <c r="G527" s="52"/>
      <c r="H527" s="52"/>
      <c r="I527" s="51" cm="1">
        <f t="array" ref="I527">_xlfn.SWITCH(D527,"C-Flute",(F527+G527)*2+15,"BC-Flute",(F527+G527)*2+11,0)</f>
        <v>0</v>
      </c>
      <c r="J527" s="51" cm="1">
        <f t="array" ref="J527">_xlfn.SWITCH(D527,"C-Flute",(G527+H527)-10,"BC-Flute",(G527+H527)-16,0)</f>
        <v>0</v>
      </c>
      <c r="K527" s="53">
        <f t="shared" si="26"/>
        <v>0</v>
      </c>
      <c r="L527" s="54">
        <f t="shared" si="27"/>
        <v>0</v>
      </c>
      <c r="M527" s="55">
        <f t="shared" si="28"/>
        <v>0</v>
      </c>
      <c r="N527" s="63"/>
    </row>
    <row r="528" spans="1:14">
      <c r="A528" s="43"/>
      <c r="B528" s="43"/>
      <c r="C528" s="36" t="s">
        <v>85</v>
      </c>
      <c r="D528" s="43"/>
      <c r="E528" s="51">
        <f t="shared" si="25"/>
        <v>0</v>
      </c>
      <c r="F528" s="52"/>
      <c r="G528" s="52"/>
      <c r="H528" s="52"/>
      <c r="I528" s="51" cm="1">
        <f t="array" ref="I528">_xlfn.SWITCH(D528,"C-Flute",(F528+G528)*2+15,"BC-Flute",(F528+G528)*2+11,0)</f>
        <v>0</v>
      </c>
      <c r="J528" s="51" cm="1">
        <f t="array" ref="J528">_xlfn.SWITCH(D528,"C-Flute",(G528+H528)-10,"BC-Flute",(G528+H528)-16,0)</f>
        <v>0</v>
      </c>
      <c r="K528" s="53">
        <f t="shared" si="26"/>
        <v>0</v>
      </c>
      <c r="L528" s="54">
        <f t="shared" si="27"/>
        <v>0</v>
      </c>
      <c r="M528" s="55">
        <f t="shared" si="28"/>
        <v>0</v>
      </c>
      <c r="N528" s="63"/>
    </row>
    <row r="529" spans="1:14">
      <c r="A529" s="43"/>
      <c r="B529" s="43"/>
      <c r="C529" s="36" t="s">
        <v>85</v>
      </c>
      <c r="D529" s="43"/>
      <c r="E529" s="51">
        <f t="shared" ref="E529:E592" si="29">IFERROR(VLOOKUP(D529,$I$3:$J$5,2,FALSE),0)</f>
        <v>0</v>
      </c>
      <c r="F529" s="52"/>
      <c r="G529" s="52"/>
      <c r="H529" s="52"/>
      <c r="I529" s="51" cm="1">
        <f t="array" ref="I529">_xlfn.SWITCH(D529,"C-Flute",(F529+G529)*2+15,"BC-Flute",(F529+G529)*2+11,0)</f>
        <v>0</v>
      </c>
      <c r="J529" s="51" cm="1">
        <f t="array" ref="J529">_xlfn.SWITCH(D529,"C-Flute",(G529+H529)-10,"BC-Flute",(G529+H529)-16,0)</f>
        <v>0</v>
      </c>
      <c r="K529" s="53">
        <f t="shared" si="26"/>
        <v>0</v>
      </c>
      <c r="L529" s="54">
        <f t="shared" si="27"/>
        <v>0</v>
      </c>
      <c r="M529" s="55">
        <f t="shared" si="28"/>
        <v>0</v>
      </c>
      <c r="N529" s="63"/>
    </row>
    <row r="530" spans="1:14">
      <c r="A530" s="43"/>
      <c r="B530" s="43"/>
      <c r="C530" s="36" t="s">
        <v>85</v>
      </c>
      <c r="D530" s="43"/>
      <c r="E530" s="51">
        <f t="shared" si="29"/>
        <v>0</v>
      </c>
      <c r="F530" s="52"/>
      <c r="G530" s="52"/>
      <c r="H530" s="52"/>
      <c r="I530" s="51" cm="1">
        <f t="array" ref="I530">_xlfn.SWITCH(D530,"C-Flute",(F530+G530)*2+15,"BC-Flute",(F530+G530)*2+11,0)</f>
        <v>0</v>
      </c>
      <c r="J530" s="51" cm="1">
        <f t="array" ref="J530">_xlfn.SWITCH(D530,"C-Flute",(G530+H530)-10,"BC-Flute",(G530+H530)-16,0)</f>
        <v>0</v>
      </c>
      <c r="K530" s="53">
        <f t="shared" ref="K530:K593" si="30">I530*J530*(1+10%)/1000000</f>
        <v>0</v>
      </c>
      <c r="L530" s="54">
        <f t="shared" ref="L530:L593" si="31">IFERROR(K530*IFERROR(VLOOKUP(D530,$I$3:$L$5,4,FALSE),"N/A"),0)</f>
        <v>0</v>
      </c>
      <c r="M530" s="55">
        <f t="shared" ref="M530:M593" si="32">IFERROR(L530/$M$4,0)</f>
        <v>0</v>
      </c>
      <c r="N530" s="63"/>
    </row>
    <row r="531" spans="1:14">
      <c r="A531" s="43"/>
      <c r="B531" s="43"/>
      <c r="C531" s="36" t="s">
        <v>85</v>
      </c>
      <c r="D531" s="43"/>
      <c r="E531" s="51">
        <f t="shared" si="29"/>
        <v>0</v>
      </c>
      <c r="F531" s="52"/>
      <c r="G531" s="52"/>
      <c r="H531" s="52"/>
      <c r="I531" s="51" cm="1">
        <f t="array" ref="I531">_xlfn.SWITCH(D531,"C-Flute",(F531+G531)*2+15,"BC-Flute",(F531+G531)*2+11,0)</f>
        <v>0</v>
      </c>
      <c r="J531" s="51" cm="1">
        <f t="array" ref="J531">_xlfn.SWITCH(D531,"C-Flute",(G531+H531)-10,"BC-Flute",(G531+H531)-16,0)</f>
        <v>0</v>
      </c>
      <c r="K531" s="53">
        <f t="shared" si="30"/>
        <v>0</v>
      </c>
      <c r="L531" s="54">
        <f t="shared" si="31"/>
        <v>0</v>
      </c>
      <c r="M531" s="55">
        <f t="shared" si="32"/>
        <v>0</v>
      </c>
      <c r="N531" s="63"/>
    </row>
    <row r="532" spans="1:14">
      <c r="A532" s="43"/>
      <c r="B532" s="43"/>
      <c r="C532" s="36" t="s">
        <v>85</v>
      </c>
      <c r="D532" s="43"/>
      <c r="E532" s="51">
        <f t="shared" si="29"/>
        <v>0</v>
      </c>
      <c r="F532" s="52"/>
      <c r="G532" s="52"/>
      <c r="H532" s="52"/>
      <c r="I532" s="51" cm="1">
        <f t="array" ref="I532">_xlfn.SWITCH(D532,"C-Flute",(F532+G532)*2+15,"BC-Flute",(F532+G532)*2+11,0)</f>
        <v>0</v>
      </c>
      <c r="J532" s="51" cm="1">
        <f t="array" ref="J532">_xlfn.SWITCH(D532,"C-Flute",(G532+H532)-10,"BC-Flute",(G532+H532)-16,0)</f>
        <v>0</v>
      </c>
      <c r="K532" s="53">
        <f t="shared" si="30"/>
        <v>0</v>
      </c>
      <c r="L532" s="54">
        <f t="shared" si="31"/>
        <v>0</v>
      </c>
      <c r="M532" s="55">
        <f t="shared" si="32"/>
        <v>0</v>
      </c>
      <c r="N532" s="63"/>
    </row>
    <row r="533" spans="1:14">
      <c r="A533" s="43"/>
      <c r="B533" s="43"/>
      <c r="C533" s="36" t="s">
        <v>85</v>
      </c>
      <c r="D533" s="43"/>
      <c r="E533" s="51">
        <f t="shared" si="29"/>
        <v>0</v>
      </c>
      <c r="F533" s="52"/>
      <c r="G533" s="52"/>
      <c r="H533" s="52"/>
      <c r="I533" s="51" cm="1">
        <f t="array" ref="I533">_xlfn.SWITCH(D533,"C-Flute",(F533+G533)*2+15,"BC-Flute",(F533+G533)*2+11,0)</f>
        <v>0</v>
      </c>
      <c r="J533" s="51" cm="1">
        <f t="array" ref="J533">_xlfn.SWITCH(D533,"C-Flute",(G533+H533)-10,"BC-Flute",(G533+H533)-16,0)</f>
        <v>0</v>
      </c>
      <c r="K533" s="53">
        <f t="shared" si="30"/>
        <v>0</v>
      </c>
      <c r="L533" s="54">
        <f t="shared" si="31"/>
        <v>0</v>
      </c>
      <c r="M533" s="55">
        <f t="shared" si="32"/>
        <v>0</v>
      </c>
      <c r="N533" s="63"/>
    </row>
    <row r="534" spans="1:14">
      <c r="A534" s="43"/>
      <c r="B534" s="43"/>
      <c r="C534" s="36" t="s">
        <v>85</v>
      </c>
      <c r="D534" s="43"/>
      <c r="E534" s="51">
        <f t="shared" si="29"/>
        <v>0</v>
      </c>
      <c r="F534" s="52"/>
      <c r="G534" s="52"/>
      <c r="H534" s="52"/>
      <c r="I534" s="51" cm="1">
        <f t="array" ref="I534">_xlfn.SWITCH(D534,"C-Flute",(F534+G534)*2+15,"BC-Flute",(F534+G534)*2+11,0)</f>
        <v>0</v>
      </c>
      <c r="J534" s="51" cm="1">
        <f t="array" ref="J534">_xlfn.SWITCH(D534,"C-Flute",(G534+H534)-10,"BC-Flute",(G534+H534)-16,0)</f>
        <v>0</v>
      </c>
      <c r="K534" s="53">
        <f t="shared" si="30"/>
        <v>0</v>
      </c>
      <c r="L534" s="54">
        <f t="shared" si="31"/>
        <v>0</v>
      </c>
      <c r="M534" s="55">
        <f t="shared" si="32"/>
        <v>0</v>
      </c>
      <c r="N534" s="63"/>
    </row>
    <row r="535" spans="1:14">
      <c r="A535" s="43"/>
      <c r="B535" s="43"/>
      <c r="C535" s="36" t="s">
        <v>85</v>
      </c>
      <c r="D535" s="43"/>
      <c r="E535" s="51">
        <f t="shared" si="29"/>
        <v>0</v>
      </c>
      <c r="F535" s="52"/>
      <c r="G535" s="52"/>
      <c r="H535" s="52"/>
      <c r="I535" s="51" cm="1">
        <f t="array" ref="I535">_xlfn.SWITCH(D535,"C-Flute",(F535+G535)*2+15,"BC-Flute",(F535+G535)*2+11,0)</f>
        <v>0</v>
      </c>
      <c r="J535" s="51" cm="1">
        <f t="array" ref="J535">_xlfn.SWITCH(D535,"C-Flute",(G535+H535)-10,"BC-Flute",(G535+H535)-16,0)</f>
        <v>0</v>
      </c>
      <c r="K535" s="53">
        <f t="shared" si="30"/>
        <v>0</v>
      </c>
      <c r="L535" s="54">
        <f t="shared" si="31"/>
        <v>0</v>
      </c>
      <c r="M535" s="55">
        <f t="shared" si="32"/>
        <v>0</v>
      </c>
      <c r="N535" s="63"/>
    </row>
    <row r="536" spans="1:14">
      <c r="A536" s="43"/>
      <c r="B536" s="43"/>
      <c r="C536" s="36" t="s">
        <v>85</v>
      </c>
      <c r="D536" s="43"/>
      <c r="E536" s="51">
        <f t="shared" si="29"/>
        <v>0</v>
      </c>
      <c r="F536" s="52"/>
      <c r="G536" s="52"/>
      <c r="H536" s="52"/>
      <c r="I536" s="51" cm="1">
        <f t="array" ref="I536">_xlfn.SWITCH(D536,"C-Flute",(F536+G536)*2+15,"BC-Flute",(F536+G536)*2+11,0)</f>
        <v>0</v>
      </c>
      <c r="J536" s="51" cm="1">
        <f t="array" ref="J536">_xlfn.SWITCH(D536,"C-Flute",(G536+H536)-10,"BC-Flute",(G536+H536)-16,0)</f>
        <v>0</v>
      </c>
      <c r="K536" s="53">
        <f t="shared" si="30"/>
        <v>0</v>
      </c>
      <c r="L536" s="54">
        <f t="shared" si="31"/>
        <v>0</v>
      </c>
      <c r="M536" s="55">
        <f t="shared" si="32"/>
        <v>0</v>
      </c>
      <c r="N536" s="63"/>
    </row>
    <row r="537" spans="1:14">
      <c r="A537" s="43"/>
      <c r="B537" s="43"/>
      <c r="C537" s="36" t="s">
        <v>85</v>
      </c>
      <c r="D537" s="43"/>
      <c r="E537" s="51">
        <f t="shared" si="29"/>
        <v>0</v>
      </c>
      <c r="F537" s="52"/>
      <c r="G537" s="52"/>
      <c r="H537" s="52"/>
      <c r="I537" s="51" cm="1">
        <f t="array" ref="I537">_xlfn.SWITCH(D537,"C-Flute",(F537+G537)*2+15,"BC-Flute",(F537+G537)*2+11,0)</f>
        <v>0</v>
      </c>
      <c r="J537" s="51" cm="1">
        <f t="array" ref="J537">_xlfn.SWITCH(D537,"C-Flute",(G537+H537)-10,"BC-Flute",(G537+H537)-16,0)</f>
        <v>0</v>
      </c>
      <c r="K537" s="53">
        <f t="shared" si="30"/>
        <v>0</v>
      </c>
      <c r="L537" s="54">
        <f t="shared" si="31"/>
        <v>0</v>
      </c>
      <c r="M537" s="55">
        <f t="shared" si="32"/>
        <v>0</v>
      </c>
      <c r="N537" s="63"/>
    </row>
    <row r="538" spans="1:14">
      <c r="A538" s="43"/>
      <c r="B538" s="43"/>
      <c r="C538" s="36" t="s">
        <v>85</v>
      </c>
      <c r="D538" s="43"/>
      <c r="E538" s="51">
        <f t="shared" si="29"/>
        <v>0</v>
      </c>
      <c r="F538" s="52"/>
      <c r="G538" s="52"/>
      <c r="H538" s="52"/>
      <c r="I538" s="51" cm="1">
        <f t="array" ref="I538">_xlfn.SWITCH(D538,"C-Flute",(F538+G538)*2+15,"BC-Flute",(F538+G538)*2+11,0)</f>
        <v>0</v>
      </c>
      <c r="J538" s="51" cm="1">
        <f t="array" ref="J538">_xlfn.SWITCH(D538,"C-Flute",(G538+H538)-10,"BC-Flute",(G538+H538)-16,0)</f>
        <v>0</v>
      </c>
      <c r="K538" s="53">
        <f t="shared" si="30"/>
        <v>0</v>
      </c>
      <c r="L538" s="54">
        <f t="shared" si="31"/>
        <v>0</v>
      </c>
      <c r="M538" s="55">
        <f t="shared" si="32"/>
        <v>0</v>
      </c>
      <c r="N538" s="63"/>
    </row>
    <row r="539" spans="1:14">
      <c r="A539" s="43"/>
      <c r="B539" s="43"/>
      <c r="C539" s="36" t="s">
        <v>85</v>
      </c>
      <c r="D539" s="43"/>
      <c r="E539" s="51">
        <f t="shared" si="29"/>
        <v>0</v>
      </c>
      <c r="F539" s="52"/>
      <c r="G539" s="52"/>
      <c r="H539" s="52"/>
      <c r="I539" s="51" cm="1">
        <f t="array" ref="I539">_xlfn.SWITCH(D539,"C-Flute",(F539+G539)*2+15,"BC-Flute",(F539+G539)*2+11,0)</f>
        <v>0</v>
      </c>
      <c r="J539" s="51" cm="1">
        <f t="array" ref="J539">_xlfn.SWITCH(D539,"C-Flute",(G539+H539)-10,"BC-Flute",(G539+H539)-16,0)</f>
        <v>0</v>
      </c>
      <c r="K539" s="53">
        <f t="shared" si="30"/>
        <v>0</v>
      </c>
      <c r="L539" s="54">
        <f t="shared" si="31"/>
        <v>0</v>
      </c>
      <c r="M539" s="55">
        <f t="shared" si="32"/>
        <v>0</v>
      </c>
      <c r="N539" s="63"/>
    </row>
    <row r="540" spans="1:14">
      <c r="A540" s="43"/>
      <c r="B540" s="43"/>
      <c r="C540" s="36" t="s">
        <v>85</v>
      </c>
      <c r="D540" s="43"/>
      <c r="E540" s="51">
        <f t="shared" si="29"/>
        <v>0</v>
      </c>
      <c r="F540" s="52"/>
      <c r="G540" s="52"/>
      <c r="H540" s="52"/>
      <c r="I540" s="51" cm="1">
        <f t="array" ref="I540">_xlfn.SWITCH(D540,"C-Flute",(F540+G540)*2+15,"BC-Flute",(F540+G540)*2+11,0)</f>
        <v>0</v>
      </c>
      <c r="J540" s="51" cm="1">
        <f t="array" ref="J540">_xlfn.SWITCH(D540,"C-Flute",(G540+H540)-10,"BC-Flute",(G540+H540)-16,0)</f>
        <v>0</v>
      </c>
      <c r="K540" s="53">
        <f t="shared" si="30"/>
        <v>0</v>
      </c>
      <c r="L540" s="54">
        <f t="shared" si="31"/>
        <v>0</v>
      </c>
      <c r="M540" s="55">
        <f t="shared" si="32"/>
        <v>0</v>
      </c>
      <c r="N540" s="63"/>
    </row>
    <row r="541" spans="1:14">
      <c r="A541" s="43"/>
      <c r="B541" s="43"/>
      <c r="C541" s="36" t="s">
        <v>85</v>
      </c>
      <c r="D541" s="43"/>
      <c r="E541" s="51">
        <f t="shared" si="29"/>
        <v>0</v>
      </c>
      <c r="F541" s="52"/>
      <c r="G541" s="52"/>
      <c r="H541" s="52"/>
      <c r="I541" s="51" cm="1">
        <f t="array" ref="I541">_xlfn.SWITCH(D541,"C-Flute",(F541+G541)*2+15,"BC-Flute",(F541+G541)*2+11,0)</f>
        <v>0</v>
      </c>
      <c r="J541" s="51" cm="1">
        <f t="array" ref="J541">_xlfn.SWITCH(D541,"C-Flute",(G541+H541)-10,"BC-Flute",(G541+H541)-16,0)</f>
        <v>0</v>
      </c>
      <c r="K541" s="53">
        <f t="shared" si="30"/>
        <v>0</v>
      </c>
      <c r="L541" s="54">
        <f t="shared" si="31"/>
        <v>0</v>
      </c>
      <c r="M541" s="55">
        <f t="shared" si="32"/>
        <v>0</v>
      </c>
      <c r="N541" s="63"/>
    </row>
    <row r="542" spans="1:14">
      <c r="A542" s="43"/>
      <c r="B542" s="43"/>
      <c r="C542" s="36" t="s">
        <v>85</v>
      </c>
      <c r="D542" s="43"/>
      <c r="E542" s="51">
        <f t="shared" si="29"/>
        <v>0</v>
      </c>
      <c r="F542" s="52"/>
      <c r="G542" s="52"/>
      <c r="H542" s="52"/>
      <c r="I542" s="51" cm="1">
        <f t="array" ref="I542">_xlfn.SWITCH(D542,"C-Flute",(F542+G542)*2+15,"BC-Flute",(F542+G542)*2+11,0)</f>
        <v>0</v>
      </c>
      <c r="J542" s="51" cm="1">
        <f t="array" ref="J542">_xlfn.SWITCH(D542,"C-Flute",(G542+H542)-10,"BC-Flute",(G542+H542)-16,0)</f>
        <v>0</v>
      </c>
      <c r="K542" s="53">
        <f t="shared" si="30"/>
        <v>0</v>
      </c>
      <c r="L542" s="54">
        <f t="shared" si="31"/>
        <v>0</v>
      </c>
      <c r="M542" s="55">
        <f t="shared" si="32"/>
        <v>0</v>
      </c>
      <c r="N542" s="63"/>
    </row>
    <row r="543" spans="1:14">
      <c r="A543" s="43"/>
      <c r="B543" s="43"/>
      <c r="C543" s="36" t="s">
        <v>85</v>
      </c>
      <c r="D543" s="43"/>
      <c r="E543" s="51">
        <f t="shared" si="29"/>
        <v>0</v>
      </c>
      <c r="F543" s="52"/>
      <c r="G543" s="52"/>
      <c r="H543" s="52"/>
      <c r="I543" s="51" cm="1">
        <f t="array" ref="I543">_xlfn.SWITCH(D543,"C-Flute",(F543+G543)*2+15,"BC-Flute",(F543+G543)*2+11,0)</f>
        <v>0</v>
      </c>
      <c r="J543" s="51" cm="1">
        <f t="array" ref="J543">_xlfn.SWITCH(D543,"C-Flute",(G543+H543)-10,"BC-Flute",(G543+H543)-16,0)</f>
        <v>0</v>
      </c>
      <c r="K543" s="53">
        <f t="shared" si="30"/>
        <v>0</v>
      </c>
      <c r="L543" s="54">
        <f t="shared" si="31"/>
        <v>0</v>
      </c>
      <c r="M543" s="55">
        <f t="shared" si="32"/>
        <v>0</v>
      </c>
      <c r="N543" s="63"/>
    </row>
    <row r="544" spans="1:14">
      <c r="A544" s="43"/>
      <c r="B544" s="43"/>
      <c r="C544" s="36" t="s">
        <v>85</v>
      </c>
      <c r="D544" s="43"/>
      <c r="E544" s="51">
        <f t="shared" si="29"/>
        <v>0</v>
      </c>
      <c r="F544" s="52"/>
      <c r="G544" s="52"/>
      <c r="H544" s="52"/>
      <c r="I544" s="51" cm="1">
        <f t="array" ref="I544">_xlfn.SWITCH(D544,"C-Flute",(F544+G544)*2+15,"BC-Flute",(F544+G544)*2+11,0)</f>
        <v>0</v>
      </c>
      <c r="J544" s="51" cm="1">
        <f t="array" ref="J544">_xlfn.SWITCH(D544,"C-Flute",(G544+H544)-10,"BC-Flute",(G544+H544)-16,0)</f>
        <v>0</v>
      </c>
      <c r="K544" s="53">
        <f t="shared" si="30"/>
        <v>0</v>
      </c>
      <c r="L544" s="54">
        <f t="shared" si="31"/>
        <v>0</v>
      </c>
      <c r="M544" s="55">
        <f t="shared" si="32"/>
        <v>0</v>
      </c>
      <c r="N544" s="63"/>
    </row>
    <row r="545" spans="1:14">
      <c r="A545" s="43"/>
      <c r="B545" s="43"/>
      <c r="C545" s="36" t="s">
        <v>85</v>
      </c>
      <c r="D545" s="43"/>
      <c r="E545" s="51">
        <f t="shared" si="29"/>
        <v>0</v>
      </c>
      <c r="F545" s="52"/>
      <c r="G545" s="52"/>
      <c r="H545" s="52"/>
      <c r="I545" s="51" cm="1">
        <f t="array" ref="I545">_xlfn.SWITCH(D545,"C-Flute",(F545+G545)*2+15,"BC-Flute",(F545+G545)*2+11,0)</f>
        <v>0</v>
      </c>
      <c r="J545" s="51" cm="1">
        <f t="array" ref="J545">_xlfn.SWITCH(D545,"C-Flute",(G545+H545)-10,"BC-Flute",(G545+H545)-16,0)</f>
        <v>0</v>
      </c>
      <c r="K545" s="53">
        <f t="shared" si="30"/>
        <v>0</v>
      </c>
      <c r="L545" s="54">
        <f t="shared" si="31"/>
        <v>0</v>
      </c>
      <c r="M545" s="55">
        <f t="shared" si="32"/>
        <v>0</v>
      </c>
      <c r="N545" s="63"/>
    </row>
    <row r="546" spans="1:14">
      <c r="A546" s="43"/>
      <c r="B546" s="43"/>
      <c r="C546" s="36" t="s">
        <v>85</v>
      </c>
      <c r="D546" s="43"/>
      <c r="E546" s="51">
        <f t="shared" si="29"/>
        <v>0</v>
      </c>
      <c r="F546" s="52"/>
      <c r="G546" s="52"/>
      <c r="H546" s="52"/>
      <c r="I546" s="51" cm="1">
        <f t="array" ref="I546">_xlfn.SWITCH(D546,"C-Flute",(F546+G546)*2+15,"BC-Flute",(F546+G546)*2+11,0)</f>
        <v>0</v>
      </c>
      <c r="J546" s="51" cm="1">
        <f t="array" ref="J546">_xlfn.SWITCH(D546,"C-Flute",(G546+H546)-10,"BC-Flute",(G546+H546)-16,0)</f>
        <v>0</v>
      </c>
      <c r="K546" s="53">
        <f t="shared" si="30"/>
        <v>0</v>
      </c>
      <c r="L546" s="54">
        <f t="shared" si="31"/>
        <v>0</v>
      </c>
      <c r="M546" s="55">
        <f t="shared" si="32"/>
        <v>0</v>
      </c>
      <c r="N546" s="63"/>
    </row>
    <row r="547" spans="1:14">
      <c r="A547" s="43"/>
      <c r="B547" s="43"/>
      <c r="C547" s="36" t="s">
        <v>85</v>
      </c>
      <c r="D547" s="43"/>
      <c r="E547" s="51">
        <f t="shared" si="29"/>
        <v>0</v>
      </c>
      <c r="F547" s="52"/>
      <c r="G547" s="52"/>
      <c r="H547" s="52"/>
      <c r="I547" s="51" cm="1">
        <f t="array" ref="I547">_xlfn.SWITCH(D547,"C-Flute",(F547+G547)*2+15,"BC-Flute",(F547+G547)*2+11,0)</f>
        <v>0</v>
      </c>
      <c r="J547" s="51" cm="1">
        <f t="array" ref="J547">_xlfn.SWITCH(D547,"C-Flute",(G547+H547)-10,"BC-Flute",(G547+H547)-16,0)</f>
        <v>0</v>
      </c>
      <c r="K547" s="53">
        <f t="shared" si="30"/>
        <v>0</v>
      </c>
      <c r="L547" s="54">
        <f t="shared" si="31"/>
        <v>0</v>
      </c>
      <c r="M547" s="55">
        <f t="shared" si="32"/>
        <v>0</v>
      </c>
      <c r="N547" s="63"/>
    </row>
    <row r="548" spans="1:14">
      <c r="A548" s="43"/>
      <c r="B548" s="43"/>
      <c r="C548" s="36" t="s">
        <v>85</v>
      </c>
      <c r="D548" s="43"/>
      <c r="E548" s="51">
        <f t="shared" si="29"/>
        <v>0</v>
      </c>
      <c r="F548" s="52"/>
      <c r="G548" s="52"/>
      <c r="H548" s="52"/>
      <c r="I548" s="51" cm="1">
        <f t="array" ref="I548">_xlfn.SWITCH(D548,"C-Flute",(F548+G548)*2+15,"BC-Flute",(F548+G548)*2+11,0)</f>
        <v>0</v>
      </c>
      <c r="J548" s="51" cm="1">
        <f t="array" ref="J548">_xlfn.SWITCH(D548,"C-Flute",(G548+H548)-10,"BC-Flute",(G548+H548)-16,0)</f>
        <v>0</v>
      </c>
      <c r="K548" s="53">
        <f t="shared" si="30"/>
        <v>0</v>
      </c>
      <c r="L548" s="54">
        <f t="shared" si="31"/>
        <v>0</v>
      </c>
      <c r="M548" s="55">
        <f t="shared" si="32"/>
        <v>0</v>
      </c>
      <c r="N548" s="63"/>
    </row>
    <row r="549" spans="1:14">
      <c r="A549" s="43"/>
      <c r="B549" s="43"/>
      <c r="C549" s="36" t="s">
        <v>85</v>
      </c>
      <c r="D549" s="43"/>
      <c r="E549" s="51">
        <f t="shared" si="29"/>
        <v>0</v>
      </c>
      <c r="F549" s="52"/>
      <c r="G549" s="52"/>
      <c r="H549" s="52"/>
      <c r="I549" s="51" cm="1">
        <f t="array" ref="I549">_xlfn.SWITCH(D549,"C-Flute",(F549+G549)*2+15,"BC-Flute",(F549+G549)*2+11,0)</f>
        <v>0</v>
      </c>
      <c r="J549" s="51" cm="1">
        <f t="array" ref="J549">_xlfn.SWITCH(D549,"C-Flute",(G549+H549)-10,"BC-Flute",(G549+H549)-16,0)</f>
        <v>0</v>
      </c>
      <c r="K549" s="53">
        <f t="shared" si="30"/>
        <v>0</v>
      </c>
      <c r="L549" s="54">
        <f t="shared" si="31"/>
        <v>0</v>
      </c>
      <c r="M549" s="55">
        <f t="shared" si="32"/>
        <v>0</v>
      </c>
      <c r="N549" s="63"/>
    </row>
    <row r="550" spans="1:14">
      <c r="A550" s="43"/>
      <c r="B550" s="43"/>
      <c r="C550" s="36" t="s">
        <v>85</v>
      </c>
      <c r="D550" s="43"/>
      <c r="E550" s="51">
        <f t="shared" si="29"/>
        <v>0</v>
      </c>
      <c r="F550" s="52"/>
      <c r="G550" s="52"/>
      <c r="H550" s="52"/>
      <c r="I550" s="51" cm="1">
        <f t="array" ref="I550">_xlfn.SWITCH(D550,"C-Flute",(F550+G550)*2+15,"BC-Flute",(F550+G550)*2+11,0)</f>
        <v>0</v>
      </c>
      <c r="J550" s="51" cm="1">
        <f t="array" ref="J550">_xlfn.SWITCH(D550,"C-Flute",(G550+H550)-10,"BC-Flute",(G550+H550)-16,0)</f>
        <v>0</v>
      </c>
      <c r="K550" s="53">
        <f t="shared" si="30"/>
        <v>0</v>
      </c>
      <c r="L550" s="54">
        <f t="shared" si="31"/>
        <v>0</v>
      </c>
      <c r="M550" s="55">
        <f t="shared" si="32"/>
        <v>0</v>
      </c>
      <c r="N550" s="63"/>
    </row>
    <row r="551" spans="1:14">
      <c r="A551" s="43"/>
      <c r="B551" s="43"/>
      <c r="C551" s="36" t="s">
        <v>85</v>
      </c>
      <c r="D551" s="43"/>
      <c r="E551" s="51">
        <f t="shared" si="29"/>
        <v>0</v>
      </c>
      <c r="F551" s="52"/>
      <c r="G551" s="52"/>
      <c r="H551" s="52"/>
      <c r="I551" s="51" cm="1">
        <f t="array" ref="I551">_xlfn.SWITCH(D551,"C-Flute",(F551+G551)*2+15,"BC-Flute",(F551+G551)*2+11,0)</f>
        <v>0</v>
      </c>
      <c r="J551" s="51" cm="1">
        <f t="array" ref="J551">_xlfn.SWITCH(D551,"C-Flute",(G551+H551)-10,"BC-Flute",(G551+H551)-16,0)</f>
        <v>0</v>
      </c>
      <c r="K551" s="53">
        <f t="shared" si="30"/>
        <v>0</v>
      </c>
      <c r="L551" s="54">
        <f t="shared" si="31"/>
        <v>0</v>
      </c>
      <c r="M551" s="55">
        <f t="shared" si="32"/>
        <v>0</v>
      </c>
      <c r="N551" s="63"/>
    </row>
    <row r="552" spans="1:14">
      <c r="A552" s="43"/>
      <c r="B552" s="43"/>
      <c r="C552" s="36" t="s">
        <v>85</v>
      </c>
      <c r="D552" s="43"/>
      <c r="E552" s="51">
        <f t="shared" si="29"/>
        <v>0</v>
      </c>
      <c r="F552" s="52"/>
      <c r="G552" s="52"/>
      <c r="H552" s="52"/>
      <c r="I552" s="51" cm="1">
        <f t="array" ref="I552">_xlfn.SWITCH(D552,"C-Flute",(F552+G552)*2+15,"BC-Flute",(F552+G552)*2+11,0)</f>
        <v>0</v>
      </c>
      <c r="J552" s="51" cm="1">
        <f t="array" ref="J552">_xlfn.SWITCH(D552,"C-Flute",(G552+H552)-10,"BC-Flute",(G552+H552)-16,0)</f>
        <v>0</v>
      </c>
      <c r="K552" s="53">
        <f t="shared" si="30"/>
        <v>0</v>
      </c>
      <c r="L552" s="54">
        <f t="shared" si="31"/>
        <v>0</v>
      </c>
      <c r="M552" s="55">
        <f t="shared" si="32"/>
        <v>0</v>
      </c>
      <c r="N552" s="63"/>
    </row>
    <row r="553" spans="1:14">
      <c r="A553" s="43"/>
      <c r="B553" s="43"/>
      <c r="C553" s="36" t="s">
        <v>85</v>
      </c>
      <c r="D553" s="43"/>
      <c r="E553" s="51">
        <f t="shared" si="29"/>
        <v>0</v>
      </c>
      <c r="F553" s="52"/>
      <c r="G553" s="52"/>
      <c r="H553" s="52"/>
      <c r="I553" s="51" cm="1">
        <f t="array" ref="I553">_xlfn.SWITCH(D553,"C-Flute",(F553+G553)*2+15,"BC-Flute",(F553+G553)*2+11,0)</f>
        <v>0</v>
      </c>
      <c r="J553" s="51" cm="1">
        <f t="array" ref="J553">_xlfn.SWITCH(D553,"C-Flute",(G553+H553)-10,"BC-Flute",(G553+H553)-16,0)</f>
        <v>0</v>
      </c>
      <c r="K553" s="53">
        <f t="shared" si="30"/>
        <v>0</v>
      </c>
      <c r="L553" s="54">
        <f t="shared" si="31"/>
        <v>0</v>
      </c>
      <c r="M553" s="55">
        <f t="shared" si="32"/>
        <v>0</v>
      </c>
      <c r="N553" s="63"/>
    </row>
    <row r="554" spans="1:14">
      <c r="A554" s="43"/>
      <c r="B554" s="43"/>
      <c r="C554" s="36" t="s">
        <v>85</v>
      </c>
      <c r="D554" s="43"/>
      <c r="E554" s="51">
        <f t="shared" si="29"/>
        <v>0</v>
      </c>
      <c r="F554" s="52"/>
      <c r="G554" s="52"/>
      <c r="H554" s="52"/>
      <c r="I554" s="51" cm="1">
        <f t="array" ref="I554">_xlfn.SWITCH(D554,"C-Flute",(F554+G554)*2+15,"BC-Flute",(F554+G554)*2+11,0)</f>
        <v>0</v>
      </c>
      <c r="J554" s="51" cm="1">
        <f t="array" ref="J554">_xlfn.SWITCH(D554,"C-Flute",(G554+H554)-10,"BC-Flute",(G554+H554)-16,0)</f>
        <v>0</v>
      </c>
      <c r="K554" s="53">
        <f t="shared" si="30"/>
        <v>0</v>
      </c>
      <c r="L554" s="54">
        <f t="shared" si="31"/>
        <v>0</v>
      </c>
      <c r="M554" s="55">
        <f t="shared" si="32"/>
        <v>0</v>
      </c>
      <c r="N554" s="63"/>
    </row>
    <row r="555" spans="1:14">
      <c r="A555" s="43"/>
      <c r="B555" s="43"/>
      <c r="C555" s="36" t="s">
        <v>85</v>
      </c>
      <c r="D555" s="43"/>
      <c r="E555" s="51">
        <f t="shared" si="29"/>
        <v>0</v>
      </c>
      <c r="F555" s="52"/>
      <c r="G555" s="52"/>
      <c r="H555" s="52"/>
      <c r="I555" s="51" cm="1">
        <f t="array" ref="I555">_xlfn.SWITCH(D555,"C-Flute",(F555+G555)*2+15,"BC-Flute",(F555+G555)*2+11,0)</f>
        <v>0</v>
      </c>
      <c r="J555" s="51" cm="1">
        <f t="array" ref="J555">_xlfn.SWITCH(D555,"C-Flute",(G555+H555)-10,"BC-Flute",(G555+H555)-16,0)</f>
        <v>0</v>
      </c>
      <c r="K555" s="53">
        <f t="shared" si="30"/>
        <v>0</v>
      </c>
      <c r="L555" s="54">
        <f t="shared" si="31"/>
        <v>0</v>
      </c>
      <c r="M555" s="55">
        <f t="shared" si="32"/>
        <v>0</v>
      </c>
      <c r="N555" s="63"/>
    </row>
    <row r="556" spans="1:14">
      <c r="A556" s="43"/>
      <c r="B556" s="43"/>
      <c r="C556" s="36" t="s">
        <v>85</v>
      </c>
      <c r="D556" s="43"/>
      <c r="E556" s="51">
        <f t="shared" si="29"/>
        <v>0</v>
      </c>
      <c r="F556" s="52"/>
      <c r="G556" s="52"/>
      <c r="H556" s="52"/>
      <c r="I556" s="51" cm="1">
        <f t="array" ref="I556">_xlfn.SWITCH(D556,"C-Flute",(F556+G556)*2+15,"BC-Flute",(F556+G556)*2+11,0)</f>
        <v>0</v>
      </c>
      <c r="J556" s="51" cm="1">
        <f t="array" ref="J556">_xlfn.SWITCH(D556,"C-Flute",(G556+H556)-10,"BC-Flute",(G556+H556)-16,0)</f>
        <v>0</v>
      </c>
      <c r="K556" s="53">
        <f t="shared" si="30"/>
        <v>0</v>
      </c>
      <c r="L556" s="54">
        <f t="shared" si="31"/>
        <v>0</v>
      </c>
      <c r="M556" s="55">
        <f t="shared" si="32"/>
        <v>0</v>
      </c>
      <c r="N556" s="63"/>
    </row>
    <row r="557" spans="1:14">
      <c r="A557" s="43"/>
      <c r="B557" s="43"/>
      <c r="C557" s="36" t="s">
        <v>85</v>
      </c>
      <c r="D557" s="43"/>
      <c r="E557" s="51">
        <f t="shared" si="29"/>
        <v>0</v>
      </c>
      <c r="F557" s="52"/>
      <c r="G557" s="52"/>
      <c r="H557" s="52"/>
      <c r="I557" s="51" cm="1">
        <f t="array" ref="I557">_xlfn.SWITCH(D557,"C-Flute",(F557+G557)*2+15,"BC-Flute",(F557+G557)*2+11,0)</f>
        <v>0</v>
      </c>
      <c r="J557" s="51" cm="1">
        <f t="array" ref="J557">_xlfn.SWITCH(D557,"C-Flute",(G557+H557)-10,"BC-Flute",(G557+H557)-16,0)</f>
        <v>0</v>
      </c>
      <c r="K557" s="53">
        <f t="shared" si="30"/>
        <v>0</v>
      </c>
      <c r="L557" s="54">
        <f t="shared" si="31"/>
        <v>0</v>
      </c>
      <c r="M557" s="55">
        <f t="shared" si="32"/>
        <v>0</v>
      </c>
      <c r="N557" s="63"/>
    </row>
    <row r="558" spans="1:14">
      <c r="A558" s="43"/>
      <c r="B558" s="43"/>
      <c r="C558" s="36" t="s">
        <v>85</v>
      </c>
      <c r="D558" s="43"/>
      <c r="E558" s="51">
        <f t="shared" si="29"/>
        <v>0</v>
      </c>
      <c r="F558" s="52"/>
      <c r="G558" s="52"/>
      <c r="H558" s="52"/>
      <c r="I558" s="51" cm="1">
        <f t="array" ref="I558">_xlfn.SWITCH(D558,"C-Flute",(F558+G558)*2+15,"BC-Flute",(F558+G558)*2+11,0)</f>
        <v>0</v>
      </c>
      <c r="J558" s="51" cm="1">
        <f t="array" ref="J558">_xlfn.SWITCH(D558,"C-Flute",(G558+H558)-10,"BC-Flute",(G558+H558)-16,0)</f>
        <v>0</v>
      </c>
      <c r="K558" s="53">
        <f t="shared" si="30"/>
        <v>0</v>
      </c>
      <c r="L558" s="54">
        <f t="shared" si="31"/>
        <v>0</v>
      </c>
      <c r="M558" s="55">
        <f t="shared" si="32"/>
        <v>0</v>
      </c>
      <c r="N558" s="63"/>
    </row>
    <row r="559" spans="1:14">
      <c r="A559" s="43"/>
      <c r="B559" s="43"/>
      <c r="C559" s="36" t="s">
        <v>85</v>
      </c>
      <c r="D559" s="43"/>
      <c r="E559" s="51">
        <f t="shared" si="29"/>
        <v>0</v>
      </c>
      <c r="F559" s="52"/>
      <c r="G559" s="52"/>
      <c r="H559" s="52"/>
      <c r="I559" s="51" cm="1">
        <f t="array" ref="I559">_xlfn.SWITCH(D559,"C-Flute",(F559+G559)*2+15,"BC-Flute",(F559+G559)*2+11,0)</f>
        <v>0</v>
      </c>
      <c r="J559" s="51" cm="1">
        <f t="array" ref="J559">_xlfn.SWITCH(D559,"C-Flute",(G559+H559)-10,"BC-Flute",(G559+H559)-16,0)</f>
        <v>0</v>
      </c>
      <c r="K559" s="53">
        <f t="shared" si="30"/>
        <v>0</v>
      </c>
      <c r="L559" s="54">
        <f t="shared" si="31"/>
        <v>0</v>
      </c>
      <c r="M559" s="55">
        <f t="shared" si="32"/>
        <v>0</v>
      </c>
      <c r="N559" s="63"/>
    </row>
    <row r="560" spans="1:14">
      <c r="A560" s="43"/>
      <c r="B560" s="43"/>
      <c r="C560" s="36" t="s">
        <v>85</v>
      </c>
      <c r="D560" s="43"/>
      <c r="E560" s="51">
        <f t="shared" si="29"/>
        <v>0</v>
      </c>
      <c r="F560" s="52"/>
      <c r="G560" s="52"/>
      <c r="H560" s="52"/>
      <c r="I560" s="51" cm="1">
        <f t="array" ref="I560">_xlfn.SWITCH(D560,"C-Flute",(F560+G560)*2+15,"BC-Flute",(F560+G560)*2+11,0)</f>
        <v>0</v>
      </c>
      <c r="J560" s="51" cm="1">
        <f t="array" ref="J560">_xlfn.SWITCH(D560,"C-Flute",(G560+H560)-10,"BC-Flute",(G560+H560)-16,0)</f>
        <v>0</v>
      </c>
      <c r="K560" s="53">
        <f t="shared" si="30"/>
        <v>0</v>
      </c>
      <c r="L560" s="54">
        <f t="shared" si="31"/>
        <v>0</v>
      </c>
      <c r="M560" s="55">
        <f t="shared" si="32"/>
        <v>0</v>
      </c>
      <c r="N560" s="63"/>
    </row>
    <row r="561" spans="1:14">
      <c r="A561" s="43"/>
      <c r="B561" s="43"/>
      <c r="C561" s="36" t="s">
        <v>85</v>
      </c>
      <c r="D561" s="43"/>
      <c r="E561" s="51">
        <f t="shared" si="29"/>
        <v>0</v>
      </c>
      <c r="F561" s="52"/>
      <c r="G561" s="52"/>
      <c r="H561" s="52"/>
      <c r="I561" s="51" cm="1">
        <f t="array" ref="I561">_xlfn.SWITCH(D561,"C-Flute",(F561+G561)*2+15,"BC-Flute",(F561+G561)*2+11,0)</f>
        <v>0</v>
      </c>
      <c r="J561" s="51" cm="1">
        <f t="array" ref="J561">_xlfn.SWITCH(D561,"C-Flute",(G561+H561)-10,"BC-Flute",(G561+H561)-16,0)</f>
        <v>0</v>
      </c>
      <c r="K561" s="53">
        <f t="shared" si="30"/>
        <v>0</v>
      </c>
      <c r="L561" s="54">
        <f t="shared" si="31"/>
        <v>0</v>
      </c>
      <c r="M561" s="55">
        <f t="shared" si="32"/>
        <v>0</v>
      </c>
      <c r="N561" s="63"/>
    </row>
    <row r="562" spans="1:14">
      <c r="A562" s="43"/>
      <c r="B562" s="43"/>
      <c r="C562" s="36" t="s">
        <v>85</v>
      </c>
      <c r="D562" s="43"/>
      <c r="E562" s="51">
        <f t="shared" si="29"/>
        <v>0</v>
      </c>
      <c r="F562" s="52"/>
      <c r="G562" s="52"/>
      <c r="H562" s="52"/>
      <c r="I562" s="51" cm="1">
        <f t="array" ref="I562">_xlfn.SWITCH(D562,"C-Flute",(F562+G562)*2+15,"BC-Flute",(F562+G562)*2+11,0)</f>
        <v>0</v>
      </c>
      <c r="J562" s="51" cm="1">
        <f t="array" ref="J562">_xlfn.SWITCH(D562,"C-Flute",(G562+H562)-10,"BC-Flute",(G562+H562)-16,0)</f>
        <v>0</v>
      </c>
      <c r="K562" s="53">
        <f t="shared" si="30"/>
        <v>0</v>
      </c>
      <c r="L562" s="54">
        <f t="shared" si="31"/>
        <v>0</v>
      </c>
      <c r="M562" s="55">
        <f t="shared" si="32"/>
        <v>0</v>
      </c>
      <c r="N562" s="63"/>
    </row>
    <row r="563" spans="1:14">
      <c r="A563" s="43"/>
      <c r="B563" s="43"/>
      <c r="C563" s="36" t="s">
        <v>85</v>
      </c>
      <c r="D563" s="43"/>
      <c r="E563" s="51">
        <f t="shared" si="29"/>
        <v>0</v>
      </c>
      <c r="F563" s="52"/>
      <c r="G563" s="52"/>
      <c r="H563" s="52"/>
      <c r="I563" s="51" cm="1">
        <f t="array" ref="I563">_xlfn.SWITCH(D563,"C-Flute",(F563+G563)*2+15,"BC-Flute",(F563+G563)*2+11,0)</f>
        <v>0</v>
      </c>
      <c r="J563" s="51" cm="1">
        <f t="array" ref="J563">_xlfn.SWITCH(D563,"C-Flute",(G563+H563)-10,"BC-Flute",(G563+H563)-16,0)</f>
        <v>0</v>
      </c>
      <c r="K563" s="53">
        <f t="shared" si="30"/>
        <v>0</v>
      </c>
      <c r="L563" s="54">
        <f t="shared" si="31"/>
        <v>0</v>
      </c>
      <c r="M563" s="55">
        <f t="shared" si="32"/>
        <v>0</v>
      </c>
      <c r="N563" s="63"/>
    </row>
    <row r="564" spans="1:14">
      <c r="A564" s="43"/>
      <c r="B564" s="43"/>
      <c r="C564" s="36" t="s">
        <v>85</v>
      </c>
      <c r="D564" s="43"/>
      <c r="E564" s="51">
        <f t="shared" si="29"/>
        <v>0</v>
      </c>
      <c r="F564" s="52"/>
      <c r="G564" s="52"/>
      <c r="H564" s="52"/>
      <c r="I564" s="51" cm="1">
        <f t="array" ref="I564">_xlfn.SWITCH(D564,"C-Flute",(F564+G564)*2+15,"BC-Flute",(F564+G564)*2+11,0)</f>
        <v>0</v>
      </c>
      <c r="J564" s="51" cm="1">
        <f t="array" ref="J564">_xlfn.SWITCH(D564,"C-Flute",(G564+H564)-10,"BC-Flute",(G564+H564)-16,0)</f>
        <v>0</v>
      </c>
      <c r="K564" s="53">
        <f t="shared" si="30"/>
        <v>0</v>
      </c>
      <c r="L564" s="54">
        <f t="shared" si="31"/>
        <v>0</v>
      </c>
      <c r="M564" s="55">
        <f t="shared" si="32"/>
        <v>0</v>
      </c>
      <c r="N564" s="63"/>
    </row>
    <row r="565" spans="1:14">
      <c r="A565" s="43"/>
      <c r="B565" s="43"/>
      <c r="C565" s="36" t="s">
        <v>85</v>
      </c>
      <c r="D565" s="43"/>
      <c r="E565" s="51">
        <f t="shared" si="29"/>
        <v>0</v>
      </c>
      <c r="F565" s="52"/>
      <c r="G565" s="52"/>
      <c r="H565" s="52"/>
      <c r="I565" s="51" cm="1">
        <f t="array" ref="I565">_xlfn.SWITCH(D565,"C-Flute",(F565+G565)*2+15,"BC-Flute",(F565+G565)*2+11,0)</f>
        <v>0</v>
      </c>
      <c r="J565" s="51" cm="1">
        <f t="array" ref="J565">_xlfn.SWITCH(D565,"C-Flute",(G565+H565)-10,"BC-Flute",(G565+H565)-16,0)</f>
        <v>0</v>
      </c>
      <c r="K565" s="53">
        <f t="shared" si="30"/>
        <v>0</v>
      </c>
      <c r="L565" s="54">
        <f t="shared" si="31"/>
        <v>0</v>
      </c>
      <c r="M565" s="55">
        <f t="shared" si="32"/>
        <v>0</v>
      </c>
      <c r="N565" s="63"/>
    </row>
    <row r="566" spans="1:14">
      <c r="A566" s="43"/>
      <c r="B566" s="43"/>
      <c r="C566" s="36" t="s">
        <v>85</v>
      </c>
      <c r="D566" s="43"/>
      <c r="E566" s="51">
        <f t="shared" si="29"/>
        <v>0</v>
      </c>
      <c r="F566" s="52"/>
      <c r="G566" s="52"/>
      <c r="H566" s="52"/>
      <c r="I566" s="51" cm="1">
        <f t="array" ref="I566">_xlfn.SWITCH(D566,"C-Flute",(F566+G566)*2+15,"BC-Flute",(F566+G566)*2+11,0)</f>
        <v>0</v>
      </c>
      <c r="J566" s="51" cm="1">
        <f t="array" ref="J566">_xlfn.SWITCH(D566,"C-Flute",(G566+H566)-10,"BC-Flute",(G566+H566)-16,0)</f>
        <v>0</v>
      </c>
      <c r="K566" s="53">
        <f t="shared" si="30"/>
        <v>0</v>
      </c>
      <c r="L566" s="54">
        <f t="shared" si="31"/>
        <v>0</v>
      </c>
      <c r="M566" s="55">
        <f t="shared" si="32"/>
        <v>0</v>
      </c>
      <c r="N566" s="63"/>
    </row>
    <row r="567" spans="1:14">
      <c r="A567" s="43"/>
      <c r="B567" s="43"/>
      <c r="C567" s="36" t="s">
        <v>85</v>
      </c>
      <c r="D567" s="43"/>
      <c r="E567" s="51">
        <f t="shared" si="29"/>
        <v>0</v>
      </c>
      <c r="F567" s="52"/>
      <c r="G567" s="52"/>
      <c r="H567" s="52"/>
      <c r="I567" s="51" cm="1">
        <f t="array" ref="I567">_xlfn.SWITCH(D567,"C-Flute",(F567+G567)*2+15,"BC-Flute",(F567+G567)*2+11,0)</f>
        <v>0</v>
      </c>
      <c r="J567" s="51" cm="1">
        <f t="array" ref="J567">_xlfn.SWITCH(D567,"C-Flute",(G567+H567)-10,"BC-Flute",(G567+H567)-16,0)</f>
        <v>0</v>
      </c>
      <c r="K567" s="53">
        <f t="shared" si="30"/>
        <v>0</v>
      </c>
      <c r="L567" s="54">
        <f t="shared" si="31"/>
        <v>0</v>
      </c>
      <c r="M567" s="55">
        <f t="shared" si="32"/>
        <v>0</v>
      </c>
      <c r="N567" s="63"/>
    </row>
    <row r="568" spans="1:14">
      <c r="A568" s="43"/>
      <c r="B568" s="43"/>
      <c r="C568" s="36" t="s">
        <v>85</v>
      </c>
      <c r="D568" s="43"/>
      <c r="E568" s="51">
        <f t="shared" si="29"/>
        <v>0</v>
      </c>
      <c r="F568" s="52"/>
      <c r="G568" s="52"/>
      <c r="H568" s="52"/>
      <c r="I568" s="51" cm="1">
        <f t="array" ref="I568">_xlfn.SWITCH(D568,"C-Flute",(F568+G568)*2+15,"BC-Flute",(F568+G568)*2+11,0)</f>
        <v>0</v>
      </c>
      <c r="J568" s="51" cm="1">
        <f t="array" ref="J568">_xlfn.SWITCH(D568,"C-Flute",(G568+H568)-10,"BC-Flute",(G568+H568)-16,0)</f>
        <v>0</v>
      </c>
      <c r="K568" s="53">
        <f t="shared" si="30"/>
        <v>0</v>
      </c>
      <c r="L568" s="54">
        <f t="shared" si="31"/>
        <v>0</v>
      </c>
      <c r="M568" s="55">
        <f t="shared" si="32"/>
        <v>0</v>
      </c>
      <c r="N568" s="63"/>
    </row>
    <row r="569" spans="1:14">
      <c r="A569" s="43"/>
      <c r="B569" s="43"/>
      <c r="C569" s="36" t="s">
        <v>85</v>
      </c>
      <c r="D569" s="43"/>
      <c r="E569" s="51">
        <f t="shared" si="29"/>
        <v>0</v>
      </c>
      <c r="F569" s="52"/>
      <c r="G569" s="52"/>
      <c r="H569" s="52"/>
      <c r="I569" s="51" cm="1">
        <f t="array" ref="I569">_xlfn.SWITCH(D569,"C-Flute",(F569+G569)*2+15,"BC-Flute",(F569+G569)*2+11,0)</f>
        <v>0</v>
      </c>
      <c r="J569" s="51" cm="1">
        <f t="array" ref="J569">_xlfn.SWITCH(D569,"C-Flute",(G569+H569)-10,"BC-Flute",(G569+H569)-16,0)</f>
        <v>0</v>
      </c>
      <c r="K569" s="53">
        <f t="shared" si="30"/>
        <v>0</v>
      </c>
      <c r="L569" s="54">
        <f t="shared" si="31"/>
        <v>0</v>
      </c>
      <c r="M569" s="55">
        <f t="shared" si="32"/>
        <v>0</v>
      </c>
      <c r="N569" s="63"/>
    </row>
    <row r="570" spans="1:14">
      <c r="A570" s="43"/>
      <c r="B570" s="43"/>
      <c r="C570" s="36" t="s">
        <v>85</v>
      </c>
      <c r="D570" s="43"/>
      <c r="E570" s="51">
        <f t="shared" si="29"/>
        <v>0</v>
      </c>
      <c r="F570" s="52"/>
      <c r="G570" s="52"/>
      <c r="H570" s="52"/>
      <c r="I570" s="51" cm="1">
        <f t="array" ref="I570">_xlfn.SWITCH(D570,"C-Flute",(F570+G570)*2+15,"BC-Flute",(F570+G570)*2+11,0)</f>
        <v>0</v>
      </c>
      <c r="J570" s="51" cm="1">
        <f t="array" ref="J570">_xlfn.SWITCH(D570,"C-Flute",(G570+H570)-10,"BC-Flute",(G570+H570)-16,0)</f>
        <v>0</v>
      </c>
      <c r="K570" s="53">
        <f t="shared" si="30"/>
        <v>0</v>
      </c>
      <c r="L570" s="54">
        <f t="shared" si="31"/>
        <v>0</v>
      </c>
      <c r="M570" s="55">
        <f t="shared" si="32"/>
        <v>0</v>
      </c>
      <c r="N570" s="63"/>
    </row>
    <row r="571" spans="1:14">
      <c r="A571" s="43"/>
      <c r="B571" s="43"/>
      <c r="C571" s="36" t="s">
        <v>85</v>
      </c>
      <c r="D571" s="43"/>
      <c r="E571" s="51">
        <f t="shared" si="29"/>
        <v>0</v>
      </c>
      <c r="F571" s="52"/>
      <c r="G571" s="52"/>
      <c r="H571" s="52"/>
      <c r="I571" s="51" cm="1">
        <f t="array" ref="I571">_xlfn.SWITCH(D571,"C-Flute",(F571+G571)*2+15,"BC-Flute",(F571+G571)*2+11,0)</f>
        <v>0</v>
      </c>
      <c r="J571" s="51" cm="1">
        <f t="array" ref="J571">_xlfn.SWITCH(D571,"C-Flute",(G571+H571)-10,"BC-Flute",(G571+H571)-16,0)</f>
        <v>0</v>
      </c>
      <c r="K571" s="53">
        <f t="shared" si="30"/>
        <v>0</v>
      </c>
      <c r="L571" s="54">
        <f t="shared" si="31"/>
        <v>0</v>
      </c>
      <c r="M571" s="55">
        <f t="shared" si="32"/>
        <v>0</v>
      </c>
      <c r="N571" s="63"/>
    </row>
    <row r="572" spans="1:14">
      <c r="A572" s="43"/>
      <c r="B572" s="43"/>
      <c r="C572" s="36" t="s">
        <v>85</v>
      </c>
      <c r="D572" s="43"/>
      <c r="E572" s="51">
        <f t="shared" si="29"/>
        <v>0</v>
      </c>
      <c r="F572" s="52"/>
      <c r="G572" s="52"/>
      <c r="H572" s="52"/>
      <c r="I572" s="51" cm="1">
        <f t="array" ref="I572">_xlfn.SWITCH(D572,"C-Flute",(F572+G572)*2+15,"BC-Flute",(F572+G572)*2+11,0)</f>
        <v>0</v>
      </c>
      <c r="J572" s="51" cm="1">
        <f t="array" ref="J572">_xlfn.SWITCH(D572,"C-Flute",(G572+H572)-10,"BC-Flute",(G572+H572)-16,0)</f>
        <v>0</v>
      </c>
      <c r="K572" s="53">
        <f t="shared" si="30"/>
        <v>0</v>
      </c>
      <c r="L572" s="54">
        <f t="shared" si="31"/>
        <v>0</v>
      </c>
      <c r="M572" s="55">
        <f t="shared" si="32"/>
        <v>0</v>
      </c>
      <c r="N572" s="63"/>
    </row>
    <row r="573" spans="1:14">
      <c r="A573" s="43"/>
      <c r="B573" s="43"/>
      <c r="C573" s="36" t="s">
        <v>85</v>
      </c>
      <c r="D573" s="43"/>
      <c r="E573" s="51">
        <f t="shared" si="29"/>
        <v>0</v>
      </c>
      <c r="F573" s="52"/>
      <c r="G573" s="52"/>
      <c r="H573" s="52"/>
      <c r="I573" s="51" cm="1">
        <f t="array" ref="I573">_xlfn.SWITCH(D573,"C-Flute",(F573+G573)*2+15,"BC-Flute",(F573+G573)*2+11,0)</f>
        <v>0</v>
      </c>
      <c r="J573" s="51" cm="1">
        <f t="array" ref="J573">_xlfn.SWITCH(D573,"C-Flute",(G573+H573)-10,"BC-Flute",(G573+H573)-16,0)</f>
        <v>0</v>
      </c>
      <c r="K573" s="53">
        <f t="shared" si="30"/>
        <v>0</v>
      </c>
      <c r="L573" s="54">
        <f t="shared" si="31"/>
        <v>0</v>
      </c>
      <c r="M573" s="55">
        <f t="shared" si="32"/>
        <v>0</v>
      </c>
      <c r="N573" s="63"/>
    </row>
    <row r="574" spans="1:14">
      <c r="A574" s="43"/>
      <c r="B574" s="43"/>
      <c r="C574" s="36" t="s">
        <v>85</v>
      </c>
      <c r="D574" s="43"/>
      <c r="E574" s="51">
        <f t="shared" si="29"/>
        <v>0</v>
      </c>
      <c r="F574" s="52"/>
      <c r="G574" s="52"/>
      <c r="H574" s="52"/>
      <c r="I574" s="51" cm="1">
        <f t="array" ref="I574">_xlfn.SWITCH(D574,"C-Flute",(F574+G574)*2+15,"BC-Flute",(F574+G574)*2+11,0)</f>
        <v>0</v>
      </c>
      <c r="J574" s="51" cm="1">
        <f t="array" ref="J574">_xlfn.SWITCH(D574,"C-Flute",(G574+H574)-10,"BC-Flute",(G574+H574)-16,0)</f>
        <v>0</v>
      </c>
      <c r="K574" s="53">
        <f t="shared" si="30"/>
        <v>0</v>
      </c>
      <c r="L574" s="54">
        <f t="shared" si="31"/>
        <v>0</v>
      </c>
      <c r="M574" s="55">
        <f t="shared" si="32"/>
        <v>0</v>
      </c>
      <c r="N574" s="63"/>
    </row>
    <row r="575" spans="1:14">
      <c r="A575" s="43"/>
      <c r="B575" s="43"/>
      <c r="C575" s="36" t="s">
        <v>85</v>
      </c>
      <c r="D575" s="43"/>
      <c r="E575" s="51">
        <f t="shared" si="29"/>
        <v>0</v>
      </c>
      <c r="F575" s="52"/>
      <c r="G575" s="52"/>
      <c r="H575" s="52"/>
      <c r="I575" s="51" cm="1">
        <f t="array" ref="I575">_xlfn.SWITCH(D575,"C-Flute",(F575+G575)*2+15,"BC-Flute",(F575+G575)*2+11,0)</f>
        <v>0</v>
      </c>
      <c r="J575" s="51" cm="1">
        <f t="array" ref="J575">_xlfn.SWITCH(D575,"C-Flute",(G575+H575)-10,"BC-Flute",(G575+H575)-16,0)</f>
        <v>0</v>
      </c>
      <c r="K575" s="53">
        <f t="shared" si="30"/>
        <v>0</v>
      </c>
      <c r="L575" s="54">
        <f t="shared" si="31"/>
        <v>0</v>
      </c>
      <c r="M575" s="55">
        <f t="shared" si="32"/>
        <v>0</v>
      </c>
      <c r="N575" s="63"/>
    </row>
    <row r="576" spans="1:14">
      <c r="A576" s="43"/>
      <c r="B576" s="43"/>
      <c r="C576" s="36" t="s">
        <v>85</v>
      </c>
      <c r="D576" s="43"/>
      <c r="E576" s="51">
        <f t="shared" si="29"/>
        <v>0</v>
      </c>
      <c r="F576" s="52"/>
      <c r="G576" s="52"/>
      <c r="H576" s="52"/>
      <c r="I576" s="51" cm="1">
        <f t="array" ref="I576">_xlfn.SWITCH(D576,"C-Flute",(F576+G576)*2+15,"BC-Flute",(F576+G576)*2+11,0)</f>
        <v>0</v>
      </c>
      <c r="J576" s="51" cm="1">
        <f t="array" ref="J576">_xlfn.SWITCH(D576,"C-Flute",(G576+H576)-10,"BC-Flute",(G576+H576)-16,0)</f>
        <v>0</v>
      </c>
      <c r="K576" s="53">
        <f t="shared" si="30"/>
        <v>0</v>
      </c>
      <c r="L576" s="54">
        <f t="shared" si="31"/>
        <v>0</v>
      </c>
      <c r="M576" s="55">
        <f t="shared" si="32"/>
        <v>0</v>
      </c>
      <c r="N576" s="63"/>
    </row>
    <row r="577" spans="1:14">
      <c r="A577" s="43"/>
      <c r="B577" s="43"/>
      <c r="C577" s="36" t="s">
        <v>85</v>
      </c>
      <c r="D577" s="43"/>
      <c r="E577" s="51">
        <f t="shared" si="29"/>
        <v>0</v>
      </c>
      <c r="F577" s="52"/>
      <c r="G577" s="52"/>
      <c r="H577" s="52"/>
      <c r="I577" s="51" cm="1">
        <f t="array" ref="I577">_xlfn.SWITCH(D577,"C-Flute",(F577+G577)*2+15,"BC-Flute",(F577+G577)*2+11,0)</f>
        <v>0</v>
      </c>
      <c r="J577" s="51" cm="1">
        <f t="array" ref="J577">_xlfn.SWITCH(D577,"C-Flute",(G577+H577)-10,"BC-Flute",(G577+H577)-16,0)</f>
        <v>0</v>
      </c>
      <c r="K577" s="53">
        <f t="shared" si="30"/>
        <v>0</v>
      </c>
      <c r="L577" s="54">
        <f t="shared" si="31"/>
        <v>0</v>
      </c>
      <c r="M577" s="55">
        <f t="shared" si="32"/>
        <v>0</v>
      </c>
      <c r="N577" s="63"/>
    </row>
    <row r="578" spans="1:14">
      <c r="A578" s="43"/>
      <c r="B578" s="43"/>
      <c r="C578" s="36" t="s">
        <v>85</v>
      </c>
      <c r="D578" s="43"/>
      <c r="E578" s="51">
        <f t="shared" si="29"/>
        <v>0</v>
      </c>
      <c r="F578" s="52"/>
      <c r="G578" s="52"/>
      <c r="H578" s="52"/>
      <c r="I578" s="51" cm="1">
        <f t="array" ref="I578">_xlfn.SWITCH(D578,"C-Flute",(F578+G578)*2+15,"BC-Flute",(F578+G578)*2+11,0)</f>
        <v>0</v>
      </c>
      <c r="J578" s="51" cm="1">
        <f t="array" ref="J578">_xlfn.SWITCH(D578,"C-Flute",(G578+H578)-10,"BC-Flute",(G578+H578)-16,0)</f>
        <v>0</v>
      </c>
      <c r="K578" s="53">
        <f t="shared" si="30"/>
        <v>0</v>
      </c>
      <c r="L578" s="54">
        <f t="shared" si="31"/>
        <v>0</v>
      </c>
      <c r="M578" s="55">
        <f t="shared" si="32"/>
        <v>0</v>
      </c>
      <c r="N578" s="63"/>
    </row>
    <row r="579" spans="1:14">
      <c r="A579" s="43"/>
      <c r="B579" s="43"/>
      <c r="C579" s="36" t="s">
        <v>85</v>
      </c>
      <c r="D579" s="43"/>
      <c r="E579" s="51">
        <f t="shared" si="29"/>
        <v>0</v>
      </c>
      <c r="F579" s="52"/>
      <c r="G579" s="52"/>
      <c r="H579" s="52"/>
      <c r="I579" s="51" cm="1">
        <f t="array" ref="I579">_xlfn.SWITCH(D579,"C-Flute",(F579+G579)*2+15,"BC-Flute",(F579+G579)*2+11,0)</f>
        <v>0</v>
      </c>
      <c r="J579" s="51" cm="1">
        <f t="array" ref="J579">_xlfn.SWITCH(D579,"C-Flute",(G579+H579)-10,"BC-Flute",(G579+H579)-16,0)</f>
        <v>0</v>
      </c>
      <c r="K579" s="53">
        <f t="shared" si="30"/>
        <v>0</v>
      </c>
      <c r="L579" s="54">
        <f t="shared" si="31"/>
        <v>0</v>
      </c>
      <c r="M579" s="55">
        <f t="shared" si="32"/>
        <v>0</v>
      </c>
      <c r="N579" s="63"/>
    </row>
    <row r="580" spans="1:14">
      <c r="A580" s="43"/>
      <c r="B580" s="43"/>
      <c r="C580" s="36" t="s">
        <v>85</v>
      </c>
      <c r="D580" s="43"/>
      <c r="E580" s="51">
        <f t="shared" si="29"/>
        <v>0</v>
      </c>
      <c r="F580" s="52"/>
      <c r="G580" s="52"/>
      <c r="H580" s="52"/>
      <c r="I580" s="51" cm="1">
        <f t="array" ref="I580">_xlfn.SWITCH(D580,"C-Flute",(F580+G580)*2+15,"BC-Flute",(F580+G580)*2+11,0)</f>
        <v>0</v>
      </c>
      <c r="J580" s="51" cm="1">
        <f t="array" ref="J580">_xlfn.SWITCH(D580,"C-Flute",(G580+H580)-10,"BC-Flute",(G580+H580)-16,0)</f>
        <v>0</v>
      </c>
      <c r="K580" s="53">
        <f t="shared" si="30"/>
        <v>0</v>
      </c>
      <c r="L580" s="54">
        <f t="shared" si="31"/>
        <v>0</v>
      </c>
      <c r="M580" s="55">
        <f t="shared" si="32"/>
        <v>0</v>
      </c>
      <c r="N580" s="63"/>
    </row>
    <row r="581" spans="1:14">
      <c r="A581" s="43"/>
      <c r="B581" s="43"/>
      <c r="C581" s="36" t="s">
        <v>85</v>
      </c>
      <c r="D581" s="43"/>
      <c r="E581" s="51">
        <f t="shared" si="29"/>
        <v>0</v>
      </c>
      <c r="F581" s="52"/>
      <c r="G581" s="52"/>
      <c r="H581" s="52"/>
      <c r="I581" s="51" cm="1">
        <f t="array" ref="I581">_xlfn.SWITCH(D581,"C-Flute",(F581+G581)*2+15,"BC-Flute",(F581+G581)*2+11,0)</f>
        <v>0</v>
      </c>
      <c r="J581" s="51" cm="1">
        <f t="array" ref="J581">_xlfn.SWITCH(D581,"C-Flute",(G581+H581)-10,"BC-Flute",(G581+H581)-16,0)</f>
        <v>0</v>
      </c>
      <c r="K581" s="53">
        <f t="shared" si="30"/>
        <v>0</v>
      </c>
      <c r="L581" s="54">
        <f t="shared" si="31"/>
        <v>0</v>
      </c>
      <c r="M581" s="55">
        <f t="shared" si="32"/>
        <v>0</v>
      </c>
      <c r="N581" s="63"/>
    </row>
    <row r="582" spans="1:14">
      <c r="A582" s="43"/>
      <c r="B582" s="43"/>
      <c r="C582" s="36" t="s">
        <v>85</v>
      </c>
      <c r="D582" s="43"/>
      <c r="E582" s="51">
        <f t="shared" si="29"/>
        <v>0</v>
      </c>
      <c r="F582" s="52"/>
      <c r="G582" s="52"/>
      <c r="H582" s="52"/>
      <c r="I582" s="51" cm="1">
        <f t="array" ref="I582">_xlfn.SWITCH(D582,"C-Flute",(F582+G582)*2+15,"BC-Flute",(F582+G582)*2+11,0)</f>
        <v>0</v>
      </c>
      <c r="J582" s="51" cm="1">
        <f t="array" ref="J582">_xlfn.SWITCH(D582,"C-Flute",(G582+H582)-10,"BC-Flute",(G582+H582)-16,0)</f>
        <v>0</v>
      </c>
      <c r="K582" s="53">
        <f t="shared" si="30"/>
        <v>0</v>
      </c>
      <c r="L582" s="54">
        <f t="shared" si="31"/>
        <v>0</v>
      </c>
      <c r="M582" s="55">
        <f t="shared" si="32"/>
        <v>0</v>
      </c>
      <c r="N582" s="63"/>
    </row>
    <row r="583" spans="1:14">
      <c r="A583" s="43"/>
      <c r="B583" s="43"/>
      <c r="C583" s="36" t="s">
        <v>85</v>
      </c>
      <c r="D583" s="43"/>
      <c r="E583" s="51">
        <f t="shared" si="29"/>
        <v>0</v>
      </c>
      <c r="F583" s="52"/>
      <c r="G583" s="52"/>
      <c r="H583" s="52"/>
      <c r="I583" s="51" cm="1">
        <f t="array" ref="I583">_xlfn.SWITCH(D583,"C-Flute",(F583+G583)*2+15,"BC-Flute",(F583+G583)*2+11,0)</f>
        <v>0</v>
      </c>
      <c r="J583" s="51" cm="1">
        <f t="array" ref="J583">_xlfn.SWITCH(D583,"C-Flute",(G583+H583)-10,"BC-Flute",(G583+H583)-16,0)</f>
        <v>0</v>
      </c>
      <c r="K583" s="53">
        <f t="shared" si="30"/>
        <v>0</v>
      </c>
      <c r="L583" s="54">
        <f t="shared" si="31"/>
        <v>0</v>
      </c>
      <c r="M583" s="55">
        <f t="shared" si="32"/>
        <v>0</v>
      </c>
      <c r="N583" s="63"/>
    </row>
    <row r="584" spans="1:14">
      <c r="A584" s="43"/>
      <c r="B584" s="43"/>
      <c r="C584" s="36" t="s">
        <v>85</v>
      </c>
      <c r="D584" s="43"/>
      <c r="E584" s="51">
        <f t="shared" si="29"/>
        <v>0</v>
      </c>
      <c r="F584" s="52"/>
      <c r="G584" s="52"/>
      <c r="H584" s="52"/>
      <c r="I584" s="51" cm="1">
        <f t="array" ref="I584">_xlfn.SWITCH(D584,"C-Flute",(F584+G584)*2+15,"BC-Flute",(F584+G584)*2+11,0)</f>
        <v>0</v>
      </c>
      <c r="J584" s="51" cm="1">
        <f t="array" ref="J584">_xlfn.SWITCH(D584,"C-Flute",(G584+H584)-10,"BC-Flute",(G584+H584)-16,0)</f>
        <v>0</v>
      </c>
      <c r="K584" s="53">
        <f t="shared" si="30"/>
        <v>0</v>
      </c>
      <c r="L584" s="54">
        <f t="shared" si="31"/>
        <v>0</v>
      </c>
      <c r="M584" s="55">
        <f t="shared" si="32"/>
        <v>0</v>
      </c>
      <c r="N584" s="63"/>
    </row>
    <row r="585" spans="1:14">
      <c r="A585" s="43"/>
      <c r="B585" s="43"/>
      <c r="C585" s="36" t="s">
        <v>85</v>
      </c>
      <c r="D585" s="43"/>
      <c r="E585" s="51">
        <f t="shared" si="29"/>
        <v>0</v>
      </c>
      <c r="F585" s="52"/>
      <c r="G585" s="52"/>
      <c r="H585" s="52"/>
      <c r="I585" s="51" cm="1">
        <f t="array" ref="I585">_xlfn.SWITCH(D585,"C-Flute",(F585+G585)*2+15,"BC-Flute",(F585+G585)*2+11,0)</f>
        <v>0</v>
      </c>
      <c r="J585" s="51" cm="1">
        <f t="array" ref="J585">_xlfn.SWITCH(D585,"C-Flute",(G585+H585)-10,"BC-Flute",(G585+H585)-16,0)</f>
        <v>0</v>
      </c>
      <c r="K585" s="53">
        <f t="shared" si="30"/>
        <v>0</v>
      </c>
      <c r="L585" s="54">
        <f t="shared" si="31"/>
        <v>0</v>
      </c>
      <c r="M585" s="55">
        <f t="shared" si="32"/>
        <v>0</v>
      </c>
      <c r="N585" s="63"/>
    </row>
    <row r="586" spans="1:14">
      <c r="A586" s="43"/>
      <c r="B586" s="43"/>
      <c r="C586" s="36" t="s">
        <v>85</v>
      </c>
      <c r="D586" s="43"/>
      <c r="E586" s="51">
        <f t="shared" si="29"/>
        <v>0</v>
      </c>
      <c r="F586" s="52"/>
      <c r="G586" s="52"/>
      <c r="H586" s="52"/>
      <c r="I586" s="51" cm="1">
        <f t="array" ref="I586">_xlfn.SWITCH(D586,"C-Flute",(F586+G586)*2+15,"BC-Flute",(F586+G586)*2+11,0)</f>
        <v>0</v>
      </c>
      <c r="J586" s="51" cm="1">
        <f t="array" ref="J586">_xlfn.SWITCH(D586,"C-Flute",(G586+H586)-10,"BC-Flute",(G586+H586)-16,0)</f>
        <v>0</v>
      </c>
      <c r="K586" s="53">
        <f t="shared" si="30"/>
        <v>0</v>
      </c>
      <c r="L586" s="54">
        <f t="shared" si="31"/>
        <v>0</v>
      </c>
      <c r="M586" s="55">
        <f t="shared" si="32"/>
        <v>0</v>
      </c>
      <c r="N586" s="63"/>
    </row>
    <row r="587" spans="1:14">
      <c r="A587" s="43"/>
      <c r="B587" s="43"/>
      <c r="C587" s="36" t="s">
        <v>85</v>
      </c>
      <c r="D587" s="43"/>
      <c r="E587" s="51">
        <f t="shared" si="29"/>
        <v>0</v>
      </c>
      <c r="F587" s="52"/>
      <c r="G587" s="52"/>
      <c r="H587" s="52"/>
      <c r="I587" s="51" cm="1">
        <f t="array" ref="I587">_xlfn.SWITCH(D587,"C-Flute",(F587+G587)*2+15,"BC-Flute",(F587+G587)*2+11,0)</f>
        <v>0</v>
      </c>
      <c r="J587" s="51" cm="1">
        <f t="array" ref="J587">_xlfn.SWITCH(D587,"C-Flute",(G587+H587)-10,"BC-Flute",(G587+H587)-16,0)</f>
        <v>0</v>
      </c>
      <c r="K587" s="53">
        <f t="shared" si="30"/>
        <v>0</v>
      </c>
      <c r="L587" s="54">
        <f t="shared" si="31"/>
        <v>0</v>
      </c>
      <c r="M587" s="55">
        <f t="shared" si="32"/>
        <v>0</v>
      </c>
      <c r="N587" s="63"/>
    </row>
    <row r="588" spans="1:14">
      <c r="A588" s="43"/>
      <c r="B588" s="43"/>
      <c r="C588" s="36" t="s">
        <v>85</v>
      </c>
      <c r="D588" s="43"/>
      <c r="E588" s="51">
        <f t="shared" si="29"/>
        <v>0</v>
      </c>
      <c r="F588" s="52"/>
      <c r="G588" s="52"/>
      <c r="H588" s="52"/>
      <c r="I588" s="51" cm="1">
        <f t="array" ref="I588">_xlfn.SWITCH(D588,"C-Flute",(F588+G588)*2+15,"BC-Flute",(F588+G588)*2+11,0)</f>
        <v>0</v>
      </c>
      <c r="J588" s="51" cm="1">
        <f t="array" ref="J588">_xlfn.SWITCH(D588,"C-Flute",(G588+H588)-10,"BC-Flute",(G588+H588)-16,0)</f>
        <v>0</v>
      </c>
      <c r="K588" s="53">
        <f t="shared" si="30"/>
        <v>0</v>
      </c>
      <c r="L588" s="54">
        <f t="shared" si="31"/>
        <v>0</v>
      </c>
      <c r="M588" s="55">
        <f t="shared" si="32"/>
        <v>0</v>
      </c>
      <c r="N588" s="63"/>
    </row>
    <row r="589" spans="1:14">
      <c r="A589" s="43"/>
      <c r="B589" s="43"/>
      <c r="C589" s="36" t="s">
        <v>85</v>
      </c>
      <c r="D589" s="43"/>
      <c r="E589" s="51">
        <f t="shared" si="29"/>
        <v>0</v>
      </c>
      <c r="F589" s="52"/>
      <c r="G589" s="52"/>
      <c r="H589" s="52"/>
      <c r="I589" s="51" cm="1">
        <f t="array" ref="I589">_xlfn.SWITCH(D589,"C-Flute",(F589+G589)*2+15,"BC-Flute",(F589+G589)*2+11,0)</f>
        <v>0</v>
      </c>
      <c r="J589" s="51" cm="1">
        <f t="array" ref="J589">_xlfn.SWITCH(D589,"C-Flute",(G589+H589)-10,"BC-Flute",(G589+H589)-16,0)</f>
        <v>0</v>
      </c>
      <c r="K589" s="53">
        <f t="shared" si="30"/>
        <v>0</v>
      </c>
      <c r="L589" s="54">
        <f t="shared" si="31"/>
        <v>0</v>
      </c>
      <c r="M589" s="55">
        <f t="shared" si="32"/>
        <v>0</v>
      </c>
      <c r="N589" s="63"/>
    </row>
    <row r="590" spans="1:14">
      <c r="A590" s="43"/>
      <c r="B590" s="43"/>
      <c r="C590" s="36" t="s">
        <v>85</v>
      </c>
      <c r="D590" s="43"/>
      <c r="E590" s="51">
        <f t="shared" si="29"/>
        <v>0</v>
      </c>
      <c r="F590" s="52"/>
      <c r="G590" s="52"/>
      <c r="H590" s="52"/>
      <c r="I590" s="51" cm="1">
        <f t="array" ref="I590">_xlfn.SWITCH(D590,"C-Flute",(F590+G590)*2+15,"BC-Flute",(F590+G590)*2+11,0)</f>
        <v>0</v>
      </c>
      <c r="J590" s="51" cm="1">
        <f t="array" ref="J590">_xlfn.SWITCH(D590,"C-Flute",(G590+H590)-10,"BC-Flute",(G590+H590)-16,0)</f>
        <v>0</v>
      </c>
      <c r="K590" s="53">
        <f t="shared" si="30"/>
        <v>0</v>
      </c>
      <c r="L590" s="54">
        <f t="shared" si="31"/>
        <v>0</v>
      </c>
      <c r="M590" s="55">
        <f t="shared" si="32"/>
        <v>0</v>
      </c>
      <c r="N590" s="63"/>
    </row>
    <row r="591" spans="1:14">
      <c r="A591" s="43"/>
      <c r="B591" s="43"/>
      <c r="C591" s="36" t="s">
        <v>85</v>
      </c>
      <c r="D591" s="43"/>
      <c r="E591" s="51">
        <f t="shared" si="29"/>
        <v>0</v>
      </c>
      <c r="F591" s="52"/>
      <c r="G591" s="52"/>
      <c r="H591" s="52"/>
      <c r="I591" s="51" cm="1">
        <f t="array" ref="I591">_xlfn.SWITCH(D591,"C-Flute",(F591+G591)*2+15,"BC-Flute",(F591+G591)*2+11,0)</f>
        <v>0</v>
      </c>
      <c r="J591" s="51" cm="1">
        <f t="array" ref="J591">_xlfn.SWITCH(D591,"C-Flute",(G591+H591)-10,"BC-Flute",(G591+H591)-16,0)</f>
        <v>0</v>
      </c>
      <c r="K591" s="53">
        <f t="shared" si="30"/>
        <v>0</v>
      </c>
      <c r="L591" s="54">
        <f t="shared" si="31"/>
        <v>0</v>
      </c>
      <c r="M591" s="55">
        <f t="shared" si="32"/>
        <v>0</v>
      </c>
      <c r="N591" s="63"/>
    </row>
    <row r="592" spans="1:14">
      <c r="A592" s="43"/>
      <c r="B592" s="43"/>
      <c r="C592" s="36" t="s">
        <v>85</v>
      </c>
      <c r="D592" s="43"/>
      <c r="E592" s="51">
        <f t="shared" si="29"/>
        <v>0</v>
      </c>
      <c r="F592" s="52"/>
      <c r="G592" s="52"/>
      <c r="H592" s="52"/>
      <c r="I592" s="51" cm="1">
        <f t="array" ref="I592">_xlfn.SWITCH(D592,"C-Flute",(F592+G592)*2+15,"BC-Flute",(F592+G592)*2+11,0)</f>
        <v>0</v>
      </c>
      <c r="J592" s="51" cm="1">
        <f t="array" ref="J592">_xlfn.SWITCH(D592,"C-Flute",(G592+H592)-10,"BC-Flute",(G592+H592)-16,0)</f>
        <v>0</v>
      </c>
      <c r="K592" s="53">
        <f t="shared" si="30"/>
        <v>0</v>
      </c>
      <c r="L592" s="54">
        <f t="shared" si="31"/>
        <v>0</v>
      </c>
      <c r="M592" s="55">
        <f t="shared" si="32"/>
        <v>0</v>
      </c>
      <c r="N592" s="63"/>
    </row>
    <row r="593" spans="1:14">
      <c r="A593" s="43"/>
      <c r="B593" s="43"/>
      <c r="C593" s="36" t="s">
        <v>85</v>
      </c>
      <c r="D593" s="43"/>
      <c r="E593" s="51">
        <f t="shared" ref="E593:E604" si="33">IFERROR(VLOOKUP(D593,$I$3:$J$5,2,FALSE),0)</f>
        <v>0</v>
      </c>
      <c r="F593" s="52"/>
      <c r="G593" s="52"/>
      <c r="H593" s="52"/>
      <c r="I593" s="51" cm="1">
        <f t="array" ref="I593">_xlfn.SWITCH(D593,"C-Flute",(F593+G593)*2+15,"BC-Flute",(F593+G593)*2+11,0)</f>
        <v>0</v>
      </c>
      <c r="J593" s="51" cm="1">
        <f t="array" ref="J593">_xlfn.SWITCH(D593,"C-Flute",(G593+H593)-10,"BC-Flute",(G593+H593)-16,0)</f>
        <v>0</v>
      </c>
      <c r="K593" s="53">
        <f t="shared" si="30"/>
        <v>0</v>
      </c>
      <c r="L593" s="54">
        <f t="shared" si="31"/>
        <v>0</v>
      </c>
      <c r="M593" s="55">
        <f t="shared" si="32"/>
        <v>0</v>
      </c>
      <c r="N593" s="63"/>
    </row>
    <row r="594" spans="1:14">
      <c r="A594" s="43"/>
      <c r="B594" s="43"/>
      <c r="C594" s="36" t="s">
        <v>85</v>
      </c>
      <c r="D594" s="43"/>
      <c r="E594" s="51">
        <f t="shared" si="33"/>
        <v>0</v>
      </c>
      <c r="F594" s="52"/>
      <c r="G594" s="52"/>
      <c r="H594" s="52"/>
      <c r="I594" s="51" cm="1">
        <f t="array" ref="I594">_xlfn.SWITCH(D594,"C-Flute",(F594+G594)*2+15,"BC-Flute",(F594+G594)*2+11,0)</f>
        <v>0</v>
      </c>
      <c r="J594" s="51" cm="1">
        <f t="array" ref="J594">_xlfn.SWITCH(D594,"C-Flute",(G594+H594)-10,"BC-Flute",(G594+H594)-16,0)</f>
        <v>0</v>
      </c>
      <c r="K594" s="53">
        <f t="shared" ref="K594:K604" si="34">I594*J594*(1+10%)/1000000</f>
        <v>0</v>
      </c>
      <c r="L594" s="54">
        <f t="shared" ref="L594:L604" si="35">IFERROR(K594*IFERROR(VLOOKUP(D594,$I$3:$L$5,4,FALSE),"N/A"),0)</f>
        <v>0</v>
      </c>
      <c r="M594" s="55">
        <f t="shared" ref="M594:M604" si="36">IFERROR(L594/$M$4,0)</f>
        <v>0</v>
      </c>
      <c r="N594" s="63"/>
    </row>
    <row r="595" spans="1:14">
      <c r="A595" s="43"/>
      <c r="B595" s="43"/>
      <c r="C595" s="36" t="s">
        <v>85</v>
      </c>
      <c r="D595" s="43"/>
      <c r="E595" s="51">
        <f t="shared" si="33"/>
        <v>0</v>
      </c>
      <c r="F595" s="52"/>
      <c r="G595" s="52"/>
      <c r="H595" s="52"/>
      <c r="I595" s="51" cm="1">
        <f t="array" ref="I595">_xlfn.SWITCH(D595,"C-Flute",(F595+G595)*2+15,"BC-Flute",(F595+G595)*2+11,0)</f>
        <v>0</v>
      </c>
      <c r="J595" s="51" cm="1">
        <f t="array" ref="J595">_xlfn.SWITCH(D595,"C-Flute",(G595+H595)-10,"BC-Flute",(G595+H595)-16,0)</f>
        <v>0</v>
      </c>
      <c r="K595" s="53">
        <f t="shared" si="34"/>
        <v>0</v>
      </c>
      <c r="L595" s="54">
        <f t="shared" si="35"/>
        <v>0</v>
      </c>
      <c r="M595" s="55">
        <f t="shared" si="36"/>
        <v>0</v>
      </c>
      <c r="N595" s="63"/>
    </row>
    <row r="596" spans="1:14">
      <c r="A596" s="43"/>
      <c r="B596" s="43"/>
      <c r="C596" s="36" t="s">
        <v>85</v>
      </c>
      <c r="D596" s="43"/>
      <c r="E596" s="51">
        <f t="shared" si="33"/>
        <v>0</v>
      </c>
      <c r="F596" s="52"/>
      <c r="G596" s="52"/>
      <c r="H596" s="52"/>
      <c r="I596" s="51" cm="1">
        <f t="array" ref="I596">_xlfn.SWITCH(D596,"C-Flute",(F596+G596)*2+15,"BC-Flute",(F596+G596)*2+11,0)</f>
        <v>0</v>
      </c>
      <c r="J596" s="51" cm="1">
        <f t="array" ref="J596">_xlfn.SWITCH(D596,"C-Flute",(G596+H596)-10,"BC-Flute",(G596+H596)-16,0)</f>
        <v>0</v>
      </c>
      <c r="K596" s="53">
        <f t="shared" si="34"/>
        <v>0</v>
      </c>
      <c r="L596" s="54">
        <f t="shared" si="35"/>
        <v>0</v>
      </c>
      <c r="M596" s="55">
        <f t="shared" si="36"/>
        <v>0</v>
      </c>
      <c r="N596" s="63"/>
    </row>
    <row r="597" spans="1:14">
      <c r="A597" s="43"/>
      <c r="B597" s="43"/>
      <c r="C597" s="36" t="s">
        <v>85</v>
      </c>
      <c r="D597" s="43"/>
      <c r="E597" s="51">
        <f t="shared" si="33"/>
        <v>0</v>
      </c>
      <c r="F597" s="52"/>
      <c r="G597" s="52"/>
      <c r="H597" s="52"/>
      <c r="I597" s="51" cm="1">
        <f t="array" ref="I597">_xlfn.SWITCH(D597,"C-Flute",(F597+G597)*2+15,"BC-Flute",(F597+G597)*2+11,0)</f>
        <v>0</v>
      </c>
      <c r="J597" s="51" cm="1">
        <f t="array" ref="J597">_xlfn.SWITCH(D597,"C-Flute",(G597+H597)-10,"BC-Flute",(G597+H597)-16,0)</f>
        <v>0</v>
      </c>
      <c r="K597" s="53">
        <f t="shared" si="34"/>
        <v>0</v>
      </c>
      <c r="L597" s="54">
        <f t="shared" si="35"/>
        <v>0</v>
      </c>
      <c r="M597" s="55">
        <f t="shared" si="36"/>
        <v>0</v>
      </c>
      <c r="N597" s="63"/>
    </row>
    <row r="598" spans="1:14">
      <c r="A598" s="43"/>
      <c r="B598" s="43"/>
      <c r="C598" s="36" t="s">
        <v>85</v>
      </c>
      <c r="D598" s="43"/>
      <c r="E598" s="51">
        <f t="shared" si="33"/>
        <v>0</v>
      </c>
      <c r="F598" s="52"/>
      <c r="G598" s="52"/>
      <c r="H598" s="52"/>
      <c r="I598" s="51" cm="1">
        <f t="array" ref="I598">_xlfn.SWITCH(D598,"C-Flute",(F598+G598)*2+15,"BC-Flute",(F598+G598)*2+11,0)</f>
        <v>0</v>
      </c>
      <c r="J598" s="51" cm="1">
        <f t="array" ref="J598">_xlfn.SWITCH(D598,"C-Flute",(G598+H598)-10,"BC-Flute",(G598+H598)-16,0)</f>
        <v>0</v>
      </c>
      <c r="K598" s="53">
        <f t="shared" si="34"/>
        <v>0</v>
      </c>
      <c r="L598" s="54">
        <f t="shared" si="35"/>
        <v>0</v>
      </c>
      <c r="M598" s="55">
        <f t="shared" si="36"/>
        <v>0</v>
      </c>
      <c r="N598" s="63"/>
    </row>
    <row r="599" spans="1:14">
      <c r="A599" s="43"/>
      <c r="B599" s="43"/>
      <c r="C599" s="36" t="s">
        <v>85</v>
      </c>
      <c r="D599" s="43"/>
      <c r="E599" s="51">
        <f t="shared" si="33"/>
        <v>0</v>
      </c>
      <c r="F599" s="52"/>
      <c r="G599" s="52"/>
      <c r="H599" s="52"/>
      <c r="I599" s="51" cm="1">
        <f t="array" ref="I599">_xlfn.SWITCH(D599,"C-Flute",(F599+G599)*2+15,"BC-Flute",(F599+G599)*2+11,0)</f>
        <v>0</v>
      </c>
      <c r="J599" s="51" cm="1">
        <f t="array" ref="J599">_xlfn.SWITCH(D599,"C-Flute",(G599+H599)-10,"BC-Flute",(G599+H599)-16,0)</f>
        <v>0</v>
      </c>
      <c r="K599" s="53">
        <f t="shared" si="34"/>
        <v>0</v>
      </c>
      <c r="L599" s="54">
        <f t="shared" si="35"/>
        <v>0</v>
      </c>
      <c r="M599" s="55">
        <f t="shared" si="36"/>
        <v>0</v>
      </c>
      <c r="N599" s="63"/>
    </row>
    <row r="600" spans="1:14">
      <c r="A600" s="43"/>
      <c r="B600" s="43"/>
      <c r="C600" s="36" t="s">
        <v>85</v>
      </c>
      <c r="D600" s="43"/>
      <c r="E600" s="51">
        <f t="shared" si="33"/>
        <v>0</v>
      </c>
      <c r="F600" s="52"/>
      <c r="G600" s="52"/>
      <c r="H600" s="52"/>
      <c r="I600" s="51" cm="1">
        <f t="array" ref="I600">_xlfn.SWITCH(D600,"C-Flute",(F600+G600)*2+15,"BC-Flute",(F600+G600)*2+11,0)</f>
        <v>0</v>
      </c>
      <c r="J600" s="51" cm="1">
        <f t="array" ref="J600">_xlfn.SWITCH(D600,"C-Flute",(G600+H600)-10,"BC-Flute",(G600+H600)-16,0)</f>
        <v>0</v>
      </c>
      <c r="K600" s="53">
        <f t="shared" si="34"/>
        <v>0</v>
      </c>
      <c r="L600" s="54">
        <f t="shared" si="35"/>
        <v>0</v>
      </c>
      <c r="M600" s="55">
        <f t="shared" si="36"/>
        <v>0</v>
      </c>
      <c r="N600" s="63"/>
    </row>
    <row r="601" spans="1:14">
      <c r="A601" s="43"/>
      <c r="B601" s="43"/>
      <c r="C601" s="36" t="s">
        <v>85</v>
      </c>
      <c r="D601" s="43"/>
      <c r="E601" s="51">
        <f t="shared" si="33"/>
        <v>0</v>
      </c>
      <c r="F601" s="52"/>
      <c r="G601" s="52"/>
      <c r="H601" s="52"/>
      <c r="I601" s="51" cm="1">
        <f t="array" ref="I601">_xlfn.SWITCH(D601,"C-Flute",(F601+G601)*2+15,"BC-Flute",(F601+G601)*2+11,0)</f>
        <v>0</v>
      </c>
      <c r="J601" s="51" cm="1">
        <f t="array" ref="J601">_xlfn.SWITCH(D601,"C-Flute",(G601+H601)-10,"BC-Flute",(G601+H601)-16,0)</f>
        <v>0</v>
      </c>
      <c r="K601" s="53">
        <f t="shared" si="34"/>
        <v>0</v>
      </c>
      <c r="L601" s="54">
        <f t="shared" si="35"/>
        <v>0</v>
      </c>
      <c r="M601" s="55">
        <f t="shared" si="36"/>
        <v>0</v>
      </c>
      <c r="N601" s="63"/>
    </row>
    <row r="602" spans="1:14">
      <c r="A602" s="43"/>
      <c r="B602" s="43"/>
      <c r="C602" s="36" t="s">
        <v>85</v>
      </c>
      <c r="D602" s="43"/>
      <c r="E602" s="51">
        <f t="shared" si="33"/>
        <v>0</v>
      </c>
      <c r="F602" s="52"/>
      <c r="G602" s="52"/>
      <c r="H602" s="52"/>
      <c r="I602" s="51" cm="1">
        <f t="array" ref="I602">_xlfn.SWITCH(D602,"C-Flute",(F602+G602)*2+15,"BC-Flute",(F602+G602)*2+11,0)</f>
        <v>0</v>
      </c>
      <c r="J602" s="51" cm="1">
        <f t="array" ref="J602">_xlfn.SWITCH(D602,"C-Flute",(G602+H602)-10,"BC-Flute",(G602+H602)-16,0)</f>
        <v>0</v>
      </c>
      <c r="K602" s="53">
        <f t="shared" si="34"/>
        <v>0</v>
      </c>
      <c r="L602" s="54">
        <f t="shared" si="35"/>
        <v>0</v>
      </c>
      <c r="M602" s="55">
        <f t="shared" si="36"/>
        <v>0</v>
      </c>
      <c r="N602" s="63"/>
    </row>
    <row r="603" spans="1:14">
      <c r="A603" s="43"/>
      <c r="B603" s="43"/>
      <c r="C603" s="36" t="s">
        <v>85</v>
      </c>
      <c r="D603" s="43"/>
      <c r="E603" s="51">
        <f t="shared" si="33"/>
        <v>0</v>
      </c>
      <c r="F603" s="52"/>
      <c r="G603" s="52"/>
      <c r="H603" s="52"/>
      <c r="I603" s="51" cm="1">
        <f t="array" ref="I603">_xlfn.SWITCH(D603,"C-Flute",(F603+G603)*2+15,"BC-Flute",(F603+G603)*2+11,0)</f>
        <v>0</v>
      </c>
      <c r="J603" s="51" cm="1">
        <f t="array" ref="J603">_xlfn.SWITCH(D603,"C-Flute",(G603+H603)-10,"BC-Flute",(G603+H603)-16,0)</f>
        <v>0</v>
      </c>
      <c r="K603" s="53">
        <f t="shared" si="34"/>
        <v>0</v>
      </c>
      <c r="L603" s="54">
        <f t="shared" si="35"/>
        <v>0</v>
      </c>
      <c r="M603" s="55">
        <f t="shared" si="36"/>
        <v>0</v>
      </c>
      <c r="N603" s="63"/>
    </row>
    <row r="604" spans="1:14">
      <c r="A604" s="43"/>
      <c r="B604" s="43"/>
      <c r="C604" s="36" t="s">
        <v>85</v>
      </c>
      <c r="D604" s="43"/>
      <c r="E604" s="51">
        <f t="shared" si="33"/>
        <v>0</v>
      </c>
      <c r="F604" s="52"/>
      <c r="G604" s="52"/>
      <c r="H604" s="52"/>
      <c r="I604" s="51" cm="1">
        <f t="array" ref="I604">_xlfn.SWITCH(D604,"C-Flute",(F604+G604)*2+15,"BC-Flute",(F604+G604)*2+11,0)</f>
        <v>0</v>
      </c>
      <c r="J604" s="51" cm="1">
        <f t="array" ref="J604">_xlfn.SWITCH(D604,"C-Flute",(G604+H604)-10,"BC-Flute",(G604+H604)-16,0)</f>
        <v>0</v>
      </c>
      <c r="K604" s="53">
        <f t="shared" si="34"/>
        <v>0</v>
      </c>
      <c r="L604" s="54">
        <f t="shared" si="35"/>
        <v>0</v>
      </c>
      <c r="M604" s="55">
        <f t="shared" si="36"/>
        <v>0</v>
      </c>
      <c r="N604" s="63"/>
    </row>
  </sheetData>
  <mergeCells count="11">
    <mergeCell ref="M15:M16"/>
    <mergeCell ref="N15:N16"/>
    <mergeCell ref="A15:A16"/>
    <mergeCell ref="B15:B16"/>
    <mergeCell ref="C15:C16"/>
    <mergeCell ref="D15:D16"/>
    <mergeCell ref="E15:E16"/>
    <mergeCell ref="F15:H15"/>
    <mergeCell ref="I15:J15"/>
    <mergeCell ref="K15:K16"/>
    <mergeCell ref="L15:L16"/>
  </mergeCells>
  <phoneticPr fontId="22" type="noConversion"/>
  <dataValidations count="1">
    <dataValidation type="list" allowBlank="1" showInputMessage="1" showErrorMessage="1" sqref="D17:D604" xr:uid="{CB87A448-FDA2-458E-9212-840EC5F88E86}">
      <formula1>"C-Flute"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9BC0CE38466349BC716F422DB29033" ma:contentTypeVersion="22" ma:contentTypeDescription="Create a new document." ma:contentTypeScope="" ma:versionID="b5d4cd0a5cc206003b35791166ef7d33">
  <xsd:schema xmlns:xsd="http://www.w3.org/2001/XMLSchema" xmlns:xs="http://www.w3.org/2001/XMLSchema" xmlns:p="http://schemas.microsoft.com/office/2006/metadata/properties" xmlns:ns2="0258bd7f-d7a2-4507-b925-d739120cac9d" xmlns:ns3="63b94d3c-0b71-42ba-97c5-c4a0fbb6b6c4" targetNamespace="http://schemas.microsoft.com/office/2006/metadata/properties" ma:root="true" ma:fieldsID="91953739e088d02ff92e9947a4f439b5" ns2:_="" ns3:_="">
    <xsd:import namespace="0258bd7f-d7a2-4507-b925-d739120cac9d"/>
    <xsd:import namespace="63b94d3c-0b71-42ba-97c5-c4a0fbb6b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RGB" minOccurs="0"/>
                <xsd:element ref="ns2:RGB_x003a__x0020_Title" minOccurs="0"/>
                <xsd:element ref="ns2:_x0023_SKU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8bd7f-d7a2-4507-b925-d739120ca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0f54583-f523-4906-8582-edd8385f07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RGB" ma:index="25" nillable="true" ma:displayName="RGB" ma:format="Dropdown" ma:list="0f2f0fc3-d6f7-4868-96c1-c349888df849" ma:internalName="RGB" ma:showField="Title">
      <xsd:simpleType>
        <xsd:restriction base="dms:Lookup"/>
      </xsd:simpleType>
    </xsd:element>
    <xsd:element name="RGB_x003a__x0020_Title" ma:index="26" nillable="true" ma:displayName="RGB: Title" ma:format="Dropdown" ma:list="0f2f0fc3-d6f7-4868-96c1-c349888df849" ma:internalName="RGB_x003a__x0020_Title" ma:readOnly="true" ma:showField="Title">
      <xsd:simpleType>
        <xsd:restriction base="dms:Lookup"/>
      </xsd:simpleType>
    </xsd:element>
    <xsd:element name="_x0023_SKU" ma:index="27" nillable="true" ma:displayName="# SKU" ma:format="Dropdown" ma:internalName="_x0023_SKU" ma:percentage="FALSE">
      <xsd:simpleType>
        <xsd:restriction base="dms:Number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b94d3c-0b71-42ba-97c5-c4a0fbb6b6c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afac76c-4a58-41c0-82d7-bf89c9036565}" ma:internalName="TaxCatchAll" ma:showField="CatchAllData" ma:web="63b94d3c-0b71-42ba-97c5-c4a0fbb6b6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b94d3c-0b71-42ba-97c5-c4a0fbb6b6c4" xsi:nil="true"/>
    <lcf76f155ced4ddcb4097134ff3c332f xmlns="0258bd7f-d7a2-4507-b925-d739120cac9d">
      <Terms xmlns="http://schemas.microsoft.com/office/infopath/2007/PartnerControls"/>
    </lcf76f155ced4ddcb4097134ff3c332f>
    <_x0023_SKU xmlns="0258bd7f-d7a2-4507-b925-d739120cac9d" xsi:nil="true"/>
    <RGB xmlns="0258bd7f-d7a2-4507-b925-d739120cac9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E0E300-31BB-4959-861D-F0F4F1C986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58bd7f-d7a2-4507-b925-d739120cac9d"/>
    <ds:schemaRef ds:uri="63b94d3c-0b71-42ba-97c5-c4a0fbb6b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815B12-6C56-4CAD-A4C0-FA309CA210E1}">
  <ds:schemaRefs>
    <ds:schemaRef ds:uri="http://purl.org/dc/elements/1.1/"/>
    <ds:schemaRef ds:uri="http://purl.org/dc/dcmitype/"/>
    <ds:schemaRef ds:uri="http://schemas.openxmlformats.org/package/2006/metadata/core-properties"/>
    <ds:schemaRef ds:uri="63b94d3c-0b71-42ba-97c5-c4a0fbb6b6c4"/>
    <ds:schemaRef ds:uri="http://purl.org/dc/terms/"/>
    <ds:schemaRef ds:uri="http://schemas.microsoft.com/office/2006/documentManagement/types"/>
    <ds:schemaRef ds:uri="http://schemas.microsoft.com/office/infopath/2007/PartnerControls"/>
    <ds:schemaRef ds:uri="0258bd7f-d7a2-4507-b925-d739120cac9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7B1C846-6297-461D-9FF5-B7916E05C6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TRACK_STD</vt:lpstr>
      <vt:lpstr>TRACK_CUS</vt:lpstr>
      <vt:lpstr>RFQ_Matalan Carton</vt:lpstr>
      <vt:lpstr>Carton Sizes Chart</vt:lpstr>
      <vt:lpstr>Sheet1</vt:lpstr>
      <vt:lpstr>Matalan Curstom CTN Price Cal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Wang</dc:creator>
  <cp:keywords/>
  <dc:description/>
  <cp:lastModifiedBy>Rumel || Uniglory</cp:lastModifiedBy>
  <cp:revision/>
  <cp:lastPrinted>2026-02-07T07:33:54Z</cp:lastPrinted>
  <dcterms:created xsi:type="dcterms:W3CDTF">2025-07-25T14:59:52Z</dcterms:created>
  <dcterms:modified xsi:type="dcterms:W3CDTF">2026-09-09T12:09:16Z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0x010100249BC0CE38466349BC716F422DB29033</vt:lpwstr>
  </property>
  <property fmtid="{D5CDD505-2E9C-101B-9397-08002B2CF9AE}" pid="3" name="MediaServiceImageTags">
    <vt:lpwstr/>
  </property>
</Properties>
</file>